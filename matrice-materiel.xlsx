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05 COMMUN\Espace perso\Amaury\DEV\EXCEL DA\"/>
    </mc:Choice>
  </mc:AlternateContent>
  <xr:revisionPtr revIDLastSave="0" documentId="13_ncr:1_{544E81E5-8777-4C16-9DDC-F452629AA502}" xr6:coauthVersionLast="47" xr6:coauthVersionMax="47" xr10:uidLastSave="{00000000-0000-0000-0000-000000000000}"/>
  <bookViews>
    <workbookView xWindow="28680" yWindow="-120" windowWidth="29040" windowHeight="15840" firstSheet="1" activeTab="2" xr2:uid="{00000000-000D-0000-FFFF-FFFF00000000}"/>
  </bookViews>
  <sheets>
    <sheet name="Catalogue" sheetId="1" state="hidden" r:id="rId1"/>
    <sheet name="Supports" sheetId="7" r:id="rId2"/>
    <sheet name="SPK" sheetId="2" r:id="rId3"/>
    <sheet name="RIA" sheetId="3" r:id="rId4"/>
    <sheet name="Liste_Materiel" sheetId="4" state="hidden" r:id="rId5"/>
    <sheet name="Liste_Materiel_RIA" sheetId="5" state="hidden" r:id="rId6"/>
    <sheet name="Liste_Materiel_Combinee" sheetId="6" state="hidden" r:id="rId7"/>
    <sheet name="DA_SAP" sheetId="8" r:id="rId8"/>
    <sheet name="CMD_DIRECT_SAP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8" l="1"/>
  <c r="D172" i="4"/>
  <c r="C86" i="4" a="1"/>
  <c r="C244" i="4" a="1"/>
  <c r="B244" i="4" a="1"/>
  <c r="C121" i="4" a="1"/>
  <c r="B121" i="4" a="1"/>
  <c r="B86" i="4" a="1"/>
  <c r="C52" i="4" a="1"/>
  <c r="B52" i="4" a="1"/>
  <c r="E316" i="9"/>
  <c r="E253" i="9"/>
  <c r="E190" i="9"/>
  <c r="E126" i="9"/>
  <c r="E423" i="8"/>
  <c r="E422" i="8"/>
  <c r="E421" i="8"/>
  <c r="E420" i="8"/>
  <c r="E419" i="8"/>
  <c r="E418" i="8"/>
  <c r="E417" i="8"/>
  <c r="E416" i="8"/>
  <c r="E415" i="8"/>
  <c r="E414" i="8"/>
  <c r="E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5" i="8"/>
  <c r="E4" i="8"/>
  <c r="E3" i="8"/>
  <c r="E426" i="6"/>
  <c r="A426" i="6"/>
  <c r="E425" i="6"/>
  <c r="A425" i="6"/>
  <c r="E424" i="6"/>
  <c r="A424" i="6"/>
  <c r="E423" i="6"/>
  <c r="A423" i="6"/>
  <c r="E422" i="6"/>
  <c r="A422" i="6"/>
  <c r="E421" i="6"/>
  <c r="A421" i="6"/>
  <c r="E420" i="6"/>
  <c r="A420" i="6"/>
  <c r="E419" i="6"/>
  <c r="A419" i="6"/>
  <c r="E418" i="6"/>
  <c r="A418" i="6"/>
  <c r="E417" i="6"/>
  <c r="A417" i="6"/>
  <c r="E416" i="6"/>
  <c r="A416" i="6"/>
  <c r="E415" i="6"/>
  <c r="A415" i="6"/>
  <c r="E414" i="6"/>
  <c r="A414" i="6"/>
  <c r="E413" i="6"/>
  <c r="A413" i="6"/>
  <c r="E412" i="6"/>
  <c r="A412" i="6"/>
  <c r="E411" i="6"/>
  <c r="A411" i="6"/>
  <c r="E410" i="6"/>
  <c r="A410" i="6"/>
  <c r="E409" i="6"/>
  <c r="A409" i="6"/>
  <c r="E408" i="6"/>
  <c r="A408" i="6"/>
  <c r="E407" i="6"/>
  <c r="A407" i="6"/>
  <c r="E406" i="6"/>
  <c r="A406" i="6"/>
  <c r="E405" i="6"/>
  <c r="A405" i="6"/>
  <c r="E404" i="6"/>
  <c r="A404" i="6"/>
  <c r="E403" i="6"/>
  <c r="A403" i="6"/>
  <c r="E402" i="6"/>
  <c r="A402" i="6"/>
  <c r="E401" i="6"/>
  <c r="A401" i="6"/>
  <c r="E400" i="6"/>
  <c r="A400" i="6"/>
  <c r="E399" i="6"/>
  <c r="A399" i="6"/>
  <c r="E398" i="6"/>
  <c r="A398" i="6"/>
  <c r="E397" i="6"/>
  <c r="A397" i="6"/>
  <c r="E396" i="6"/>
  <c r="A396" i="6"/>
  <c r="E395" i="6"/>
  <c r="A395" i="6"/>
  <c r="E394" i="6"/>
  <c r="A394" i="6"/>
  <c r="E393" i="6"/>
  <c r="A393" i="6"/>
  <c r="E392" i="6"/>
  <c r="A392" i="6"/>
  <c r="E391" i="6"/>
  <c r="A391" i="6"/>
  <c r="E390" i="6"/>
  <c r="A390" i="6"/>
  <c r="E389" i="6"/>
  <c r="A389" i="6"/>
  <c r="E388" i="6"/>
  <c r="A388" i="6"/>
  <c r="E387" i="6"/>
  <c r="A387" i="6"/>
  <c r="E386" i="6"/>
  <c r="A386" i="6"/>
  <c r="E385" i="6"/>
  <c r="A385" i="6"/>
  <c r="E384" i="6"/>
  <c r="A384" i="6"/>
  <c r="E383" i="6"/>
  <c r="A383" i="6"/>
  <c r="E382" i="6"/>
  <c r="A382" i="6"/>
  <c r="E381" i="6"/>
  <c r="A381" i="6"/>
  <c r="E380" i="6"/>
  <c r="A380" i="6"/>
  <c r="E379" i="6"/>
  <c r="A379" i="6"/>
  <c r="E378" i="6"/>
  <c r="A378" i="6"/>
  <c r="E377" i="6"/>
  <c r="A377" i="6"/>
  <c r="E376" i="6"/>
  <c r="A376" i="6"/>
  <c r="E375" i="6"/>
  <c r="A375" i="6"/>
  <c r="E374" i="6"/>
  <c r="A374" i="6"/>
  <c r="E373" i="6"/>
  <c r="A373" i="6"/>
  <c r="E372" i="6"/>
  <c r="A372" i="6"/>
  <c r="E371" i="6"/>
  <c r="A371" i="6"/>
  <c r="E370" i="6"/>
  <c r="A370" i="6"/>
  <c r="E369" i="6"/>
  <c r="A369" i="6"/>
  <c r="E368" i="6"/>
  <c r="A368" i="6"/>
  <c r="E367" i="6"/>
  <c r="A367" i="6"/>
  <c r="E366" i="6"/>
  <c r="A366" i="6"/>
  <c r="E365" i="6"/>
  <c r="A365" i="6"/>
  <c r="E364" i="6"/>
  <c r="A364" i="6"/>
  <c r="E363" i="6"/>
  <c r="A363" i="6"/>
  <c r="E362" i="6"/>
  <c r="A362" i="6"/>
  <c r="E361" i="6"/>
  <c r="A361" i="6"/>
  <c r="E360" i="6"/>
  <c r="A360" i="6"/>
  <c r="E359" i="6"/>
  <c r="A359" i="6"/>
  <c r="E358" i="6"/>
  <c r="A358" i="6"/>
  <c r="E357" i="6"/>
  <c r="A357" i="6"/>
  <c r="E356" i="6"/>
  <c r="A356" i="6"/>
  <c r="E355" i="6"/>
  <c r="A355" i="6"/>
  <c r="E354" i="6"/>
  <c r="A354" i="6"/>
  <c r="E353" i="6"/>
  <c r="A353" i="6"/>
  <c r="E352" i="6"/>
  <c r="A352" i="6"/>
  <c r="E351" i="6"/>
  <c r="A351" i="6"/>
  <c r="E350" i="6"/>
  <c r="A350" i="6"/>
  <c r="E349" i="6"/>
  <c r="A349" i="6"/>
  <c r="E348" i="6"/>
  <c r="A348" i="6"/>
  <c r="E347" i="6"/>
  <c r="A347" i="6"/>
  <c r="E346" i="6"/>
  <c r="A346" i="6"/>
  <c r="E345" i="6"/>
  <c r="A345" i="6"/>
  <c r="E344" i="6"/>
  <c r="A344" i="6"/>
  <c r="E343" i="6"/>
  <c r="A343" i="6"/>
  <c r="E342" i="6"/>
  <c r="A342" i="6"/>
  <c r="E341" i="6"/>
  <c r="A341" i="6"/>
  <c r="E340" i="6"/>
  <c r="A340" i="6"/>
  <c r="E339" i="6"/>
  <c r="A339" i="6"/>
  <c r="E338" i="6"/>
  <c r="A338" i="6"/>
  <c r="E337" i="6"/>
  <c r="A337" i="6"/>
  <c r="E336" i="6"/>
  <c r="A336" i="6"/>
  <c r="E335" i="6"/>
  <c r="A335" i="6"/>
  <c r="E334" i="6"/>
  <c r="A334" i="6"/>
  <c r="E333" i="6"/>
  <c r="A333" i="6"/>
  <c r="E332" i="6"/>
  <c r="A332" i="6"/>
  <c r="E331" i="6"/>
  <c r="A331" i="6"/>
  <c r="E330" i="6"/>
  <c r="A330" i="6"/>
  <c r="E329" i="6"/>
  <c r="A329" i="6"/>
  <c r="E328" i="6"/>
  <c r="A328" i="6"/>
  <c r="E327" i="6"/>
  <c r="A327" i="6"/>
  <c r="E326" i="6"/>
  <c r="A326" i="6"/>
  <c r="E325" i="6"/>
  <c r="A325" i="6"/>
  <c r="E324" i="6"/>
  <c r="A324" i="6"/>
  <c r="E323" i="6"/>
  <c r="A323" i="6"/>
  <c r="E322" i="6"/>
  <c r="A322" i="6"/>
  <c r="E321" i="6"/>
  <c r="A321" i="6"/>
  <c r="E320" i="6"/>
  <c r="A320" i="6"/>
  <c r="E319" i="6"/>
  <c r="A319" i="6"/>
  <c r="E318" i="6"/>
  <c r="A318" i="6"/>
  <c r="E317" i="6"/>
  <c r="A317" i="6"/>
  <c r="E316" i="6"/>
  <c r="A316" i="6"/>
  <c r="E315" i="6"/>
  <c r="A315" i="6"/>
  <c r="E314" i="6"/>
  <c r="A314" i="6"/>
  <c r="E313" i="6"/>
  <c r="A313" i="6"/>
  <c r="E312" i="6"/>
  <c r="A312" i="6"/>
  <c r="E311" i="6"/>
  <c r="A311" i="6"/>
  <c r="E310" i="6"/>
  <c r="A310" i="6"/>
  <c r="E309" i="6"/>
  <c r="A309" i="6"/>
  <c r="E308" i="6"/>
  <c r="A308" i="6"/>
  <c r="E307" i="6"/>
  <c r="A307" i="6"/>
  <c r="E306" i="6"/>
  <c r="A306" i="6"/>
  <c r="E305" i="6"/>
  <c r="A305" i="6"/>
  <c r="E304" i="6"/>
  <c r="A304" i="6"/>
  <c r="E303" i="6"/>
  <c r="A303" i="6"/>
  <c r="E302" i="6"/>
  <c r="A302" i="6"/>
  <c r="E301" i="6"/>
  <c r="A301" i="6"/>
  <c r="E300" i="6"/>
  <c r="A300" i="6"/>
  <c r="E299" i="6"/>
  <c r="A299" i="6"/>
  <c r="E298" i="6"/>
  <c r="A298" i="6"/>
  <c r="E297" i="6"/>
  <c r="A297" i="6"/>
  <c r="E296" i="6"/>
  <c r="A296" i="6"/>
  <c r="E295" i="6"/>
  <c r="A295" i="6"/>
  <c r="E294" i="6"/>
  <c r="A294" i="6"/>
  <c r="E293" i="6"/>
  <c r="A293" i="6"/>
  <c r="E292" i="6"/>
  <c r="A292" i="6"/>
  <c r="E291" i="6"/>
  <c r="A291" i="6"/>
  <c r="E290" i="6"/>
  <c r="A290" i="6"/>
  <c r="E289" i="6"/>
  <c r="A289" i="6"/>
  <c r="E288" i="6"/>
  <c r="A288" i="6"/>
  <c r="E287" i="6"/>
  <c r="A287" i="6"/>
  <c r="E286" i="6"/>
  <c r="A286" i="6"/>
  <c r="E285" i="6"/>
  <c r="A285" i="6"/>
  <c r="E284" i="6"/>
  <c r="A284" i="6"/>
  <c r="E283" i="6"/>
  <c r="A283" i="6"/>
  <c r="E282" i="6"/>
  <c r="A282" i="6"/>
  <c r="E281" i="6"/>
  <c r="A281" i="6"/>
  <c r="E280" i="6"/>
  <c r="A280" i="6"/>
  <c r="E279" i="6"/>
  <c r="A279" i="6"/>
  <c r="E278" i="6"/>
  <c r="A278" i="6"/>
  <c r="E277" i="6"/>
  <c r="A277" i="6"/>
  <c r="E276" i="6"/>
  <c r="A276" i="6"/>
  <c r="E275" i="6"/>
  <c r="A275" i="6"/>
  <c r="E274" i="6"/>
  <c r="A274" i="6"/>
  <c r="E273" i="6"/>
  <c r="A273" i="6"/>
  <c r="E272" i="6"/>
  <c r="A272" i="6"/>
  <c r="E271" i="6"/>
  <c r="A271" i="6"/>
  <c r="E270" i="6"/>
  <c r="A270" i="6"/>
  <c r="E269" i="6"/>
  <c r="A269" i="6"/>
  <c r="E268" i="6"/>
  <c r="A268" i="6"/>
  <c r="E267" i="6"/>
  <c r="A267" i="6"/>
  <c r="E266" i="6"/>
  <c r="A266" i="6"/>
  <c r="E265" i="6"/>
  <c r="A265" i="6"/>
  <c r="E264" i="6"/>
  <c r="A264" i="6"/>
  <c r="E263" i="6"/>
  <c r="A263" i="6"/>
  <c r="E262" i="6"/>
  <c r="A262" i="6"/>
  <c r="E261" i="6"/>
  <c r="A261" i="6"/>
  <c r="E260" i="6"/>
  <c r="A260" i="6"/>
  <c r="E259" i="6"/>
  <c r="A259" i="6"/>
  <c r="E258" i="6"/>
  <c r="A258" i="6"/>
  <c r="E257" i="6"/>
  <c r="A257" i="6"/>
  <c r="E256" i="6"/>
  <c r="A256" i="6"/>
  <c r="E255" i="6"/>
  <c r="A255" i="6"/>
  <c r="E254" i="6"/>
  <c r="A254" i="6"/>
  <c r="E253" i="6"/>
  <c r="A253" i="6"/>
  <c r="E252" i="6"/>
  <c r="A252" i="6"/>
  <c r="E251" i="6"/>
  <c r="A251" i="6"/>
  <c r="E250" i="6"/>
  <c r="A250" i="6"/>
  <c r="E249" i="6"/>
  <c r="A249" i="6"/>
  <c r="E248" i="6"/>
  <c r="A248" i="6"/>
  <c r="E247" i="6"/>
  <c r="A247" i="6"/>
  <c r="E246" i="6"/>
  <c r="A246" i="6"/>
  <c r="E245" i="6"/>
  <c r="A245" i="6"/>
  <c r="E244" i="6"/>
  <c r="A244" i="6"/>
  <c r="E243" i="6"/>
  <c r="A243" i="6"/>
  <c r="E242" i="6"/>
  <c r="A242" i="6"/>
  <c r="E241" i="6"/>
  <c r="A241" i="6"/>
  <c r="E240" i="6"/>
  <c r="A240" i="6"/>
  <c r="E239" i="6"/>
  <c r="A239" i="6"/>
  <c r="E238" i="6"/>
  <c r="A238" i="6"/>
  <c r="E237" i="6"/>
  <c r="A237" i="6"/>
  <c r="E236" i="6"/>
  <c r="A236" i="6"/>
  <c r="E235" i="6"/>
  <c r="A235" i="6"/>
  <c r="E234" i="6"/>
  <c r="A234" i="6"/>
  <c r="E233" i="6"/>
  <c r="A233" i="6"/>
  <c r="E232" i="6"/>
  <c r="A232" i="6"/>
  <c r="E231" i="6"/>
  <c r="A231" i="6"/>
  <c r="E230" i="6"/>
  <c r="A230" i="6"/>
  <c r="E229" i="6"/>
  <c r="A229" i="6"/>
  <c r="E228" i="6"/>
  <c r="A228" i="6"/>
  <c r="E227" i="6"/>
  <c r="A227" i="6"/>
  <c r="E226" i="6"/>
  <c r="A226" i="6"/>
  <c r="E225" i="6"/>
  <c r="A225" i="6"/>
  <c r="E224" i="6"/>
  <c r="A224" i="6"/>
  <c r="E223" i="6"/>
  <c r="A223" i="6"/>
  <c r="E222" i="6"/>
  <c r="A222" i="6"/>
  <c r="E221" i="6"/>
  <c r="A221" i="6"/>
  <c r="E220" i="6"/>
  <c r="A220" i="6"/>
  <c r="E219" i="6"/>
  <c r="A219" i="6"/>
  <c r="E218" i="6"/>
  <c r="A218" i="6"/>
  <c r="E217" i="6"/>
  <c r="A217" i="6"/>
  <c r="E216" i="6"/>
  <c r="A216" i="6"/>
  <c r="E215" i="6"/>
  <c r="A215" i="6"/>
  <c r="E214" i="6"/>
  <c r="A214" i="6"/>
  <c r="E213" i="6"/>
  <c r="A213" i="6"/>
  <c r="E212" i="6"/>
  <c r="A212" i="6"/>
  <c r="E211" i="6"/>
  <c r="A211" i="6"/>
  <c r="E210" i="6"/>
  <c r="A210" i="6"/>
  <c r="E209" i="6"/>
  <c r="A209" i="6"/>
  <c r="E208" i="6"/>
  <c r="A208" i="6"/>
  <c r="E207" i="6"/>
  <c r="A207" i="6"/>
  <c r="E206" i="6"/>
  <c r="A206" i="6"/>
  <c r="E205" i="6"/>
  <c r="A205" i="6"/>
  <c r="E204" i="6"/>
  <c r="A204" i="6"/>
  <c r="E203" i="6"/>
  <c r="A203" i="6"/>
  <c r="E202" i="6"/>
  <c r="A202" i="6"/>
  <c r="E201" i="6"/>
  <c r="A201" i="6"/>
  <c r="E200" i="6"/>
  <c r="A200" i="6"/>
  <c r="E199" i="6"/>
  <c r="A199" i="6"/>
  <c r="E198" i="6"/>
  <c r="A198" i="6"/>
  <c r="E197" i="6"/>
  <c r="A197" i="6"/>
  <c r="E196" i="6"/>
  <c r="A196" i="6"/>
  <c r="E195" i="6"/>
  <c r="A195" i="6"/>
  <c r="E194" i="6"/>
  <c r="A194" i="6"/>
  <c r="E193" i="6"/>
  <c r="A193" i="6"/>
  <c r="E192" i="6"/>
  <c r="A192" i="6"/>
  <c r="E191" i="6"/>
  <c r="A191" i="6"/>
  <c r="E190" i="6"/>
  <c r="A190" i="6"/>
  <c r="E189" i="6"/>
  <c r="A189" i="6"/>
  <c r="E188" i="6"/>
  <c r="A188" i="6"/>
  <c r="E187" i="6"/>
  <c r="A187" i="6"/>
  <c r="E186" i="6"/>
  <c r="A186" i="6"/>
  <c r="E185" i="6"/>
  <c r="A185" i="6"/>
  <c r="E184" i="6"/>
  <c r="A184" i="6"/>
  <c r="E183" i="6"/>
  <c r="A183" i="6"/>
  <c r="E182" i="6"/>
  <c r="A182" i="6"/>
  <c r="E181" i="6"/>
  <c r="A181" i="6"/>
  <c r="E180" i="6"/>
  <c r="A180" i="6"/>
  <c r="E179" i="6"/>
  <c r="A179" i="6"/>
  <c r="E178" i="6"/>
  <c r="A178" i="6"/>
  <c r="E177" i="6"/>
  <c r="A177" i="6"/>
  <c r="E176" i="6"/>
  <c r="A176" i="6"/>
  <c r="E175" i="6"/>
  <c r="A175" i="6"/>
  <c r="E174" i="6"/>
  <c r="A174" i="6"/>
  <c r="E173" i="6"/>
  <c r="A173" i="6"/>
  <c r="E172" i="6"/>
  <c r="A172" i="6"/>
  <c r="E171" i="6"/>
  <c r="A171" i="6"/>
  <c r="E170" i="6"/>
  <c r="A170" i="6"/>
  <c r="E169" i="6"/>
  <c r="A169" i="6"/>
  <c r="E168" i="6"/>
  <c r="A168" i="6"/>
  <c r="E167" i="6"/>
  <c r="A167" i="6"/>
  <c r="E166" i="6"/>
  <c r="A166" i="6"/>
  <c r="E165" i="6"/>
  <c r="A165" i="6"/>
  <c r="E164" i="6"/>
  <c r="A164" i="6"/>
  <c r="E163" i="6"/>
  <c r="A163" i="6"/>
  <c r="E162" i="6"/>
  <c r="A162" i="6"/>
  <c r="E161" i="6"/>
  <c r="A161" i="6"/>
  <c r="E160" i="6"/>
  <c r="A160" i="6"/>
  <c r="E159" i="6"/>
  <c r="A159" i="6"/>
  <c r="E158" i="6"/>
  <c r="A158" i="6"/>
  <c r="E157" i="6"/>
  <c r="A157" i="6"/>
  <c r="E156" i="6"/>
  <c r="A156" i="6"/>
  <c r="E155" i="6"/>
  <c r="A155" i="6"/>
  <c r="E154" i="6"/>
  <c r="A154" i="6"/>
  <c r="E153" i="6"/>
  <c r="A153" i="6"/>
  <c r="E152" i="6"/>
  <c r="A152" i="6"/>
  <c r="E151" i="6"/>
  <c r="A151" i="6"/>
  <c r="E150" i="6"/>
  <c r="A150" i="6"/>
  <c r="E149" i="6"/>
  <c r="A149" i="6"/>
  <c r="E148" i="6"/>
  <c r="A148" i="6"/>
  <c r="E147" i="6"/>
  <c r="A147" i="6"/>
  <c r="E146" i="6"/>
  <c r="A146" i="6"/>
  <c r="E145" i="6"/>
  <c r="A145" i="6"/>
  <c r="E144" i="6"/>
  <c r="A144" i="6"/>
  <c r="E143" i="6"/>
  <c r="A143" i="6"/>
  <c r="E142" i="6"/>
  <c r="A142" i="6"/>
  <c r="E141" i="6"/>
  <c r="A141" i="6"/>
  <c r="E140" i="6"/>
  <c r="A140" i="6"/>
  <c r="E139" i="6"/>
  <c r="A139" i="6"/>
  <c r="E138" i="6"/>
  <c r="A138" i="6"/>
  <c r="E137" i="6"/>
  <c r="A137" i="6"/>
  <c r="E136" i="6"/>
  <c r="A136" i="6"/>
  <c r="E135" i="6"/>
  <c r="A135" i="6"/>
  <c r="E134" i="6"/>
  <c r="A134" i="6"/>
  <c r="E133" i="6"/>
  <c r="A133" i="6"/>
  <c r="E132" i="6"/>
  <c r="A132" i="6"/>
  <c r="E131" i="6"/>
  <c r="A131" i="6"/>
  <c r="E130" i="6"/>
  <c r="A130" i="6"/>
  <c r="E129" i="6"/>
  <c r="A129" i="6"/>
  <c r="E128" i="6"/>
  <c r="A128" i="6"/>
  <c r="E127" i="6"/>
  <c r="A127" i="6"/>
  <c r="E126" i="6"/>
  <c r="A126" i="6"/>
  <c r="E125" i="6"/>
  <c r="A125" i="6"/>
  <c r="E124" i="6"/>
  <c r="A124" i="6"/>
  <c r="E123" i="6"/>
  <c r="A123" i="6"/>
  <c r="E122" i="6"/>
  <c r="A122" i="6"/>
  <c r="E121" i="6"/>
  <c r="A121" i="6"/>
  <c r="E120" i="6"/>
  <c r="A120" i="6"/>
  <c r="E119" i="6"/>
  <c r="A119" i="6"/>
  <c r="E118" i="6"/>
  <c r="A118" i="6"/>
  <c r="E117" i="6"/>
  <c r="A117" i="6"/>
  <c r="E116" i="6"/>
  <c r="A116" i="6"/>
  <c r="E115" i="6"/>
  <c r="A115" i="6"/>
  <c r="E114" i="6"/>
  <c r="A114" i="6"/>
  <c r="E113" i="6"/>
  <c r="A113" i="6"/>
  <c r="E112" i="6"/>
  <c r="A112" i="6"/>
  <c r="E111" i="6"/>
  <c r="A111" i="6"/>
  <c r="E110" i="6"/>
  <c r="A110" i="6"/>
  <c r="E109" i="6"/>
  <c r="A109" i="6"/>
  <c r="E108" i="6"/>
  <c r="A108" i="6"/>
  <c r="E107" i="6"/>
  <c r="A107" i="6"/>
  <c r="E106" i="6"/>
  <c r="A106" i="6"/>
  <c r="E105" i="6"/>
  <c r="A105" i="6"/>
  <c r="E104" i="6"/>
  <c r="A104" i="6"/>
  <c r="E103" i="6"/>
  <c r="A103" i="6"/>
  <c r="E102" i="6"/>
  <c r="A102" i="6"/>
  <c r="E101" i="6"/>
  <c r="A101" i="6"/>
  <c r="E100" i="6"/>
  <c r="A100" i="6"/>
  <c r="E99" i="6"/>
  <c r="A99" i="6"/>
  <c r="E98" i="6"/>
  <c r="A98" i="6"/>
  <c r="E97" i="6"/>
  <c r="A97" i="6"/>
  <c r="E96" i="6"/>
  <c r="A96" i="6"/>
  <c r="E95" i="6"/>
  <c r="A95" i="6"/>
  <c r="E94" i="6"/>
  <c r="A94" i="6"/>
  <c r="E93" i="6"/>
  <c r="A93" i="6"/>
  <c r="E92" i="6"/>
  <c r="A92" i="6"/>
  <c r="E91" i="6"/>
  <c r="A91" i="6"/>
  <c r="E90" i="6"/>
  <c r="A90" i="6"/>
  <c r="E89" i="6"/>
  <c r="A89" i="6"/>
  <c r="E88" i="6"/>
  <c r="A88" i="6"/>
  <c r="E87" i="6"/>
  <c r="A87" i="6"/>
  <c r="E86" i="6"/>
  <c r="A86" i="6"/>
  <c r="E85" i="6"/>
  <c r="A85" i="6"/>
  <c r="E84" i="6"/>
  <c r="A84" i="6"/>
  <c r="E83" i="6"/>
  <c r="A83" i="6"/>
  <c r="E82" i="6"/>
  <c r="A82" i="6"/>
  <c r="E81" i="6"/>
  <c r="A81" i="6"/>
  <c r="E80" i="6"/>
  <c r="A80" i="6"/>
  <c r="E79" i="6"/>
  <c r="A79" i="6"/>
  <c r="E78" i="6"/>
  <c r="A78" i="6"/>
  <c r="E77" i="6"/>
  <c r="A77" i="6"/>
  <c r="E76" i="6"/>
  <c r="A76" i="6"/>
  <c r="E75" i="6"/>
  <c r="A75" i="6"/>
  <c r="E74" i="6"/>
  <c r="A74" i="6"/>
  <c r="E73" i="6"/>
  <c r="A73" i="6"/>
  <c r="E72" i="6"/>
  <c r="A72" i="6"/>
  <c r="E71" i="6"/>
  <c r="A71" i="6"/>
  <c r="E70" i="6"/>
  <c r="A70" i="6"/>
  <c r="E69" i="6"/>
  <c r="A69" i="6"/>
  <c r="E68" i="6"/>
  <c r="A68" i="6"/>
  <c r="E67" i="6"/>
  <c r="A67" i="6"/>
  <c r="E66" i="6"/>
  <c r="A66" i="6"/>
  <c r="E65" i="6"/>
  <c r="A65" i="6"/>
  <c r="E64" i="6"/>
  <c r="A64" i="6"/>
  <c r="E63" i="6"/>
  <c r="A63" i="6"/>
  <c r="E62" i="6"/>
  <c r="A62" i="6"/>
  <c r="E61" i="6"/>
  <c r="A61" i="6"/>
  <c r="E60" i="6"/>
  <c r="A60" i="6"/>
  <c r="E59" i="6"/>
  <c r="A59" i="6"/>
  <c r="E58" i="6"/>
  <c r="A58" i="6"/>
  <c r="E57" i="6"/>
  <c r="A57" i="6"/>
  <c r="E56" i="6"/>
  <c r="A56" i="6"/>
  <c r="E55" i="6"/>
  <c r="A55" i="6"/>
  <c r="E54" i="6"/>
  <c r="A54" i="6"/>
  <c r="E53" i="6"/>
  <c r="A53" i="6"/>
  <c r="E52" i="6"/>
  <c r="A52" i="6"/>
  <c r="E51" i="6"/>
  <c r="A51" i="6"/>
  <c r="E50" i="6"/>
  <c r="A50" i="6"/>
  <c r="E49" i="6"/>
  <c r="A49" i="6"/>
  <c r="E48" i="6"/>
  <c r="A48" i="6"/>
  <c r="E47" i="6"/>
  <c r="A47" i="6"/>
  <c r="E46" i="6"/>
  <c r="A46" i="6"/>
  <c r="E45" i="6"/>
  <c r="A45" i="6"/>
  <c r="E44" i="6"/>
  <c r="A44" i="6"/>
  <c r="E43" i="6"/>
  <c r="A43" i="6"/>
  <c r="E42" i="6"/>
  <c r="A42" i="6"/>
  <c r="E41" i="6"/>
  <c r="A41" i="6"/>
  <c r="E40" i="6"/>
  <c r="A40" i="6"/>
  <c r="E39" i="6"/>
  <c r="A39" i="6"/>
  <c r="E38" i="6"/>
  <c r="A38" i="6"/>
  <c r="E37" i="6"/>
  <c r="A37" i="6"/>
  <c r="E36" i="6"/>
  <c r="A36" i="6"/>
  <c r="E35" i="6"/>
  <c r="A35" i="6"/>
  <c r="E34" i="6"/>
  <c r="A34" i="6"/>
  <c r="E33" i="6"/>
  <c r="A33" i="6"/>
  <c r="E32" i="6"/>
  <c r="A32" i="6"/>
  <c r="E31" i="6"/>
  <c r="A31" i="6"/>
  <c r="E30" i="6"/>
  <c r="A30" i="6"/>
  <c r="E29" i="6"/>
  <c r="A29" i="6"/>
  <c r="E28" i="6"/>
  <c r="A28" i="6"/>
  <c r="E27" i="6"/>
  <c r="A27" i="6"/>
  <c r="E26" i="6"/>
  <c r="A26" i="6"/>
  <c r="E25" i="6"/>
  <c r="A25" i="6"/>
  <c r="E24" i="6"/>
  <c r="A24" i="6"/>
  <c r="E23" i="6"/>
  <c r="A23" i="6"/>
  <c r="E22" i="6"/>
  <c r="A22" i="6"/>
  <c r="E21" i="6"/>
  <c r="A21" i="6"/>
  <c r="E20" i="6"/>
  <c r="A20" i="6"/>
  <c r="E19" i="6"/>
  <c r="A19" i="6"/>
  <c r="E18" i="6"/>
  <c r="A18" i="6"/>
  <c r="E17" i="6"/>
  <c r="A17" i="6"/>
  <c r="E16" i="6"/>
  <c r="A16" i="6"/>
  <c r="E15" i="6"/>
  <c r="A15" i="6"/>
  <c r="E14" i="6"/>
  <c r="A14" i="6"/>
  <c r="E13" i="6"/>
  <c r="A13" i="6"/>
  <c r="E12" i="6"/>
  <c r="A12" i="6"/>
  <c r="E11" i="6"/>
  <c r="A11" i="6"/>
  <c r="E10" i="6"/>
  <c r="A10" i="6"/>
  <c r="E9" i="6"/>
  <c r="A9" i="6"/>
  <c r="E8" i="6"/>
  <c r="A8" i="6"/>
  <c r="E7" i="6"/>
  <c r="A7" i="6"/>
  <c r="E6" i="6"/>
  <c r="A6" i="6"/>
  <c r="E5" i="6"/>
  <c r="A5" i="6"/>
  <c r="E4" i="6"/>
  <c r="A4" i="6"/>
  <c r="E3" i="6"/>
  <c r="A3" i="6"/>
  <c r="E2" i="6"/>
  <c r="A2" i="6"/>
  <c r="D183" i="5"/>
  <c r="D426" i="6" s="1"/>
  <c r="C183" i="5"/>
  <c r="C426" i="6" s="1"/>
  <c r="B183" i="5"/>
  <c r="D182" i="5"/>
  <c r="D425" i="6" s="1"/>
  <c r="C182" i="5"/>
  <c r="C425" i="6" s="1"/>
  <c r="B182" i="5"/>
  <c r="D181" i="5"/>
  <c r="D424" i="6" s="1"/>
  <c r="C181" i="5"/>
  <c r="C424" i="6" s="1"/>
  <c r="B181" i="5"/>
  <c r="D180" i="5"/>
  <c r="D423" i="6" s="1"/>
  <c r="C180" i="5"/>
  <c r="C423" i="6" s="1"/>
  <c r="B180" i="5"/>
  <c r="D179" i="5"/>
  <c r="D422" i="6" s="1"/>
  <c r="C179" i="5"/>
  <c r="C422" i="6" s="1"/>
  <c r="B179" i="5"/>
  <c r="D178" i="5"/>
  <c r="D421" i="6" s="1"/>
  <c r="C178" i="5"/>
  <c r="C421" i="6" s="1"/>
  <c r="B178" i="5"/>
  <c r="D177" i="5"/>
  <c r="D420" i="6" s="1"/>
  <c r="C177" i="5"/>
  <c r="C420" i="6" s="1"/>
  <c r="B177" i="5"/>
  <c r="D176" i="5"/>
  <c r="D419" i="6" s="1"/>
  <c r="C176" i="5"/>
  <c r="C419" i="6" s="1"/>
  <c r="B176" i="5"/>
  <c r="D175" i="5"/>
  <c r="D418" i="6" s="1"/>
  <c r="C175" i="5"/>
  <c r="C418" i="6" s="1"/>
  <c r="B175" i="5"/>
  <c r="D174" i="5"/>
  <c r="D417" i="6" s="1"/>
  <c r="C174" i="5"/>
  <c r="C417" i="6" s="1"/>
  <c r="B174" i="5"/>
  <c r="D173" i="5"/>
  <c r="D416" i="6" s="1"/>
  <c r="C173" i="5"/>
  <c r="C416" i="6" s="1"/>
  <c r="B173" i="5"/>
  <c r="D172" i="5"/>
  <c r="D415" i="6" s="1"/>
  <c r="C172" i="5"/>
  <c r="C415" i="6" s="1"/>
  <c r="B172" i="5"/>
  <c r="D171" i="5"/>
  <c r="D414" i="6" s="1"/>
  <c r="B171" i="5"/>
  <c r="D170" i="5"/>
  <c r="D413" i="6" s="1"/>
  <c r="C170" i="5"/>
  <c r="C413" i="6" s="1"/>
  <c r="B170" i="5"/>
  <c r="D169" i="5"/>
  <c r="D412" i="6" s="1"/>
  <c r="C169" i="5"/>
  <c r="C412" i="6" s="1"/>
  <c r="B169" i="5"/>
  <c r="D168" i="5"/>
  <c r="D411" i="6" s="1"/>
  <c r="C168" i="5"/>
  <c r="C411" i="6" s="1"/>
  <c r="B168" i="5"/>
  <c r="D167" i="5"/>
  <c r="D410" i="6" s="1"/>
  <c r="C167" i="5"/>
  <c r="C410" i="6" s="1"/>
  <c r="B167" i="5"/>
  <c r="D166" i="5"/>
  <c r="D409" i="6" s="1"/>
  <c r="C166" i="5"/>
  <c r="C409" i="6" s="1"/>
  <c r="B166" i="5"/>
  <c r="D165" i="5"/>
  <c r="D408" i="6" s="1"/>
  <c r="C165" i="5"/>
  <c r="C408" i="6" s="1"/>
  <c r="B165" i="5"/>
  <c r="D164" i="5"/>
  <c r="D407" i="6" s="1"/>
  <c r="C164" i="5"/>
  <c r="C407" i="6" s="1"/>
  <c r="B164" i="5"/>
  <c r="D163" i="5"/>
  <c r="D406" i="6" s="1"/>
  <c r="C163" i="5"/>
  <c r="C406" i="6" s="1"/>
  <c r="B163" i="5"/>
  <c r="D162" i="5"/>
  <c r="D405" i="6" s="1"/>
  <c r="C162" i="5"/>
  <c r="C405" i="6" s="1"/>
  <c r="B162" i="5"/>
  <c r="D161" i="5"/>
  <c r="D404" i="6" s="1"/>
  <c r="C161" i="5"/>
  <c r="C404" i="6" s="1"/>
  <c r="B161" i="5"/>
  <c r="D160" i="5"/>
  <c r="D403" i="6" s="1"/>
  <c r="C160" i="5"/>
  <c r="C403" i="6" s="1"/>
  <c r="B160" i="5"/>
  <c r="D159" i="5"/>
  <c r="D402" i="6" s="1"/>
  <c r="C159" i="5"/>
  <c r="C402" i="6" s="1"/>
  <c r="B159" i="5"/>
  <c r="D158" i="5"/>
  <c r="D401" i="6" s="1"/>
  <c r="C158" i="5"/>
  <c r="C401" i="6" s="1"/>
  <c r="B158" i="5"/>
  <c r="D157" i="5"/>
  <c r="D400" i="6" s="1"/>
  <c r="C157" i="5"/>
  <c r="C400" i="6" s="1"/>
  <c r="B157" i="5"/>
  <c r="D156" i="5"/>
  <c r="D399" i="6" s="1"/>
  <c r="C156" i="5"/>
  <c r="C399" i="6" s="1"/>
  <c r="B156" i="5"/>
  <c r="D155" i="5"/>
  <c r="D398" i="6" s="1"/>
  <c r="C155" i="5"/>
  <c r="C398" i="6" s="1"/>
  <c r="B155" i="5"/>
  <c r="D154" i="5"/>
  <c r="D397" i="6" s="1"/>
  <c r="C154" i="5"/>
  <c r="C397" i="6" s="1"/>
  <c r="B154" i="5"/>
  <c r="D153" i="5"/>
  <c r="D396" i="6" s="1"/>
  <c r="C153" i="5"/>
  <c r="C396" i="6" s="1"/>
  <c r="B153" i="5"/>
  <c r="D152" i="5"/>
  <c r="D395" i="6" s="1"/>
  <c r="C152" i="5"/>
  <c r="C395" i="6" s="1"/>
  <c r="B152" i="5"/>
  <c r="D151" i="5"/>
  <c r="D394" i="6" s="1"/>
  <c r="C151" i="5"/>
  <c r="C394" i="6" s="1"/>
  <c r="B151" i="5"/>
  <c r="D150" i="5"/>
  <c r="D393" i="6" s="1"/>
  <c r="C150" i="5"/>
  <c r="C393" i="6" s="1"/>
  <c r="B150" i="5"/>
  <c r="D149" i="5"/>
  <c r="D392" i="6" s="1"/>
  <c r="C149" i="5"/>
  <c r="C392" i="6" s="1"/>
  <c r="B149" i="5"/>
  <c r="D148" i="5"/>
  <c r="D391" i="6" s="1"/>
  <c r="C148" i="5"/>
  <c r="C391" i="6" s="1"/>
  <c r="B148" i="5"/>
  <c r="D147" i="5"/>
  <c r="D390" i="6" s="1"/>
  <c r="C147" i="5"/>
  <c r="C390" i="6" s="1"/>
  <c r="B147" i="5"/>
  <c r="D146" i="5"/>
  <c r="D389" i="6" s="1"/>
  <c r="C146" i="5"/>
  <c r="C389" i="6" s="1"/>
  <c r="B146" i="5"/>
  <c r="D145" i="5"/>
  <c r="D388" i="6" s="1"/>
  <c r="C145" i="5"/>
  <c r="C388" i="6" s="1"/>
  <c r="B145" i="5"/>
  <c r="D144" i="5"/>
  <c r="D387" i="6" s="1"/>
  <c r="C144" i="5"/>
  <c r="C387" i="6" s="1"/>
  <c r="B144" i="5"/>
  <c r="D143" i="5"/>
  <c r="D386" i="6" s="1"/>
  <c r="C143" i="5"/>
  <c r="C386" i="6" s="1"/>
  <c r="B143" i="5"/>
  <c r="D142" i="5"/>
  <c r="D385" i="6" s="1"/>
  <c r="C142" i="5"/>
  <c r="C385" i="6" s="1"/>
  <c r="B142" i="5"/>
  <c r="D141" i="5"/>
  <c r="D384" i="6" s="1"/>
  <c r="C141" i="5"/>
  <c r="C384" i="6" s="1"/>
  <c r="B141" i="5"/>
  <c r="D140" i="5"/>
  <c r="D383" i="6" s="1"/>
  <c r="C140" i="5"/>
  <c r="C383" i="6" s="1"/>
  <c r="B140" i="5"/>
  <c r="D139" i="5"/>
  <c r="D382" i="6" s="1"/>
  <c r="C139" i="5"/>
  <c r="C382" i="6" s="1"/>
  <c r="B139" i="5"/>
  <c r="D138" i="5"/>
  <c r="D381" i="6" s="1"/>
  <c r="C138" i="5"/>
  <c r="C381" i="6" s="1"/>
  <c r="B138" i="5"/>
  <c r="D137" i="5"/>
  <c r="D380" i="6" s="1"/>
  <c r="C137" i="5"/>
  <c r="C380" i="6" s="1"/>
  <c r="B137" i="5"/>
  <c r="D136" i="5"/>
  <c r="D379" i="6" s="1"/>
  <c r="C136" i="5"/>
  <c r="C379" i="6" s="1"/>
  <c r="B136" i="5"/>
  <c r="D135" i="5"/>
  <c r="D378" i="6" s="1"/>
  <c r="C135" i="5"/>
  <c r="C378" i="6" s="1"/>
  <c r="B135" i="5"/>
  <c r="D134" i="5"/>
  <c r="D377" i="6" s="1"/>
  <c r="C134" i="5"/>
  <c r="C377" i="6" s="1"/>
  <c r="B134" i="5"/>
  <c r="D133" i="5"/>
  <c r="D376" i="6" s="1"/>
  <c r="C133" i="5"/>
  <c r="C376" i="6" s="1"/>
  <c r="B133" i="5"/>
  <c r="D132" i="5"/>
  <c r="D375" i="6" s="1"/>
  <c r="C132" i="5"/>
  <c r="C375" i="6" s="1"/>
  <c r="B132" i="5"/>
  <c r="D131" i="5"/>
  <c r="D374" i="6" s="1"/>
  <c r="C131" i="5"/>
  <c r="C374" i="6" s="1"/>
  <c r="B131" i="5"/>
  <c r="D130" i="5"/>
  <c r="D373" i="6" s="1"/>
  <c r="C130" i="5"/>
  <c r="C373" i="6" s="1"/>
  <c r="B130" i="5"/>
  <c r="D129" i="5"/>
  <c r="D372" i="6" s="1"/>
  <c r="C129" i="5"/>
  <c r="C372" i="6" s="1"/>
  <c r="B129" i="5"/>
  <c r="D128" i="5"/>
  <c r="D371" i="6" s="1"/>
  <c r="C128" i="5"/>
  <c r="C371" i="6" s="1"/>
  <c r="B128" i="5"/>
  <c r="D127" i="5"/>
  <c r="D370" i="6" s="1"/>
  <c r="C127" i="5"/>
  <c r="C370" i="6" s="1"/>
  <c r="B127" i="5"/>
  <c r="D126" i="5"/>
  <c r="D369" i="6" s="1"/>
  <c r="C126" i="5"/>
  <c r="C369" i="6" s="1"/>
  <c r="B126" i="5"/>
  <c r="D125" i="5"/>
  <c r="D368" i="6" s="1"/>
  <c r="C125" i="5"/>
  <c r="C368" i="6" s="1"/>
  <c r="B125" i="5"/>
  <c r="D124" i="5"/>
  <c r="D367" i="6" s="1"/>
  <c r="C124" i="5"/>
  <c r="C367" i="6" s="1"/>
  <c r="B124" i="5"/>
  <c r="D123" i="5"/>
  <c r="D366" i="6" s="1"/>
  <c r="C123" i="5"/>
  <c r="C366" i="6" s="1"/>
  <c r="B123" i="5"/>
  <c r="D122" i="5"/>
  <c r="D365" i="6" s="1"/>
  <c r="C122" i="5"/>
  <c r="C365" i="6" s="1"/>
  <c r="B122" i="5"/>
  <c r="D121" i="5"/>
  <c r="D364" i="6" s="1"/>
  <c r="C121" i="5"/>
  <c r="C364" i="6" s="1"/>
  <c r="B121" i="5"/>
  <c r="D120" i="5"/>
  <c r="D363" i="6" s="1"/>
  <c r="C120" i="5"/>
  <c r="C363" i="6" s="1"/>
  <c r="B120" i="5"/>
  <c r="D119" i="5"/>
  <c r="D362" i="6" s="1"/>
  <c r="C119" i="5"/>
  <c r="C362" i="6" s="1"/>
  <c r="B119" i="5"/>
  <c r="D118" i="5"/>
  <c r="D361" i="6" s="1"/>
  <c r="C118" i="5"/>
  <c r="C361" i="6" s="1"/>
  <c r="B118" i="5"/>
  <c r="D117" i="5"/>
  <c r="D360" i="6" s="1"/>
  <c r="C117" i="5"/>
  <c r="C360" i="6" s="1"/>
  <c r="B117" i="5"/>
  <c r="D116" i="5"/>
  <c r="D359" i="6" s="1"/>
  <c r="C116" i="5"/>
  <c r="C359" i="6" s="1"/>
  <c r="B116" i="5"/>
  <c r="D115" i="5"/>
  <c r="D358" i="6" s="1"/>
  <c r="C115" i="5"/>
  <c r="C358" i="6" s="1"/>
  <c r="B115" i="5"/>
  <c r="D114" i="5"/>
  <c r="D357" i="6" s="1"/>
  <c r="C114" i="5"/>
  <c r="C357" i="6" s="1"/>
  <c r="B114" i="5"/>
  <c r="D113" i="5"/>
  <c r="D356" i="6" s="1"/>
  <c r="C113" i="5"/>
  <c r="C356" i="6" s="1"/>
  <c r="B113" i="5"/>
  <c r="D112" i="5"/>
  <c r="D355" i="6" s="1"/>
  <c r="C112" i="5"/>
  <c r="C355" i="6" s="1"/>
  <c r="B112" i="5"/>
  <c r="D111" i="5"/>
  <c r="D354" i="6" s="1"/>
  <c r="C111" i="5"/>
  <c r="C354" i="6" s="1"/>
  <c r="B111" i="5"/>
  <c r="D110" i="5"/>
  <c r="D353" i="6" s="1"/>
  <c r="C110" i="5"/>
  <c r="C353" i="6" s="1"/>
  <c r="B110" i="5"/>
  <c r="D109" i="5"/>
  <c r="D352" i="6" s="1"/>
  <c r="C109" i="5"/>
  <c r="C352" i="6" s="1"/>
  <c r="B109" i="5"/>
  <c r="D108" i="5"/>
  <c r="D351" i="6" s="1"/>
  <c r="C108" i="5"/>
  <c r="C351" i="6" s="1"/>
  <c r="B108" i="5"/>
  <c r="D107" i="5"/>
  <c r="D350" i="6" s="1"/>
  <c r="C107" i="5"/>
  <c r="C350" i="6" s="1"/>
  <c r="B107" i="5"/>
  <c r="D106" i="5"/>
  <c r="D349" i="6" s="1"/>
  <c r="C106" i="5"/>
  <c r="C349" i="6" s="1"/>
  <c r="B106" i="5"/>
  <c r="D105" i="5"/>
  <c r="D348" i="6" s="1"/>
  <c r="C105" i="5"/>
  <c r="C348" i="6" s="1"/>
  <c r="B105" i="5"/>
  <c r="D104" i="5"/>
  <c r="D347" i="6" s="1"/>
  <c r="C104" i="5"/>
  <c r="C347" i="6" s="1"/>
  <c r="B104" i="5"/>
  <c r="D103" i="5"/>
  <c r="D346" i="6" s="1"/>
  <c r="C103" i="5"/>
  <c r="C346" i="6" s="1"/>
  <c r="B103" i="5"/>
  <c r="D102" i="5"/>
  <c r="D345" i="6" s="1"/>
  <c r="C102" i="5"/>
  <c r="C345" i="6" s="1"/>
  <c r="B102" i="5"/>
  <c r="D101" i="5"/>
  <c r="D344" i="6" s="1"/>
  <c r="C101" i="5"/>
  <c r="C344" i="6" s="1"/>
  <c r="B101" i="5"/>
  <c r="D100" i="5"/>
  <c r="D343" i="6" s="1"/>
  <c r="C100" i="5"/>
  <c r="C343" i="6" s="1"/>
  <c r="B100" i="5"/>
  <c r="D99" i="5"/>
  <c r="D342" i="6" s="1"/>
  <c r="C99" i="5"/>
  <c r="C342" i="6" s="1"/>
  <c r="B99" i="5"/>
  <c r="D98" i="5"/>
  <c r="D341" i="6" s="1"/>
  <c r="C98" i="5"/>
  <c r="C341" i="6" s="1"/>
  <c r="B98" i="5"/>
  <c r="D97" i="5"/>
  <c r="D340" i="6" s="1"/>
  <c r="C97" i="5"/>
  <c r="C340" i="6" s="1"/>
  <c r="B97" i="5"/>
  <c r="D96" i="5"/>
  <c r="D339" i="6" s="1"/>
  <c r="C96" i="5"/>
  <c r="C339" i="6" s="1"/>
  <c r="B96" i="5"/>
  <c r="D95" i="5"/>
  <c r="D338" i="6" s="1"/>
  <c r="C95" i="5"/>
  <c r="C338" i="6" s="1"/>
  <c r="B95" i="5"/>
  <c r="D94" i="5"/>
  <c r="D337" i="6" s="1"/>
  <c r="C94" i="5"/>
  <c r="C337" i="6" s="1"/>
  <c r="B94" i="5"/>
  <c r="D93" i="5"/>
  <c r="D336" i="6" s="1"/>
  <c r="C93" i="5"/>
  <c r="C336" i="6" s="1"/>
  <c r="B93" i="5"/>
  <c r="D92" i="5"/>
  <c r="D335" i="6" s="1"/>
  <c r="C92" i="5"/>
  <c r="C335" i="6" s="1"/>
  <c r="B92" i="5"/>
  <c r="D91" i="5"/>
  <c r="D334" i="6" s="1"/>
  <c r="C91" i="5"/>
  <c r="C334" i="6" s="1"/>
  <c r="B91" i="5"/>
  <c r="D90" i="5"/>
  <c r="D333" i="6" s="1"/>
  <c r="C90" i="5"/>
  <c r="C333" i="6" s="1"/>
  <c r="B90" i="5"/>
  <c r="D89" i="5"/>
  <c r="D332" i="6" s="1"/>
  <c r="C89" i="5"/>
  <c r="C332" i="6" s="1"/>
  <c r="B89" i="5"/>
  <c r="D88" i="5"/>
  <c r="D331" i="6" s="1"/>
  <c r="C88" i="5"/>
  <c r="C331" i="6" s="1"/>
  <c r="B88" i="5"/>
  <c r="D87" i="5"/>
  <c r="D330" i="6" s="1"/>
  <c r="C87" i="5"/>
  <c r="C330" i="6" s="1"/>
  <c r="B87" i="5"/>
  <c r="D86" i="5"/>
  <c r="D329" i="6" s="1"/>
  <c r="C86" i="5"/>
  <c r="C329" i="6" s="1"/>
  <c r="B86" i="5"/>
  <c r="D85" i="5"/>
  <c r="D328" i="6" s="1"/>
  <c r="C85" i="5"/>
  <c r="C328" i="6" s="1"/>
  <c r="B85" i="5"/>
  <c r="D84" i="5"/>
  <c r="D327" i="6" s="1"/>
  <c r="C84" i="5"/>
  <c r="C327" i="6" s="1"/>
  <c r="B84" i="5"/>
  <c r="D83" i="5"/>
  <c r="D326" i="6" s="1"/>
  <c r="C83" i="5"/>
  <c r="C326" i="6" s="1"/>
  <c r="B83" i="5"/>
  <c r="D82" i="5"/>
  <c r="D325" i="6" s="1"/>
  <c r="C82" i="5"/>
  <c r="C325" i="6" s="1"/>
  <c r="B82" i="5"/>
  <c r="D81" i="5"/>
  <c r="D324" i="6" s="1"/>
  <c r="C81" i="5"/>
  <c r="C324" i="6" s="1"/>
  <c r="B81" i="5"/>
  <c r="D80" i="5"/>
  <c r="D323" i="6" s="1"/>
  <c r="C80" i="5"/>
  <c r="C323" i="6" s="1"/>
  <c r="B80" i="5"/>
  <c r="D79" i="5"/>
  <c r="D322" i="6" s="1"/>
  <c r="C79" i="5"/>
  <c r="C322" i="6" s="1"/>
  <c r="B79" i="5"/>
  <c r="D78" i="5"/>
  <c r="D321" i="6" s="1"/>
  <c r="C78" i="5"/>
  <c r="C321" i="6" s="1"/>
  <c r="B78" i="5"/>
  <c r="D77" i="5"/>
  <c r="D320" i="6" s="1"/>
  <c r="C77" i="5"/>
  <c r="C320" i="6" s="1"/>
  <c r="B77" i="5"/>
  <c r="D76" i="5"/>
  <c r="D319" i="6" s="1"/>
  <c r="C76" i="5"/>
  <c r="C319" i="6" s="1"/>
  <c r="B76" i="5"/>
  <c r="D75" i="5"/>
  <c r="D318" i="6" s="1"/>
  <c r="C75" i="5"/>
  <c r="C318" i="6" s="1"/>
  <c r="B75" i="5"/>
  <c r="D74" i="5"/>
  <c r="D317" i="6" s="1"/>
  <c r="C74" i="5"/>
  <c r="C317" i="6" s="1"/>
  <c r="B74" i="5"/>
  <c r="D73" i="5"/>
  <c r="D316" i="6" s="1"/>
  <c r="C73" i="5"/>
  <c r="C316" i="6" s="1"/>
  <c r="B73" i="5"/>
  <c r="D72" i="5"/>
  <c r="D315" i="6" s="1"/>
  <c r="C72" i="5"/>
  <c r="C315" i="6" s="1"/>
  <c r="B72" i="5"/>
  <c r="D71" i="5"/>
  <c r="D314" i="6" s="1"/>
  <c r="C71" i="5"/>
  <c r="C314" i="6" s="1"/>
  <c r="B71" i="5"/>
  <c r="D70" i="5"/>
  <c r="D313" i="6" s="1"/>
  <c r="C70" i="5"/>
  <c r="C313" i="6" s="1"/>
  <c r="B70" i="5"/>
  <c r="D69" i="5"/>
  <c r="D312" i="6" s="1"/>
  <c r="C69" i="5"/>
  <c r="C312" i="6" s="1"/>
  <c r="B69" i="5"/>
  <c r="D68" i="5"/>
  <c r="D311" i="6" s="1"/>
  <c r="C68" i="5"/>
  <c r="C311" i="6" s="1"/>
  <c r="B68" i="5"/>
  <c r="D67" i="5"/>
  <c r="D310" i="6" s="1"/>
  <c r="C67" i="5"/>
  <c r="C310" i="6" s="1"/>
  <c r="B67" i="5"/>
  <c r="D66" i="5"/>
  <c r="D309" i="6" s="1"/>
  <c r="C66" i="5"/>
  <c r="C309" i="6" s="1"/>
  <c r="B66" i="5"/>
  <c r="D65" i="5"/>
  <c r="D308" i="6" s="1"/>
  <c r="C65" i="5"/>
  <c r="C308" i="6" s="1"/>
  <c r="B65" i="5"/>
  <c r="D64" i="5"/>
  <c r="D307" i="6" s="1"/>
  <c r="C64" i="5"/>
  <c r="C307" i="6" s="1"/>
  <c r="B64" i="5"/>
  <c r="D63" i="5"/>
  <c r="D306" i="6" s="1"/>
  <c r="C63" i="5"/>
  <c r="C306" i="6" s="1"/>
  <c r="B63" i="5"/>
  <c r="D62" i="5"/>
  <c r="D305" i="6" s="1"/>
  <c r="C62" i="5"/>
  <c r="C305" i="6" s="1"/>
  <c r="B62" i="5"/>
  <c r="D61" i="5"/>
  <c r="D304" i="6" s="1"/>
  <c r="C61" i="5"/>
  <c r="C304" i="6" s="1"/>
  <c r="B61" i="5"/>
  <c r="D60" i="5"/>
  <c r="D303" i="6" s="1"/>
  <c r="C60" i="5"/>
  <c r="C303" i="6" s="1"/>
  <c r="B60" i="5"/>
  <c r="D59" i="5"/>
  <c r="D302" i="6" s="1"/>
  <c r="C59" i="5"/>
  <c r="C302" i="6" s="1"/>
  <c r="B59" i="5"/>
  <c r="D58" i="5"/>
  <c r="D301" i="6" s="1"/>
  <c r="C58" i="5"/>
  <c r="C301" i="6" s="1"/>
  <c r="B58" i="5"/>
  <c r="D57" i="5"/>
  <c r="D300" i="6" s="1"/>
  <c r="C57" i="5"/>
  <c r="C300" i="6" s="1"/>
  <c r="B57" i="5"/>
  <c r="D56" i="5"/>
  <c r="D299" i="6" s="1"/>
  <c r="C56" i="5"/>
  <c r="C299" i="6" s="1"/>
  <c r="B56" i="5"/>
  <c r="D55" i="5"/>
  <c r="D298" i="6" s="1"/>
  <c r="C55" i="5"/>
  <c r="C298" i="6" s="1"/>
  <c r="B55" i="5"/>
  <c r="D54" i="5"/>
  <c r="D297" i="6" s="1"/>
  <c r="C54" i="5"/>
  <c r="C297" i="6" s="1"/>
  <c r="B54" i="5"/>
  <c r="D53" i="5"/>
  <c r="D296" i="6" s="1"/>
  <c r="C53" i="5"/>
  <c r="C296" i="6" s="1"/>
  <c r="B53" i="5"/>
  <c r="D52" i="5"/>
  <c r="D295" i="6" s="1"/>
  <c r="C52" i="5"/>
  <c r="C295" i="6" s="1"/>
  <c r="B52" i="5"/>
  <c r="D51" i="5"/>
  <c r="D294" i="6" s="1"/>
  <c r="C51" i="5"/>
  <c r="C294" i="6" s="1"/>
  <c r="B51" i="5"/>
  <c r="D50" i="5"/>
  <c r="D293" i="6" s="1"/>
  <c r="C50" i="5"/>
  <c r="C293" i="6" s="1"/>
  <c r="B50" i="5"/>
  <c r="D49" i="5"/>
  <c r="D292" i="6" s="1"/>
  <c r="C49" i="5"/>
  <c r="C292" i="6" s="1"/>
  <c r="B49" i="5"/>
  <c r="D48" i="5"/>
  <c r="D291" i="6" s="1"/>
  <c r="C48" i="5"/>
  <c r="C291" i="6" s="1"/>
  <c r="B48" i="5"/>
  <c r="D47" i="5"/>
  <c r="D290" i="6" s="1"/>
  <c r="C47" i="5"/>
  <c r="C290" i="6" s="1"/>
  <c r="B47" i="5"/>
  <c r="D46" i="5"/>
  <c r="D289" i="6" s="1"/>
  <c r="C46" i="5"/>
  <c r="C289" i="6" s="1"/>
  <c r="B46" i="5"/>
  <c r="D45" i="5"/>
  <c r="D288" i="6" s="1"/>
  <c r="C45" i="5"/>
  <c r="C288" i="6" s="1"/>
  <c r="B45" i="5"/>
  <c r="D44" i="5"/>
  <c r="D287" i="6" s="1"/>
  <c r="C44" i="5"/>
  <c r="C287" i="6" s="1"/>
  <c r="B44" i="5"/>
  <c r="D43" i="5"/>
  <c r="D286" i="6" s="1"/>
  <c r="C43" i="5"/>
  <c r="C286" i="6" s="1"/>
  <c r="B43" i="5"/>
  <c r="D42" i="5"/>
  <c r="D285" i="6" s="1"/>
  <c r="C42" i="5"/>
  <c r="C285" i="6" s="1"/>
  <c r="B42" i="5"/>
  <c r="D41" i="5"/>
  <c r="D284" i="6" s="1"/>
  <c r="C41" i="5"/>
  <c r="C284" i="6" s="1"/>
  <c r="B41" i="5"/>
  <c r="D40" i="5"/>
  <c r="D283" i="6" s="1"/>
  <c r="C40" i="5"/>
  <c r="C283" i="6" s="1"/>
  <c r="B40" i="5"/>
  <c r="D39" i="5"/>
  <c r="D282" i="6" s="1"/>
  <c r="C39" i="5"/>
  <c r="C282" i="6" s="1"/>
  <c r="B39" i="5"/>
  <c r="D38" i="5"/>
  <c r="D281" i="6" s="1"/>
  <c r="C38" i="5"/>
  <c r="C281" i="6" s="1"/>
  <c r="B38" i="5"/>
  <c r="D37" i="5"/>
  <c r="D280" i="6" s="1"/>
  <c r="C37" i="5"/>
  <c r="C280" i="6" s="1"/>
  <c r="B37" i="5"/>
  <c r="D36" i="5"/>
  <c r="D279" i="6" s="1"/>
  <c r="C36" i="5"/>
  <c r="C279" i="6" s="1"/>
  <c r="B36" i="5"/>
  <c r="D35" i="5"/>
  <c r="D278" i="6" s="1"/>
  <c r="C35" i="5"/>
  <c r="C278" i="6" s="1"/>
  <c r="B35" i="5"/>
  <c r="D34" i="5"/>
  <c r="D277" i="6" s="1"/>
  <c r="C34" i="5"/>
  <c r="C277" i="6" s="1"/>
  <c r="B34" i="5"/>
  <c r="D33" i="5"/>
  <c r="D276" i="6" s="1"/>
  <c r="C33" i="5"/>
  <c r="C276" i="6" s="1"/>
  <c r="B33" i="5"/>
  <c r="D32" i="5"/>
  <c r="D275" i="6" s="1"/>
  <c r="C32" i="5"/>
  <c r="C275" i="6" s="1"/>
  <c r="B32" i="5"/>
  <c r="D31" i="5"/>
  <c r="D274" i="6" s="1"/>
  <c r="C31" i="5"/>
  <c r="C274" i="6" s="1"/>
  <c r="B31" i="5"/>
  <c r="D30" i="5"/>
  <c r="D273" i="6" s="1"/>
  <c r="C30" i="5"/>
  <c r="C273" i="6" s="1"/>
  <c r="B30" i="5"/>
  <c r="D29" i="5"/>
  <c r="D272" i="6" s="1"/>
  <c r="C29" i="5"/>
  <c r="C272" i="6" s="1"/>
  <c r="B29" i="5"/>
  <c r="D28" i="5"/>
  <c r="D271" i="6" s="1"/>
  <c r="C28" i="5"/>
  <c r="C271" i="6" s="1"/>
  <c r="B28" i="5"/>
  <c r="D27" i="5"/>
  <c r="D270" i="6" s="1"/>
  <c r="C27" i="5"/>
  <c r="C270" i="6" s="1"/>
  <c r="B27" i="5"/>
  <c r="D26" i="5"/>
  <c r="D269" i="6" s="1"/>
  <c r="C26" i="5"/>
  <c r="C269" i="6" s="1"/>
  <c r="B26" i="5"/>
  <c r="D25" i="5"/>
  <c r="D268" i="6" s="1"/>
  <c r="C25" i="5"/>
  <c r="C268" i="6" s="1"/>
  <c r="B25" i="5"/>
  <c r="D24" i="5"/>
  <c r="D267" i="6" s="1"/>
  <c r="C24" i="5"/>
  <c r="C267" i="6" s="1"/>
  <c r="B24" i="5"/>
  <c r="D23" i="5"/>
  <c r="D266" i="6" s="1"/>
  <c r="C23" i="5"/>
  <c r="C266" i="6" s="1"/>
  <c r="B23" i="5"/>
  <c r="D22" i="5"/>
  <c r="D265" i="6" s="1"/>
  <c r="C22" i="5"/>
  <c r="C265" i="6" s="1"/>
  <c r="B22" i="5"/>
  <c r="D21" i="5"/>
  <c r="D264" i="6" s="1"/>
  <c r="C21" i="5"/>
  <c r="C264" i="6" s="1"/>
  <c r="B21" i="5"/>
  <c r="D20" i="5"/>
  <c r="D263" i="6" s="1"/>
  <c r="C20" i="5"/>
  <c r="C263" i="6" s="1"/>
  <c r="B20" i="5"/>
  <c r="D19" i="5"/>
  <c r="D262" i="6" s="1"/>
  <c r="C19" i="5"/>
  <c r="C262" i="6" s="1"/>
  <c r="B19" i="5"/>
  <c r="D18" i="5"/>
  <c r="D261" i="6" s="1"/>
  <c r="C18" i="5"/>
  <c r="C261" i="6" s="1"/>
  <c r="B18" i="5"/>
  <c r="D17" i="5"/>
  <c r="D260" i="6" s="1"/>
  <c r="C17" i="5"/>
  <c r="C260" i="6" s="1"/>
  <c r="B17" i="5"/>
  <c r="D16" i="5"/>
  <c r="D259" i="6" s="1"/>
  <c r="C16" i="5"/>
  <c r="C259" i="6" s="1"/>
  <c r="B16" i="5"/>
  <c r="D15" i="5"/>
  <c r="D258" i="6" s="1"/>
  <c r="C15" i="5"/>
  <c r="C258" i="6" s="1"/>
  <c r="B15" i="5"/>
  <c r="D14" i="5"/>
  <c r="D257" i="6" s="1"/>
  <c r="C14" i="5"/>
  <c r="C257" i="6" s="1"/>
  <c r="B14" i="5"/>
  <c r="D13" i="5"/>
  <c r="D256" i="6" s="1"/>
  <c r="C13" i="5"/>
  <c r="C256" i="6" s="1"/>
  <c r="B13" i="5"/>
  <c r="D12" i="5"/>
  <c r="D255" i="6" s="1"/>
  <c r="C12" i="5"/>
  <c r="C255" i="6" s="1"/>
  <c r="B12" i="5"/>
  <c r="D11" i="5"/>
  <c r="D254" i="6" s="1"/>
  <c r="C11" i="5"/>
  <c r="C254" i="6" s="1"/>
  <c r="B11" i="5"/>
  <c r="D10" i="5"/>
  <c r="D253" i="6" s="1"/>
  <c r="C10" i="5"/>
  <c r="C253" i="6" s="1"/>
  <c r="B10" i="5"/>
  <c r="D9" i="5"/>
  <c r="D252" i="6" s="1"/>
  <c r="C9" i="5"/>
  <c r="C252" i="6" s="1"/>
  <c r="B9" i="5"/>
  <c r="D8" i="5"/>
  <c r="D251" i="6" s="1"/>
  <c r="C8" i="5"/>
  <c r="C251" i="6" s="1"/>
  <c r="B8" i="5"/>
  <c r="D7" i="5"/>
  <c r="D250" i="6" s="1"/>
  <c r="C7" i="5"/>
  <c r="C250" i="6" s="1"/>
  <c r="B7" i="5"/>
  <c r="D6" i="5"/>
  <c r="D249" i="6" s="1"/>
  <c r="C6" i="5"/>
  <c r="C249" i="6" s="1"/>
  <c r="B6" i="5"/>
  <c r="D5" i="5"/>
  <c r="D248" i="6" s="1"/>
  <c r="C5" i="5"/>
  <c r="C248" i="6" s="1"/>
  <c r="B5" i="5"/>
  <c r="D4" i="5"/>
  <c r="D247" i="6" s="1"/>
  <c r="C4" i="5"/>
  <c r="C247" i="6" s="1"/>
  <c r="B4" i="5"/>
  <c r="D3" i="5"/>
  <c r="D246" i="6" s="1"/>
  <c r="C3" i="5"/>
  <c r="C246" i="6" s="1"/>
  <c r="B3" i="5"/>
  <c r="D2" i="5"/>
  <c r="D245" i="6" s="1"/>
  <c r="C2" i="5"/>
  <c r="C245" i="6" s="1"/>
  <c r="B2" i="5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D244" i="4"/>
  <c r="D244" i="6" s="1"/>
  <c r="C244" i="6"/>
  <c r="D121" i="4"/>
  <c r="D243" i="6" s="1"/>
  <c r="C243" i="6"/>
  <c r="D86" i="4"/>
  <c r="D242" i="6" s="1"/>
  <c r="C242" i="6"/>
  <c r="D52" i="4"/>
  <c r="D241" i="6" s="1"/>
  <c r="C241" i="6"/>
  <c r="D243" i="4"/>
  <c r="D240" i="6" s="1"/>
  <c r="C243" i="4"/>
  <c r="C240" i="6" s="1"/>
  <c r="B243" i="4"/>
  <c r="D242" i="4"/>
  <c r="D239" i="6" s="1"/>
  <c r="C242" i="4"/>
  <c r="C239" i="6" s="1"/>
  <c r="B242" i="4"/>
  <c r="D241" i="4"/>
  <c r="D238" i="6" s="1"/>
  <c r="C241" i="4"/>
  <c r="C238" i="6" s="1"/>
  <c r="B241" i="4"/>
  <c r="D240" i="4"/>
  <c r="D237" i="6" s="1"/>
  <c r="C240" i="4"/>
  <c r="C237" i="6" s="1"/>
  <c r="B240" i="4"/>
  <c r="D239" i="4"/>
  <c r="D236" i="6" s="1"/>
  <c r="C239" i="4"/>
  <c r="C236" i="6" s="1"/>
  <c r="B239" i="4"/>
  <c r="D238" i="4"/>
  <c r="D235" i="6" s="1"/>
  <c r="C238" i="4"/>
  <c r="C235" i="6" s="1"/>
  <c r="B238" i="4"/>
  <c r="D237" i="4"/>
  <c r="D234" i="6" s="1"/>
  <c r="C237" i="4"/>
  <c r="C234" i="6" s="1"/>
  <c r="B237" i="4"/>
  <c r="D236" i="4"/>
  <c r="D233" i="6" s="1"/>
  <c r="C236" i="4"/>
  <c r="C233" i="6" s="1"/>
  <c r="B236" i="4"/>
  <c r="D235" i="4"/>
  <c r="D232" i="6" s="1"/>
  <c r="C235" i="4"/>
  <c r="C232" i="6" s="1"/>
  <c r="B235" i="4"/>
  <c r="D234" i="4"/>
  <c r="D231" i="6" s="1"/>
  <c r="C234" i="4"/>
  <c r="C231" i="6" s="1"/>
  <c r="B234" i="4"/>
  <c r="D233" i="4"/>
  <c r="D230" i="6" s="1"/>
  <c r="C233" i="4"/>
  <c r="C230" i="6" s="1"/>
  <c r="B233" i="4"/>
  <c r="D232" i="4"/>
  <c r="D229" i="6" s="1"/>
  <c r="C232" i="4"/>
  <c r="C229" i="6" s="1"/>
  <c r="B232" i="4"/>
  <c r="D231" i="4"/>
  <c r="D228" i="6" s="1"/>
  <c r="C231" i="4"/>
  <c r="C228" i="6" s="1"/>
  <c r="B231" i="4"/>
  <c r="D230" i="4"/>
  <c r="D227" i="6" s="1"/>
  <c r="C230" i="4"/>
  <c r="C227" i="6" s="1"/>
  <c r="B230" i="4"/>
  <c r="D229" i="4"/>
  <c r="D226" i="6" s="1"/>
  <c r="C229" i="4"/>
  <c r="C226" i="6" s="1"/>
  <c r="B229" i="4"/>
  <c r="D228" i="4"/>
  <c r="D225" i="6" s="1"/>
  <c r="C228" i="4"/>
  <c r="C225" i="6" s="1"/>
  <c r="B228" i="4"/>
  <c r="D227" i="4"/>
  <c r="D224" i="6" s="1"/>
  <c r="C227" i="4"/>
  <c r="C224" i="6" s="1"/>
  <c r="B227" i="4"/>
  <c r="D226" i="4"/>
  <c r="D223" i="6" s="1"/>
  <c r="C226" i="4"/>
  <c r="C223" i="6" s="1"/>
  <c r="B226" i="4"/>
  <c r="D225" i="4"/>
  <c r="D222" i="6" s="1"/>
  <c r="C225" i="4"/>
  <c r="C222" i="6" s="1"/>
  <c r="B225" i="4"/>
  <c r="D224" i="4"/>
  <c r="D221" i="6" s="1"/>
  <c r="C224" i="4"/>
  <c r="C221" i="6" s="1"/>
  <c r="B224" i="4"/>
  <c r="D223" i="4"/>
  <c r="D220" i="6" s="1"/>
  <c r="C223" i="4"/>
  <c r="C220" i="6" s="1"/>
  <c r="B223" i="4"/>
  <c r="D222" i="4"/>
  <c r="D219" i="6" s="1"/>
  <c r="C222" i="4"/>
  <c r="C219" i="6" s="1"/>
  <c r="B222" i="4"/>
  <c r="D221" i="4"/>
  <c r="D218" i="6" s="1"/>
  <c r="C221" i="4"/>
  <c r="C218" i="6" s="1"/>
  <c r="B221" i="4"/>
  <c r="D220" i="4"/>
  <c r="D217" i="6" s="1"/>
  <c r="C220" i="4"/>
  <c r="C217" i="6" s="1"/>
  <c r="B220" i="4"/>
  <c r="D219" i="4"/>
  <c r="D216" i="6" s="1"/>
  <c r="C219" i="4"/>
  <c r="C216" i="6" s="1"/>
  <c r="B219" i="4"/>
  <c r="D218" i="4"/>
  <c r="D215" i="6" s="1"/>
  <c r="C218" i="4"/>
  <c r="C215" i="6" s="1"/>
  <c r="B218" i="4"/>
  <c r="D217" i="4"/>
  <c r="D214" i="6" s="1"/>
  <c r="C217" i="4"/>
  <c r="C214" i="6" s="1"/>
  <c r="B217" i="4"/>
  <c r="D216" i="4"/>
  <c r="D213" i="6" s="1"/>
  <c r="C216" i="4"/>
  <c r="C213" i="6" s="1"/>
  <c r="B216" i="4"/>
  <c r="D215" i="4"/>
  <c r="D212" i="6" s="1"/>
  <c r="C215" i="4"/>
  <c r="C212" i="6" s="1"/>
  <c r="B215" i="4"/>
  <c r="D214" i="4"/>
  <c r="D211" i="6" s="1"/>
  <c r="C214" i="4"/>
  <c r="C211" i="6" s="1"/>
  <c r="B214" i="4"/>
  <c r="D213" i="4"/>
  <c r="D210" i="6" s="1"/>
  <c r="C213" i="4"/>
  <c r="C210" i="6" s="1"/>
  <c r="B213" i="4"/>
  <c r="D212" i="4"/>
  <c r="D209" i="6" s="1"/>
  <c r="C212" i="4"/>
  <c r="C209" i="6" s="1"/>
  <c r="B212" i="4"/>
  <c r="D211" i="4"/>
  <c r="D208" i="6" s="1"/>
  <c r="C211" i="4"/>
  <c r="C208" i="6" s="1"/>
  <c r="B211" i="4"/>
  <c r="D210" i="4"/>
  <c r="D207" i="6" s="1"/>
  <c r="C210" i="4"/>
  <c r="C207" i="6" s="1"/>
  <c r="B210" i="4"/>
  <c r="D209" i="4"/>
  <c r="D206" i="6" s="1"/>
  <c r="C209" i="4"/>
  <c r="C206" i="6" s="1"/>
  <c r="B209" i="4"/>
  <c r="D208" i="4"/>
  <c r="D205" i="6" s="1"/>
  <c r="C208" i="4"/>
  <c r="C205" i="6" s="1"/>
  <c r="B208" i="4"/>
  <c r="D207" i="4"/>
  <c r="D204" i="6" s="1"/>
  <c r="C207" i="4"/>
  <c r="C204" i="6" s="1"/>
  <c r="B207" i="4"/>
  <c r="D206" i="4"/>
  <c r="D203" i="6" s="1"/>
  <c r="C206" i="4"/>
  <c r="C203" i="6" s="1"/>
  <c r="B206" i="4"/>
  <c r="D205" i="4"/>
  <c r="D202" i="6" s="1"/>
  <c r="C205" i="4"/>
  <c r="C202" i="6" s="1"/>
  <c r="B205" i="4"/>
  <c r="D204" i="4"/>
  <c r="D201" i="6" s="1"/>
  <c r="C204" i="4"/>
  <c r="C201" i="6" s="1"/>
  <c r="B204" i="4"/>
  <c r="D203" i="4"/>
  <c r="D200" i="6" s="1"/>
  <c r="C203" i="4"/>
  <c r="C200" i="6" s="1"/>
  <c r="B203" i="4"/>
  <c r="D202" i="4"/>
  <c r="D199" i="6" s="1"/>
  <c r="C202" i="4"/>
  <c r="C199" i="6" s="1"/>
  <c r="B202" i="4"/>
  <c r="D201" i="4"/>
  <c r="D198" i="6" s="1"/>
  <c r="C201" i="4"/>
  <c r="C198" i="6" s="1"/>
  <c r="B201" i="4"/>
  <c r="D200" i="4"/>
  <c r="D197" i="6" s="1"/>
  <c r="C200" i="4"/>
  <c r="C197" i="6" s="1"/>
  <c r="B200" i="4"/>
  <c r="D199" i="4"/>
  <c r="D196" i="6" s="1"/>
  <c r="C199" i="4"/>
  <c r="C196" i="6" s="1"/>
  <c r="B199" i="4"/>
  <c r="D198" i="4"/>
  <c r="D195" i="6" s="1"/>
  <c r="C198" i="4"/>
  <c r="C195" i="6" s="1"/>
  <c r="B198" i="4"/>
  <c r="D197" i="4"/>
  <c r="D194" i="6" s="1"/>
  <c r="C197" i="4"/>
  <c r="C194" i="6" s="1"/>
  <c r="B197" i="4"/>
  <c r="D196" i="4"/>
  <c r="D193" i="6" s="1"/>
  <c r="C196" i="4"/>
  <c r="C193" i="6" s="1"/>
  <c r="B196" i="4"/>
  <c r="D195" i="4"/>
  <c r="D192" i="6" s="1"/>
  <c r="C195" i="4"/>
  <c r="C192" i="6" s="1"/>
  <c r="B195" i="4"/>
  <c r="D194" i="4"/>
  <c r="D191" i="6" s="1"/>
  <c r="C194" i="4"/>
  <c r="C191" i="6" s="1"/>
  <c r="B194" i="4"/>
  <c r="D193" i="4"/>
  <c r="D190" i="6" s="1"/>
  <c r="C193" i="4"/>
  <c r="C190" i="6" s="1"/>
  <c r="B193" i="4"/>
  <c r="D192" i="4"/>
  <c r="D189" i="6" s="1"/>
  <c r="C192" i="4"/>
  <c r="C189" i="6" s="1"/>
  <c r="B192" i="4"/>
  <c r="D191" i="4"/>
  <c r="D188" i="6" s="1"/>
  <c r="C191" i="4"/>
  <c r="C188" i="6" s="1"/>
  <c r="B191" i="4"/>
  <c r="D190" i="4"/>
  <c r="D187" i="6" s="1"/>
  <c r="C190" i="4"/>
  <c r="C187" i="6" s="1"/>
  <c r="B190" i="4"/>
  <c r="D189" i="4"/>
  <c r="D186" i="6" s="1"/>
  <c r="C189" i="4"/>
  <c r="C186" i="6" s="1"/>
  <c r="B189" i="4"/>
  <c r="D188" i="4"/>
  <c r="D185" i="6" s="1"/>
  <c r="C188" i="4"/>
  <c r="C185" i="6" s="1"/>
  <c r="B188" i="4"/>
  <c r="D187" i="4"/>
  <c r="D184" i="6" s="1"/>
  <c r="C187" i="4"/>
  <c r="C184" i="6" s="1"/>
  <c r="B187" i="4"/>
  <c r="D186" i="4"/>
  <c r="D183" i="6" s="1"/>
  <c r="C186" i="4"/>
  <c r="C183" i="6" s="1"/>
  <c r="B186" i="4"/>
  <c r="D185" i="4"/>
  <c r="D182" i="6" s="1"/>
  <c r="C185" i="4"/>
  <c r="C182" i="6" s="1"/>
  <c r="B185" i="4"/>
  <c r="D184" i="4"/>
  <c r="D181" i="6" s="1"/>
  <c r="C184" i="4"/>
  <c r="C181" i="6" s="1"/>
  <c r="B184" i="4"/>
  <c r="D183" i="4"/>
  <c r="D180" i="6" s="1"/>
  <c r="C183" i="4"/>
  <c r="C180" i="6" s="1"/>
  <c r="B183" i="4"/>
  <c r="D182" i="4"/>
  <c r="D179" i="6" s="1"/>
  <c r="C182" i="4"/>
  <c r="C179" i="6" s="1"/>
  <c r="B182" i="4"/>
  <c r="D181" i="4"/>
  <c r="D178" i="6" s="1"/>
  <c r="C181" i="4"/>
  <c r="C178" i="6" s="1"/>
  <c r="B181" i="4"/>
  <c r="D180" i="4"/>
  <c r="D177" i="6" s="1"/>
  <c r="C180" i="4"/>
  <c r="C177" i="6" s="1"/>
  <c r="B180" i="4"/>
  <c r="D179" i="4"/>
  <c r="D176" i="6" s="1"/>
  <c r="C179" i="4"/>
  <c r="C176" i="6" s="1"/>
  <c r="B179" i="4"/>
  <c r="D178" i="4"/>
  <c r="D175" i="6" s="1"/>
  <c r="C178" i="4"/>
  <c r="C175" i="6" s="1"/>
  <c r="B178" i="4"/>
  <c r="D177" i="4"/>
  <c r="D174" i="6" s="1"/>
  <c r="C177" i="4"/>
  <c r="C174" i="6" s="1"/>
  <c r="B177" i="4"/>
  <c r="D176" i="4"/>
  <c r="D173" i="6" s="1"/>
  <c r="C176" i="4"/>
  <c r="C173" i="6" s="1"/>
  <c r="B176" i="4"/>
  <c r="D175" i="4"/>
  <c r="D172" i="6" s="1"/>
  <c r="C175" i="4"/>
  <c r="C172" i="6" s="1"/>
  <c r="B175" i="4"/>
  <c r="D174" i="4"/>
  <c r="D171" i="6" s="1"/>
  <c r="C174" i="4"/>
  <c r="C171" i="6" s="1"/>
  <c r="B174" i="4"/>
  <c r="D173" i="4"/>
  <c r="D170" i="6" s="1"/>
  <c r="C173" i="4"/>
  <c r="C170" i="6" s="1"/>
  <c r="B173" i="4"/>
  <c r="D169" i="6"/>
  <c r="C172" i="4"/>
  <c r="C169" i="6" s="1"/>
  <c r="B172" i="4"/>
  <c r="D171" i="4"/>
  <c r="D168" i="6" s="1"/>
  <c r="C171" i="4"/>
  <c r="C168" i="6" s="1"/>
  <c r="B171" i="4"/>
  <c r="D170" i="4"/>
  <c r="D167" i="6" s="1"/>
  <c r="C170" i="4"/>
  <c r="C167" i="6" s="1"/>
  <c r="B170" i="4"/>
  <c r="D169" i="4"/>
  <c r="D166" i="6" s="1"/>
  <c r="C169" i="4"/>
  <c r="C166" i="6" s="1"/>
  <c r="B169" i="4"/>
  <c r="D168" i="4"/>
  <c r="D165" i="6" s="1"/>
  <c r="C168" i="4"/>
  <c r="C165" i="6" s="1"/>
  <c r="B168" i="4"/>
  <c r="D167" i="4"/>
  <c r="D164" i="6" s="1"/>
  <c r="C167" i="4"/>
  <c r="C164" i="6" s="1"/>
  <c r="B167" i="4"/>
  <c r="D166" i="4"/>
  <c r="D163" i="6" s="1"/>
  <c r="C166" i="4"/>
  <c r="C163" i="6" s="1"/>
  <c r="B166" i="4"/>
  <c r="D165" i="4"/>
  <c r="D162" i="6" s="1"/>
  <c r="C165" i="4"/>
  <c r="C162" i="6" s="1"/>
  <c r="B165" i="4"/>
  <c r="D164" i="4"/>
  <c r="D161" i="6" s="1"/>
  <c r="C164" i="4"/>
  <c r="C161" i="6" s="1"/>
  <c r="B164" i="4"/>
  <c r="D163" i="4"/>
  <c r="D160" i="6" s="1"/>
  <c r="C163" i="4"/>
  <c r="C160" i="6" s="1"/>
  <c r="B163" i="4"/>
  <c r="D162" i="4"/>
  <c r="D159" i="6" s="1"/>
  <c r="C162" i="4"/>
  <c r="C159" i="6" s="1"/>
  <c r="B162" i="4"/>
  <c r="D161" i="4"/>
  <c r="D158" i="6" s="1"/>
  <c r="C161" i="4"/>
  <c r="C158" i="6" s="1"/>
  <c r="B161" i="4"/>
  <c r="D160" i="4"/>
  <c r="D157" i="6" s="1"/>
  <c r="C160" i="4"/>
  <c r="C157" i="6" s="1"/>
  <c r="B160" i="4"/>
  <c r="D159" i="4"/>
  <c r="D156" i="6" s="1"/>
  <c r="B159" i="4"/>
  <c r="D158" i="4"/>
  <c r="D155" i="6" s="1"/>
  <c r="C158" i="4"/>
  <c r="C155" i="6" s="1"/>
  <c r="B158" i="4"/>
  <c r="D157" i="4"/>
  <c r="D154" i="6" s="1"/>
  <c r="C157" i="4"/>
  <c r="C154" i="6" s="1"/>
  <c r="B157" i="4"/>
  <c r="D156" i="4"/>
  <c r="D153" i="6" s="1"/>
  <c r="C156" i="4"/>
  <c r="C153" i="6" s="1"/>
  <c r="B156" i="4"/>
  <c r="D155" i="4"/>
  <c r="D152" i="6" s="1"/>
  <c r="C155" i="4"/>
  <c r="C152" i="6" s="1"/>
  <c r="B155" i="4"/>
  <c r="D154" i="4"/>
  <c r="D151" i="6" s="1"/>
  <c r="C154" i="4"/>
  <c r="C151" i="6" s="1"/>
  <c r="B154" i="4"/>
  <c r="D153" i="4"/>
  <c r="D150" i="6" s="1"/>
  <c r="C153" i="4"/>
  <c r="C150" i="6" s="1"/>
  <c r="B153" i="4"/>
  <c r="D152" i="4"/>
  <c r="D149" i="6" s="1"/>
  <c r="C152" i="4"/>
  <c r="C149" i="6" s="1"/>
  <c r="B152" i="4"/>
  <c r="D151" i="4"/>
  <c r="D148" i="6" s="1"/>
  <c r="C151" i="4"/>
  <c r="C148" i="6" s="1"/>
  <c r="B151" i="4"/>
  <c r="D150" i="4"/>
  <c r="D147" i="6" s="1"/>
  <c r="C150" i="4"/>
  <c r="C147" i="6" s="1"/>
  <c r="B150" i="4"/>
  <c r="D149" i="4"/>
  <c r="D146" i="6" s="1"/>
  <c r="C149" i="4"/>
  <c r="C146" i="6" s="1"/>
  <c r="B149" i="4"/>
  <c r="D148" i="4"/>
  <c r="D145" i="6" s="1"/>
  <c r="C148" i="4"/>
  <c r="C145" i="6" s="1"/>
  <c r="B148" i="4"/>
  <c r="D147" i="4"/>
  <c r="D144" i="6" s="1"/>
  <c r="C147" i="4"/>
  <c r="C144" i="6" s="1"/>
  <c r="B147" i="4"/>
  <c r="D146" i="4"/>
  <c r="D143" i="6" s="1"/>
  <c r="C146" i="4"/>
  <c r="C143" i="6" s="1"/>
  <c r="B146" i="4"/>
  <c r="D145" i="4"/>
  <c r="D142" i="6" s="1"/>
  <c r="C145" i="4"/>
  <c r="C142" i="6" s="1"/>
  <c r="B145" i="4"/>
  <c r="D144" i="4"/>
  <c r="D141" i="6" s="1"/>
  <c r="C144" i="4"/>
  <c r="C141" i="6" s="1"/>
  <c r="B144" i="4"/>
  <c r="D143" i="4"/>
  <c r="D140" i="6" s="1"/>
  <c r="C143" i="4"/>
  <c r="C140" i="6" s="1"/>
  <c r="B143" i="4"/>
  <c r="D142" i="4"/>
  <c r="D139" i="6" s="1"/>
  <c r="C142" i="4"/>
  <c r="C139" i="6" s="1"/>
  <c r="B142" i="4"/>
  <c r="D141" i="4"/>
  <c r="D138" i="6" s="1"/>
  <c r="C141" i="4"/>
  <c r="C138" i="6" s="1"/>
  <c r="B141" i="4"/>
  <c r="D140" i="4"/>
  <c r="D137" i="6" s="1"/>
  <c r="C140" i="4"/>
  <c r="C137" i="6" s="1"/>
  <c r="B140" i="4"/>
  <c r="D139" i="4"/>
  <c r="D136" i="6" s="1"/>
  <c r="C139" i="4"/>
  <c r="C136" i="6" s="1"/>
  <c r="B139" i="4"/>
  <c r="D138" i="4"/>
  <c r="D135" i="6" s="1"/>
  <c r="C138" i="4"/>
  <c r="C135" i="6" s="1"/>
  <c r="B138" i="4"/>
  <c r="D137" i="4"/>
  <c r="D134" i="6" s="1"/>
  <c r="C137" i="4"/>
  <c r="C134" i="6" s="1"/>
  <c r="B137" i="4"/>
  <c r="D136" i="4"/>
  <c r="D133" i="6" s="1"/>
  <c r="C136" i="4"/>
  <c r="C133" i="6" s="1"/>
  <c r="B136" i="4"/>
  <c r="D135" i="4"/>
  <c r="D132" i="6" s="1"/>
  <c r="C135" i="4"/>
  <c r="C132" i="6" s="1"/>
  <c r="B135" i="4"/>
  <c r="D134" i="4"/>
  <c r="D131" i="6" s="1"/>
  <c r="C134" i="4"/>
  <c r="C131" i="6" s="1"/>
  <c r="B134" i="4"/>
  <c r="D133" i="4"/>
  <c r="D130" i="6" s="1"/>
  <c r="C133" i="4"/>
  <c r="C130" i="6" s="1"/>
  <c r="B133" i="4"/>
  <c r="D132" i="4"/>
  <c r="D129" i="6" s="1"/>
  <c r="C132" i="4"/>
  <c r="C129" i="6" s="1"/>
  <c r="B132" i="4"/>
  <c r="D131" i="4"/>
  <c r="D128" i="6" s="1"/>
  <c r="C131" i="4"/>
  <c r="C128" i="6" s="1"/>
  <c r="B131" i="4"/>
  <c r="D130" i="4"/>
  <c r="D127" i="6" s="1"/>
  <c r="C130" i="4"/>
  <c r="C127" i="6" s="1"/>
  <c r="B130" i="4"/>
  <c r="D129" i="4"/>
  <c r="D126" i="6" s="1"/>
  <c r="C129" i="4"/>
  <c r="C126" i="6" s="1"/>
  <c r="B129" i="4"/>
  <c r="D128" i="4"/>
  <c r="D125" i="6" s="1"/>
  <c r="C128" i="4"/>
  <c r="C125" i="6" s="1"/>
  <c r="B128" i="4"/>
  <c r="D127" i="4"/>
  <c r="D124" i="6" s="1"/>
  <c r="C127" i="4"/>
  <c r="C124" i="6" s="1"/>
  <c r="B127" i="4"/>
  <c r="D126" i="4"/>
  <c r="D123" i="6" s="1"/>
  <c r="C126" i="4"/>
  <c r="C123" i="6" s="1"/>
  <c r="B126" i="4"/>
  <c r="D125" i="4"/>
  <c r="D122" i="6" s="1"/>
  <c r="C125" i="4"/>
  <c r="C122" i="6" s="1"/>
  <c r="B125" i="4"/>
  <c r="D124" i="4"/>
  <c r="D121" i="6" s="1"/>
  <c r="C124" i="4"/>
  <c r="C121" i="6" s="1"/>
  <c r="B124" i="4"/>
  <c r="D123" i="4"/>
  <c r="D120" i="6" s="1"/>
  <c r="C123" i="4"/>
  <c r="C120" i="6" s="1"/>
  <c r="B123" i="4"/>
  <c r="D122" i="4"/>
  <c r="D119" i="6" s="1"/>
  <c r="C122" i="4"/>
  <c r="C119" i="6" s="1"/>
  <c r="B122" i="4"/>
  <c r="D120" i="4"/>
  <c r="D118" i="6" s="1"/>
  <c r="C120" i="4"/>
  <c r="C118" i="6" s="1"/>
  <c r="B120" i="4"/>
  <c r="D119" i="4"/>
  <c r="D117" i="6" s="1"/>
  <c r="C119" i="4"/>
  <c r="C117" i="6" s="1"/>
  <c r="B119" i="4"/>
  <c r="D118" i="4"/>
  <c r="D116" i="6" s="1"/>
  <c r="C118" i="4"/>
  <c r="C116" i="6" s="1"/>
  <c r="B118" i="4"/>
  <c r="D117" i="4"/>
  <c r="D115" i="6" s="1"/>
  <c r="C117" i="4"/>
  <c r="C115" i="6" s="1"/>
  <c r="B117" i="4"/>
  <c r="D116" i="4"/>
  <c r="D114" i="6" s="1"/>
  <c r="C116" i="4"/>
  <c r="C114" i="6" s="1"/>
  <c r="B116" i="4"/>
  <c r="D115" i="4"/>
  <c r="D113" i="6" s="1"/>
  <c r="C115" i="4"/>
  <c r="C113" i="6" s="1"/>
  <c r="B115" i="4"/>
  <c r="D114" i="4"/>
  <c r="D112" i="6" s="1"/>
  <c r="C114" i="4"/>
  <c r="C112" i="6" s="1"/>
  <c r="B114" i="4"/>
  <c r="D113" i="4"/>
  <c r="D111" i="6" s="1"/>
  <c r="C113" i="4"/>
  <c r="C111" i="6" s="1"/>
  <c r="B113" i="4"/>
  <c r="D112" i="4"/>
  <c r="D110" i="6" s="1"/>
  <c r="C112" i="4"/>
  <c r="C110" i="6" s="1"/>
  <c r="B112" i="4"/>
  <c r="D111" i="4"/>
  <c r="D109" i="6" s="1"/>
  <c r="C111" i="4"/>
  <c r="C109" i="6" s="1"/>
  <c r="B111" i="4"/>
  <c r="D110" i="4"/>
  <c r="D108" i="6" s="1"/>
  <c r="C110" i="4"/>
  <c r="C108" i="6" s="1"/>
  <c r="B110" i="4"/>
  <c r="D109" i="4"/>
  <c r="D107" i="6" s="1"/>
  <c r="C109" i="4"/>
  <c r="C107" i="6" s="1"/>
  <c r="B109" i="4"/>
  <c r="D108" i="4"/>
  <c r="D106" i="6" s="1"/>
  <c r="C108" i="4"/>
  <c r="C106" i="6" s="1"/>
  <c r="B108" i="4"/>
  <c r="D107" i="4"/>
  <c r="D105" i="6" s="1"/>
  <c r="C107" i="4"/>
  <c r="C105" i="6" s="1"/>
  <c r="B107" i="4"/>
  <c r="D106" i="4"/>
  <c r="D104" i="6" s="1"/>
  <c r="C106" i="4"/>
  <c r="C104" i="6" s="1"/>
  <c r="B106" i="4"/>
  <c r="D105" i="4"/>
  <c r="D103" i="6" s="1"/>
  <c r="C105" i="4"/>
  <c r="C103" i="6" s="1"/>
  <c r="B105" i="4"/>
  <c r="D104" i="4"/>
  <c r="D102" i="6" s="1"/>
  <c r="C104" i="4"/>
  <c r="C102" i="6" s="1"/>
  <c r="B104" i="4"/>
  <c r="D103" i="4"/>
  <c r="D101" i="6" s="1"/>
  <c r="C103" i="4"/>
  <c r="C101" i="6" s="1"/>
  <c r="B103" i="4"/>
  <c r="D102" i="4"/>
  <c r="D100" i="6" s="1"/>
  <c r="C102" i="4"/>
  <c r="C100" i="6" s="1"/>
  <c r="B102" i="4"/>
  <c r="D101" i="4"/>
  <c r="D99" i="6" s="1"/>
  <c r="C101" i="4"/>
  <c r="C99" i="6" s="1"/>
  <c r="B101" i="4"/>
  <c r="D100" i="4"/>
  <c r="D98" i="6" s="1"/>
  <c r="C100" i="4"/>
  <c r="C98" i="6" s="1"/>
  <c r="B100" i="4"/>
  <c r="D99" i="4"/>
  <c r="D97" i="6" s="1"/>
  <c r="C99" i="4"/>
  <c r="C97" i="6" s="1"/>
  <c r="B99" i="4"/>
  <c r="D98" i="4"/>
  <c r="D96" i="6" s="1"/>
  <c r="C98" i="4"/>
  <c r="C96" i="6" s="1"/>
  <c r="B98" i="4"/>
  <c r="D97" i="4"/>
  <c r="D95" i="6" s="1"/>
  <c r="C97" i="4"/>
  <c r="C95" i="6" s="1"/>
  <c r="B97" i="4"/>
  <c r="D96" i="4"/>
  <c r="D94" i="6" s="1"/>
  <c r="C96" i="4"/>
  <c r="C94" i="6" s="1"/>
  <c r="B96" i="4"/>
  <c r="D95" i="4"/>
  <c r="D93" i="6" s="1"/>
  <c r="C95" i="4"/>
  <c r="C93" i="6" s="1"/>
  <c r="B95" i="4"/>
  <c r="D94" i="4"/>
  <c r="D92" i="6" s="1"/>
  <c r="C94" i="4"/>
  <c r="C92" i="6" s="1"/>
  <c r="B94" i="4"/>
  <c r="D93" i="4"/>
  <c r="D91" i="6" s="1"/>
  <c r="C93" i="4"/>
  <c r="C91" i="6" s="1"/>
  <c r="B93" i="4"/>
  <c r="D92" i="4"/>
  <c r="D90" i="6" s="1"/>
  <c r="C92" i="4"/>
  <c r="C90" i="6" s="1"/>
  <c r="B92" i="4"/>
  <c r="D91" i="4"/>
  <c r="D89" i="6" s="1"/>
  <c r="C91" i="4"/>
  <c r="C89" i="6" s="1"/>
  <c r="B91" i="4"/>
  <c r="D90" i="4"/>
  <c r="D88" i="6" s="1"/>
  <c r="C90" i="4"/>
  <c r="C88" i="6" s="1"/>
  <c r="B90" i="4"/>
  <c r="D89" i="4"/>
  <c r="D87" i="6" s="1"/>
  <c r="C89" i="4"/>
  <c r="C87" i="6" s="1"/>
  <c r="B89" i="4"/>
  <c r="D88" i="4"/>
  <c r="D86" i="6" s="1"/>
  <c r="C88" i="4"/>
  <c r="C86" i="6" s="1"/>
  <c r="B88" i="4"/>
  <c r="D87" i="4"/>
  <c r="D85" i="6" s="1"/>
  <c r="C87" i="4"/>
  <c r="C85" i="6" s="1"/>
  <c r="B87" i="4"/>
  <c r="D85" i="4"/>
  <c r="D84" i="6" s="1"/>
  <c r="C85" i="4"/>
  <c r="C84" i="6" s="1"/>
  <c r="B85" i="4"/>
  <c r="D84" i="4"/>
  <c r="D83" i="6" s="1"/>
  <c r="C84" i="4"/>
  <c r="C83" i="6" s="1"/>
  <c r="B84" i="4"/>
  <c r="D83" i="4"/>
  <c r="D82" i="6" s="1"/>
  <c r="C83" i="4"/>
  <c r="C82" i="6" s="1"/>
  <c r="B83" i="4"/>
  <c r="D82" i="4"/>
  <c r="D81" i="6" s="1"/>
  <c r="C82" i="4"/>
  <c r="C81" i="6" s="1"/>
  <c r="B82" i="4"/>
  <c r="D81" i="4"/>
  <c r="D80" i="6" s="1"/>
  <c r="C81" i="4"/>
  <c r="C80" i="6" s="1"/>
  <c r="B81" i="4"/>
  <c r="D80" i="4"/>
  <c r="D79" i="6" s="1"/>
  <c r="C80" i="4"/>
  <c r="C79" i="6" s="1"/>
  <c r="B80" i="4"/>
  <c r="D79" i="4"/>
  <c r="D78" i="6" s="1"/>
  <c r="C79" i="4"/>
  <c r="C78" i="6" s="1"/>
  <c r="B79" i="4"/>
  <c r="D78" i="4"/>
  <c r="D77" i="6" s="1"/>
  <c r="C78" i="4"/>
  <c r="C77" i="6" s="1"/>
  <c r="B78" i="4"/>
  <c r="D77" i="4"/>
  <c r="D76" i="6" s="1"/>
  <c r="C77" i="4"/>
  <c r="C76" i="6" s="1"/>
  <c r="B77" i="4"/>
  <c r="D76" i="4"/>
  <c r="D75" i="6" s="1"/>
  <c r="C76" i="4"/>
  <c r="C75" i="6" s="1"/>
  <c r="B76" i="4"/>
  <c r="D75" i="4"/>
  <c r="D74" i="6" s="1"/>
  <c r="C75" i="4"/>
  <c r="C74" i="6" s="1"/>
  <c r="B75" i="4"/>
  <c r="D74" i="4"/>
  <c r="D73" i="6" s="1"/>
  <c r="C74" i="4"/>
  <c r="C73" i="6" s="1"/>
  <c r="B74" i="4"/>
  <c r="D73" i="4"/>
  <c r="D72" i="6" s="1"/>
  <c r="C73" i="4"/>
  <c r="C72" i="6" s="1"/>
  <c r="B73" i="4"/>
  <c r="D72" i="4"/>
  <c r="D71" i="6" s="1"/>
  <c r="C72" i="4"/>
  <c r="C71" i="6" s="1"/>
  <c r="B72" i="4"/>
  <c r="D71" i="4"/>
  <c r="D70" i="6" s="1"/>
  <c r="C71" i="4"/>
  <c r="C70" i="6" s="1"/>
  <c r="B71" i="4"/>
  <c r="D70" i="4"/>
  <c r="D69" i="6" s="1"/>
  <c r="C70" i="4"/>
  <c r="C69" i="6" s="1"/>
  <c r="B70" i="4"/>
  <c r="D69" i="4"/>
  <c r="D68" i="6" s="1"/>
  <c r="C69" i="4"/>
  <c r="C68" i="6" s="1"/>
  <c r="B69" i="4"/>
  <c r="D68" i="4"/>
  <c r="D67" i="6" s="1"/>
  <c r="C68" i="4"/>
  <c r="C67" i="6" s="1"/>
  <c r="B68" i="4"/>
  <c r="D67" i="4"/>
  <c r="D66" i="6" s="1"/>
  <c r="C67" i="4"/>
  <c r="C66" i="6" s="1"/>
  <c r="B67" i="4"/>
  <c r="D66" i="4"/>
  <c r="D65" i="6" s="1"/>
  <c r="C66" i="4"/>
  <c r="C65" i="6" s="1"/>
  <c r="B66" i="4"/>
  <c r="D65" i="4"/>
  <c r="D64" i="6" s="1"/>
  <c r="C65" i="4"/>
  <c r="C64" i="6" s="1"/>
  <c r="B65" i="4"/>
  <c r="D64" i="4"/>
  <c r="D63" i="6" s="1"/>
  <c r="C64" i="4"/>
  <c r="C63" i="6" s="1"/>
  <c r="B64" i="4"/>
  <c r="D63" i="4"/>
  <c r="D62" i="6" s="1"/>
  <c r="C63" i="4"/>
  <c r="C62" i="6" s="1"/>
  <c r="B63" i="4"/>
  <c r="D62" i="4"/>
  <c r="D61" i="6" s="1"/>
  <c r="C62" i="4"/>
  <c r="C61" i="6" s="1"/>
  <c r="B62" i="4"/>
  <c r="D61" i="4"/>
  <c r="D60" i="6" s="1"/>
  <c r="C61" i="4"/>
  <c r="C60" i="6" s="1"/>
  <c r="B61" i="4"/>
  <c r="D60" i="4"/>
  <c r="D59" i="6" s="1"/>
  <c r="C60" i="4"/>
  <c r="C59" i="6" s="1"/>
  <c r="B60" i="4"/>
  <c r="D59" i="4"/>
  <c r="D58" i="6" s="1"/>
  <c r="C59" i="4"/>
  <c r="C58" i="6" s="1"/>
  <c r="B59" i="4"/>
  <c r="D58" i="4"/>
  <c r="D57" i="6" s="1"/>
  <c r="C58" i="4"/>
  <c r="C57" i="6" s="1"/>
  <c r="B58" i="4"/>
  <c r="D57" i="4"/>
  <c r="D56" i="6" s="1"/>
  <c r="C57" i="4"/>
  <c r="C56" i="6" s="1"/>
  <c r="B57" i="4"/>
  <c r="D56" i="4"/>
  <c r="D55" i="6" s="1"/>
  <c r="C56" i="4"/>
  <c r="C55" i="6" s="1"/>
  <c r="B56" i="4"/>
  <c r="D55" i="4"/>
  <c r="D54" i="6" s="1"/>
  <c r="C55" i="4"/>
  <c r="C54" i="6" s="1"/>
  <c r="B55" i="4"/>
  <c r="D54" i="4"/>
  <c r="D53" i="6" s="1"/>
  <c r="C54" i="4"/>
  <c r="C53" i="6" s="1"/>
  <c r="B54" i="4"/>
  <c r="D53" i="4"/>
  <c r="D52" i="6" s="1"/>
  <c r="C53" i="4"/>
  <c r="C52" i="6" s="1"/>
  <c r="B53" i="4"/>
  <c r="D51" i="4"/>
  <c r="D51" i="6" s="1"/>
  <c r="C51" i="4"/>
  <c r="C51" i="6" s="1"/>
  <c r="B51" i="4"/>
  <c r="D50" i="4"/>
  <c r="D50" i="6" s="1"/>
  <c r="C50" i="4"/>
  <c r="C50" i="6" s="1"/>
  <c r="B50" i="4"/>
  <c r="D49" i="4"/>
  <c r="D49" i="6" s="1"/>
  <c r="C49" i="4"/>
  <c r="C49" i="6" s="1"/>
  <c r="B49" i="4"/>
  <c r="D48" i="4"/>
  <c r="D48" i="6" s="1"/>
  <c r="C48" i="4"/>
  <c r="C48" i="6" s="1"/>
  <c r="B48" i="4"/>
  <c r="D47" i="4"/>
  <c r="D47" i="6" s="1"/>
  <c r="C47" i="4"/>
  <c r="C47" i="6" s="1"/>
  <c r="B47" i="4"/>
  <c r="D46" i="4"/>
  <c r="D46" i="6" s="1"/>
  <c r="C46" i="4"/>
  <c r="C46" i="6" s="1"/>
  <c r="B46" i="4"/>
  <c r="D45" i="4"/>
  <c r="D45" i="6" s="1"/>
  <c r="C45" i="4"/>
  <c r="C45" i="6" s="1"/>
  <c r="B45" i="4"/>
  <c r="D44" i="4"/>
  <c r="D44" i="6" s="1"/>
  <c r="C44" i="4"/>
  <c r="C44" i="6" s="1"/>
  <c r="B44" i="4"/>
  <c r="D43" i="4"/>
  <c r="D43" i="6" s="1"/>
  <c r="C43" i="4"/>
  <c r="C43" i="6" s="1"/>
  <c r="B43" i="4"/>
  <c r="D42" i="4"/>
  <c r="D42" i="6" s="1"/>
  <c r="C42" i="4"/>
  <c r="C42" i="6" s="1"/>
  <c r="B42" i="4"/>
  <c r="D41" i="4"/>
  <c r="D41" i="6" s="1"/>
  <c r="C41" i="4"/>
  <c r="C41" i="6" s="1"/>
  <c r="B41" i="4"/>
  <c r="D40" i="4"/>
  <c r="D40" i="6" s="1"/>
  <c r="C40" i="4"/>
  <c r="C40" i="6" s="1"/>
  <c r="B40" i="4"/>
  <c r="D39" i="4"/>
  <c r="D39" i="6" s="1"/>
  <c r="C39" i="4"/>
  <c r="C39" i="6" s="1"/>
  <c r="B39" i="4"/>
  <c r="D38" i="4"/>
  <c r="D38" i="6" s="1"/>
  <c r="C38" i="4"/>
  <c r="C38" i="6" s="1"/>
  <c r="B38" i="4"/>
  <c r="D37" i="4"/>
  <c r="D37" i="6" s="1"/>
  <c r="C37" i="4"/>
  <c r="C37" i="6" s="1"/>
  <c r="B37" i="4"/>
  <c r="D36" i="4"/>
  <c r="D36" i="6" s="1"/>
  <c r="C36" i="4"/>
  <c r="C36" i="6" s="1"/>
  <c r="B36" i="4"/>
  <c r="D35" i="4"/>
  <c r="D35" i="6" s="1"/>
  <c r="C35" i="4"/>
  <c r="C35" i="6" s="1"/>
  <c r="B35" i="4"/>
  <c r="D34" i="4"/>
  <c r="D34" i="6" s="1"/>
  <c r="C34" i="4"/>
  <c r="C34" i="6" s="1"/>
  <c r="B34" i="4"/>
  <c r="D33" i="4"/>
  <c r="D33" i="6" s="1"/>
  <c r="C33" i="4"/>
  <c r="C33" i="6" s="1"/>
  <c r="B33" i="4"/>
  <c r="D32" i="4"/>
  <c r="D32" i="6" s="1"/>
  <c r="C32" i="4"/>
  <c r="C32" i="6" s="1"/>
  <c r="B32" i="4"/>
  <c r="D31" i="4"/>
  <c r="D31" i="6" s="1"/>
  <c r="C31" i="4"/>
  <c r="C31" i="6" s="1"/>
  <c r="B31" i="4"/>
  <c r="D30" i="4"/>
  <c r="D30" i="6" s="1"/>
  <c r="C30" i="4"/>
  <c r="C30" i="6" s="1"/>
  <c r="B30" i="4"/>
  <c r="D29" i="4"/>
  <c r="D29" i="6" s="1"/>
  <c r="C29" i="4"/>
  <c r="C29" i="6" s="1"/>
  <c r="B29" i="4"/>
  <c r="D28" i="4"/>
  <c r="D28" i="6" s="1"/>
  <c r="C28" i="4"/>
  <c r="C28" i="6" s="1"/>
  <c r="B28" i="4"/>
  <c r="D27" i="4"/>
  <c r="D27" i="6" s="1"/>
  <c r="C27" i="4"/>
  <c r="C27" i="6" s="1"/>
  <c r="B27" i="4"/>
  <c r="D26" i="4"/>
  <c r="D26" i="6" s="1"/>
  <c r="C26" i="4"/>
  <c r="C26" i="6" s="1"/>
  <c r="B26" i="4"/>
  <c r="D25" i="4"/>
  <c r="D25" i="6" s="1"/>
  <c r="C25" i="4"/>
  <c r="C25" i="6" s="1"/>
  <c r="B25" i="4"/>
  <c r="D24" i="4"/>
  <c r="D24" i="6" s="1"/>
  <c r="C24" i="4"/>
  <c r="C24" i="6" s="1"/>
  <c r="B24" i="4"/>
  <c r="D23" i="4"/>
  <c r="D23" i="6" s="1"/>
  <c r="C23" i="4"/>
  <c r="C23" i="6" s="1"/>
  <c r="B23" i="4"/>
  <c r="D22" i="4"/>
  <c r="D22" i="6" s="1"/>
  <c r="C22" i="4"/>
  <c r="C22" i="6" s="1"/>
  <c r="B22" i="4"/>
  <c r="D21" i="4"/>
  <c r="D21" i="6" s="1"/>
  <c r="C21" i="4"/>
  <c r="C21" i="6" s="1"/>
  <c r="B21" i="4"/>
  <c r="D20" i="4"/>
  <c r="D20" i="6" s="1"/>
  <c r="C20" i="4"/>
  <c r="C20" i="6" s="1"/>
  <c r="B20" i="4"/>
  <c r="D19" i="4"/>
  <c r="D19" i="6" s="1"/>
  <c r="C19" i="4"/>
  <c r="C19" i="6" s="1"/>
  <c r="B19" i="4"/>
  <c r="D18" i="4"/>
  <c r="D18" i="6" s="1"/>
  <c r="C18" i="4"/>
  <c r="C18" i="6" s="1"/>
  <c r="B18" i="4"/>
  <c r="D17" i="4"/>
  <c r="D17" i="6" s="1"/>
  <c r="C17" i="4"/>
  <c r="C17" i="6" s="1"/>
  <c r="B17" i="4"/>
  <c r="D16" i="4"/>
  <c r="D16" i="6" s="1"/>
  <c r="C16" i="4"/>
  <c r="C16" i="6" s="1"/>
  <c r="B16" i="4"/>
  <c r="D15" i="4"/>
  <c r="D15" i="6" s="1"/>
  <c r="C15" i="4"/>
  <c r="C15" i="6" s="1"/>
  <c r="B15" i="4"/>
  <c r="D14" i="4"/>
  <c r="D14" i="6" s="1"/>
  <c r="C14" i="4"/>
  <c r="C14" i="6" s="1"/>
  <c r="B14" i="4"/>
  <c r="D13" i="4"/>
  <c r="D13" i="6" s="1"/>
  <c r="C13" i="4"/>
  <c r="C13" i="6" s="1"/>
  <c r="B13" i="4"/>
  <c r="D12" i="4"/>
  <c r="D12" i="6" s="1"/>
  <c r="C12" i="4"/>
  <c r="C12" i="6" s="1"/>
  <c r="B12" i="4"/>
  <c r="D11" i="4"/>
  <c r="D11" i="6" s="1"/>
  <c r="C11" i="4"/>
  <c r="C11" i="6" s="1"/>
  <c r="B11" i="4"/>
  <c r="D10" i="4"/>
  <c r="D10" i="6" s="1"/>
  <c r="C10" i="4"/>
  <c r="C10" i="6" s="1"/>
  <c r="B10" i="4"/>
  <c r="D9" i="4"/>
  <c r="D9" i="6" s="1"/>
  <c r="C9" i="4"/>
  <c r="C9" i="6" s="1"/>
  <c r="B9" i="4"/>
  <c r="D8" i="4"/>
  <c r="D8" i="6" s="1"/>
  <c r="C8" i="4"/>
  <c r="C8" i="6" s="1"/>
  <c r="B8" i="4"/>
  <c r="D7" i="4"/>
  <c r="D7" i="6" s="1"/>
  <c r="C7" i="4"/>
  <c r="C7" i="6" s="1"/>
  <c r="B7" i="4"/>
  <c r="D6" i="4"/>
  <c r="D6" i="6" s="1"/>
  <c r="C6" i="4"/>
  <c r="C6" i="6" s="1"/>
  <c r="B6" i="4"/>
  <c r="D5" i="4"/>
  <c r="D5" i="6" s="1"/>
  <c r="C5" i="4"/>
  <c r="C5" i="6" s="1"/>
  <c r="B5" i="4"/>
  <c r="D4" i="4"/>
  <c r="D4" i="6" s="1"/>
  <c r="C4" i="4"/>
  <c r="C4" i="6" s="1"/>
  <c r="B4" i="4"/>
  <c r="D3" i="4"/>
  <c r="D3" i="6" s="1"/>
  <c r="C3" i="4"/>
  <c r="C3" i="6" s="1"/>
  <c r="B3" i="4"/>
  <c r="D2" i="4"/>
  <c r="D2" i="6" s="1"/>
  <c r="C2" i="4"/>
  <c r="C2" i="6" s="1"/>
  <c r="B2" i="4"/>
  <c r="B426" i="6" l="1"/>
  <c r="F183" i="5"/>
  <c r="G183" i="5"/>
  <c r="G182" i="5"/>
  <c r="F182" i="5"/>
  <c r="B425" i="6"/>
  <c r="G181" i="5"/>
  <c r="F181" i="5"/>
  <c r="B424" i="6"/>
  <c r="G180" i="5"/>
  <c r="F180" i="5"/>
  <c r="B423" i="6"/>
  <c r="B422" i="6"/>
  <c r="F179" i="5"/>
  <c r="G179" i="5"/>
  <c r="B421" i="6"/>
  <c r="G178" i="5"/>
  <c r="F178" i="5"/>
  <c r="B420" i="6"/>
  <c r="G177" i="5"/>
  <c r="F177" i="5"/>
  <c r="F176" i="5"/>
  <c r="G176" i="5"/>
  <c r="B419" i="6"/>
  <c r="F175" i="5"/>
  <c r="B418" i="6"/>
  <c r="G175" i="5"/>
  <c r="B417" i="6"/>
  <c r="F174" i="5"/>
  <c r="G174" i="5"/>
  <c r="G173" i="5"/>
  <c r="F173" i="5"/>
  <c r="B416" i="6"/>
  <c r="B415" i="6"/>
  <c r="F172" i="5"/>
  <c r="G172" i="5"/>
  <c r="F171" i="5"/>
  <c r="C171" i="5"/>
  <c r="C414" i="6" s="1"/>
  <c r="B414" i="6"/>
  <c r="G171" i="5"/>
  <c r="G170" i="5"/>
  <c r="B413" i="6"/>
  <c r="F170" i="5"/>
  <c r="B412" i="6"/>
  <c r="G169" i="5"/>
  <c r="F169" i="5"/>
  <c r="B411" i="6"/>
  <c r="G168" i="5"/>
  <c r="F168" i="5"/>
  <c r="F167" i="5"/>
  <c r="B410" i="6"/>
  <c r="G167" i="5"/>
  <c r="B409" i="6"/>
  <c r="F166" i="5"/>
  <c r="G166" i="5"/>
  <c r="F165" i="5"/>
  <c r="G165" i="5"/>
  <c r="B408" i="6"/>
  <c r="G164" i="5"/>
  <c r="F164" i="5"/>
  <c r="B407" i="6"/>
  <c r="F163" i="5"/>
  <c r="B406" i="6"/>
  <c r="G163" i="5"/>
  <c r="B405" i="6"/>
  <c r="F162" i="5"/>
  <c r="G162" i="5"/>
  <c r="G161" i="5"/>
  <c r="F161" i="5"/>
  <c r="B404" i="6"/>
  <c r="G160" i="5"/>
  <c r="F160" i="5"/>
  <c r="B403" i="6"/>
  <c r="G159" i="5"/>
  <c r="F159" i="5"/>
  <c r="B402" i="6"/>
  <c r="G158" i="5"/>
  <c r="F158" i="5"/>
  <c r="B401" i="6"/>
  <c r="B400" i="6"/>
  <c r="F157" i="5"/>
  <c r="G157" i="5"/>
  <c r="G156" i="5"/>
  <c r="B399" i="6"/>
  <c r="F156" i="5"/>
  <c r="B398" i="6"/>
  <c r="F155" i="5"/>
  <c r="G155" i="5"/>
  <c r="B397" i="6"/>
  <c r="F154" i="5"/>
  <c r="G154" i="5"/>
  <c r="B396" i="6"/>
  <c r="F153" i="5"/>
  <c r="G153" i="5"/>
  <c r="F152" i="5"/>
  <c r="B395" i="6"/>
  <c r="G152" i="5"/>
  <c r="G151" i="5"/>
  <c r="F151" i="5"/>
  <c r="B394" i="6"/>
  <c r="F150" i="5"/>
  <c r="B393" i="6"/>
  <c r="G150" i="5"/>
  <c r="G149" i="5"/>
  <c r="F149" i="5"/>
  <c r="B392" i="6"/>
  <c r="G148" i="5"/>
  <c r="F148" i="5"/>
  <c r="B391" i="6"/>
  <c r="G147" i="5"/>
  <c r="B390" i="6"/>
  <c r="F147" i="5"/>
  <c r="G146" i="5"/>
  <c r="B389" i="6"/>
  <c r="F146" i="5"/>
  <c r="B388" i="6"/>
  <c r="G145" i="5"/>
  <c r="F145" i="5"/>
  <c r="G144" i="5"/>
  <c r="F144" i="5"/>
  <c r="B387" i="6"/>
  <c r="G143" i="5"/>
  <c r="F143" i="5"/>
  <c r="B386" i="6"/>
  <c r="G142" i="5"/>
  <c r="F142" i="5"/>
  <c r="B385" i="6"/>
  <c r="F141" i="5"/>
  <c r="B384" i="6"/>
  <c r="G141" i="5"/>
  <c r="F140" i="5"/>
  <c r="G140" i="5"/>
  <c r="B383" i="6"/>
  <c r="B382" i="6"/>
  <c r="G139" i="5"/>
  <c r="F139" i="5"/>
  <c r="F138" i="5"/>
  <c r="B381" i="6"/>
  <c r="G138" i="5"/>
  <c r="B380" i="6"/>
  <c r="F137" i="5"/>
  <c r="G137" i="5"/>
  <c r="F136" i="5"/>
  <c r="B379" i="6"/>
  <c r="G136" i="5"/>
  <c r="G135" i="5"/>
  <c r="F135" i="5"/>
  <c r="B378" i="6"/>
  <c r="G134" i="5"/>
  <c r="F134" i="5"/>
  <c r="B377" i="6"/>
  <c r="B376" i="6"/>
  <c r="G133" i="5"/>
  <c r="F133" i="5"/>
  <c r="B375" i="6"/>
  <c r="G132" i="5"/>
  <c r="F132" i="5"/>
  <c r="F131" i="5"/>
  <c r="G131" i="5"/>
  <c r="B374" i="6"/>
  <c r="F130" i="5"/>
  <c r="G130" i="5"/>
  <c r="B373" i="6"/>
  <c r="F129" i="5"/>
  <c r="G129" i="5"/>
  <c r="B372" i="6"/>
  <c r="F128" i="5"/>
  <c r="B371" i="6"/>
  <c r="G128" i="5"/>
  <c r="G127" i="5"/>
  <c r="F127" i="5"/>
  <c r="B370" i="6"/>
  <c r="F126" i="5"/>
  <c r="G126" i="5"/>
  <c r="B369" i="6"/>
  <c r="F125" i="5"/>
  <c r="G125" i="5"/>
  <c r="B368" i="6"/>
  <c r="F124" i="5"/>
  <c r="G124" i="5"/>
  <c r="B367" i="6"/>
  <c r="G123" i="5"/>
  <c r="F123" i="5"/>
  <c r="B366" i="6"/>
  <c r="G122" i="5"/>
  <c r="F122" i="5"/>
  <c r="B365" i="6"/>
  <c r="B364" i="6"/>
  <c r="G121" i="5"/>
  <c r="F121" i="5"/>
  <c r="F120" i="5"/>
  <c r="B363" i="6"/>
  <c r="G120" i="5"/>
  <c r="F119" i="5"/>
  <c r="G119" i="5"/>
  <c r="B362" i="6"/>
  <c r="B361" i="6"/>
  <c r="G118" i="5"/>
  <c r="F118" i="5"/>
  <c r="G117" i="5"/>
  <c r="F117" i="5"/>
  <c r="B360" i="6"/>
  <c r="G116" i="5"/>
  <c r="F116" i="5"/>
  <c r="B359" i="6"/>
  <c r="B358" i="6"/>
  <c r="G115" i="5"/>
  <c r="F115" i="5"/>
  <c r="B357" i="6"/>
  <c r="G114" i="5"/>
  <c r="F114" i="5"/>
  <c r="B356" i="6"/>
  <c r="F113" i="5"/>
  <c r="G113" i="5"/>
  <c r="B355" i="6"/>
  <c r="F112" i="5"/>
  <c r="G112" i="5"/>
  <c r="G111" i="5"/>
  <c r="B354" i="6"/>
  <c r="F111" i="5"/>
  <c r="B353" i="6"/>
  <c r="F110" i="5"/>
  <c r="G110" i="5"/>
  <c r="G109" i="5"/>
  <c r="F109" i="5"/>
  <c r="B352" i="6"/>
  <c r="B351" i="6"/>
  <c r="G108" i="5"/>
  <c r="F108" i="5"/>
  <c r="B350" i="6"/>
  <c r="G107" i="5"/>
  <c r="F107" i="5"/>
  <c r="B349" i="6"/>
  <c r="G106" i="5"/>
  <c r="F106" i="5"/>
  <c r="B348" i="6"/>
  <c r="G105" i="5"/>
  <c r="F105" i="5"/>
  <c r="B347" i="6"/>
  <c r="G104" i="5"/>
  <c r="F104" i="5"/>
  <c r="F103" i="5"/>
  <c r="G103" i="5"/>
  <c r="B346" i="6"/>
  <c r="G102" i="5"/>
  <c r="B345" i="6"/>
  <c r="F102" i="5"/>
  <c r="G101" i="5"/>
  <c r="B344" i="6"/>
  <c r="F101" i="5"/>
  <c r="B343" i="6"/>
  <c r="F100" i="5"/>
  <c r="G100" i="5"/>
  <c r="B342" i="6"/>
  <c r="F99" i="5"/>
  <c r="G99" i="5"/>
  <c r="F98" i="5"/>
  <c r="B341" i="6"/>
  <c r="G98" i="5"/>
  <c r="G97" i="5"/>
  <c r="F97" i="5"/>
  <c r="B340" i="6"/>
  <c r="F96" i="5"/>
  <c r="G96" i="5"/>
  <c r="B339" i="6"/>
  <c r="F95" i="5"/>
  <c r="G95" i="5"/>
  <c r="B338" i="6"/>
  <c r="G94" i="5"/>
  <c r="F94" i="5"/>
  <c r="B337" i="6"/>
  <c r="F93" i="5"/>
  <c r="B336" i="6"/>
  <c r="G93" i="5"/>
  <c r="B335" i="6"/>
  <c r="F92" i="5"/>
  <c r="G92" i="5"/>
  <c r="B334" i="6"/>
  <c r="F91" i="5"/>
  <c r="G91" i="5"/>
  <c r="B333" i="6"/>
  <c r="F90" i="5"/>
  <c r="G90" i="5"/>
  <c r="B332" i="6"/>
  <c r="F89" i="5"/>
  <c r="G89" i="5"/>
  <c r="F88" i="5"/>
  <c r="G88" i="5"/>
  <c r="B331" i="6"/>
  <c r="F87" i="5"/>
  <c r="G87" i="5"/>
  <c r="B330" i="6"/>
  <c r="F86" i="5"/>
  <c r="G86" i="5"/>
  <c r="B329" i="6"/>
  <c r="B328" i="6"/>
  <c r="F85" i="5"/>
  <c r="G85" i="5"/>
  <c r="F84" i="5"/>
  <c r="B327" i="6"/>
  <c r="G84" i="5"/>
  <c r="G83" i="5"/>
  <c r="B326" i="6"/>
  <c r="F83" i="5"/>
  <c r="B325" i="6"/>
  <c r="F82" i="5"/>
  <c r="G82" i="5"/>
  <c r="B324" i="6"/>
  <c r="F81" i="5"/>
  <c r="G81" i="5"/>
  <c r="F80" i="5"/>
  <c r="B323" i="6"/>
  <c r="G80" i="5"/>
  <c r="B322" i="6"/>
  <c r="F79" i="5"/>
  <c r="G79" i="5"/>
  <c r="B321" i="6"/>
  <c r="F78" i="5"/>
  <c r="G78" i="5"/>
  <c r="G77" i="5"/>
  <c r="F77" i="5"/>
  <c r="B320" i="6"/>
  <c r="G76" i="5"/>
  <c r="F76" i="5"/>
  <c r="B319" i="6"/>
  <c r="F75" i="5"/>
  <c r="G75" i="5"/>
  <c r="B318" i="6"/>
  <c r="F74" i="5"/>
  <c r="G74" i="5"/>
  <c r="B317" i="6"/>
  <c r="F73" i="5"/>
  <c r="G73" i="5"/>
  <c r="B316" i="6"/>
  <c r="F72" i="5"/>
  <c r="G72" i="5"/>
  <c r="B315" i="6"/>
  <c r="B314" i="6"/>
  <c r="G71" i="5"/>
  <c r="F71" i="5"/>
  <c r="B313" i="6"/>
  <c r="G70" i="5"/>
  <c r="F70" i="5"/>
  <c r="B312" i="6"/>
  <c r="G69" i="5"/>
  <c r="F69" i="5"/>
  <c r="B311" i="6"/>
  <c r="G68" i="5"/>
  <c r="F68" i="5"/>
  <c r="F67" i="5"/>
  <c r="B310" i="6"/>
  <c r="G67" i="5"/>
  <c r="B309" i="6"/>
  <c r="G66" i="5"/>
  <c r="F66" i="5"/>
  <c r="B308" i="6"/>
  <c r="F65" i="5"/>
  <c r="G65" i="5"/>
  <c r="B307" i="6"/>
  <c r="F64" i="5"/>
  <c r="G64" i="5"/>
  <c r="F63" i="5"/>
  <c r="G63" i="5"/>
  <c r="B306" i="6"/>
  <c r="B305" i="6"/>
  <c r="F62" i="5"/>
  <c r="G62" i="5"/>
  <c r="B304" i="6"/>
  <c r="F61" i="5"/>
  <c r="G61" i="5"/>
  <c r="B303" i="6"/>
  <c r="F60" i="5"/>
  <c r="G60" i="5"/>
  <c r="F59" i="5"/>
  <c r="G59" i="5"/>
  <c r="B302" i="6"/>
  <c r="B301" i="6"/>
  <c r="G58" i="5"/>
  <c r="F58" i="5"/>
  <c r="F57" i="5"/>
  <c r="B300" i="6"/>
  <c r="G57" i="5"/>
  <c r="G56" i="5"/>
  <c r="F56" i="5"/>
  <c r="B299" i="6"/>
  <c r="G55" i="5"/>
  <c r="F55" i="5"/>
  <c r="B298" i="6"/>
  <c r="B297" i="6"/>
  <c r="F54" i="5"/>
  <c r="G54" i="5"/>
  <c r="G53" i="5"/>
  <c r="F53" i="5"/>
  <c r="B296" i="6"/>
  <c r="G52" i="5"/>
  <c r="B295" i="6"/>
  <c r="F52" i="5"/>
  <c r="B294" i="6"/>
  <c r="G51" i="5"/>
  <c r="F51" i="5"/>
  <c r="G50" i="5"/>
  <c r="B293" i="6"/>
  <c r="F50" i="5"/>
  <c r="B292" i="6"/>
  <c r="G49" i="5"/>
  <c r="F49" i="5"/>
  <c r="B291" i="6"/>
  <c r="G48" i="5"/>
  <c r="F48" i="5"/>
  <c r="G47" i="5"/>
  <c r="F47" i="5"/>
  <c r="B290" i="6"/>
  <c r="G46" i="5"/>
  <c r="F46" i="5"/>
  <c r="B289" i="6"/>
  <c r="G45" i="5"/>
  <c r="F45" i="5"/>
  <c r="B288" i="6"/>
  <c r="B287" i="6"/>
  <c r="G44" i="5"/>
  <c r="F44" i="5"/>
  <c r="B286" i="6"/>
  <c r="F43" i="5"/>
  <c r="G43" i="5"/>
  <c r="B285" i="6"/>
  <c r="G42" i="5"/>
  <c r="F42" i="5"/>
  <c r="B284" i="6"/>
  <c r="G41" i="5"/>
  <c r="F41" i="5"/>
  <c r="B283" i="6"/>
  <c r="G40" i="5"/>
  <c r="F40" i="5"/>
  <c r="B282" i="6"/>
  <c r="F39" i="5"/>
  <c r="G39" i="5"/>
  <c r="B281" i="6"/>
  <c r="F38" i="5"/>
  <c r="G38" i="5"/>
  <c r="B280" i="6"/>
  <c r="F37" i="5"/>
  <c r="G37" i="5"/>
  <c r="B279" i="6"/>
  <c r="G36" i="5"/>
  <c r="F36" i="5"/>
  <c r="B278" i="6"/>
  <c r="G35" i="5"/>
  <c r="F35" i="5"/>
  <c r="B277" i="6"/>
  <c r="G34" i="5"/>
  <c r="F34" i="5"/>
  <c r="B276" i="6"/>
  <c r="G33" i="5"/>
  <c r="F33" i="5"/>
  <c r="B275" i="6"/>
  <c r="G32" i="5"/>
  <c r="F32" i="5"/>
  <c r="B274" i="6"/>
  <c r="F31" i="5"/>
  <c r="G31" i="5"/>
  <c r="B273" i="6"/>
  <c r="G30" i="5"/>
  <c r="F30" i="5"/>
  <c r="B272" i="6"/>
  <c r="G29" i="5"/>
  <c r="F29" i="5"/>
  <c r="B271" i="6"/>
  <c r="G28" i="5"/>
  <c r="F28" i="5"/>
  <c r="B270" i="6"/>
  <c r="G27" i="5"/>
  <c r="F27" i="5"/>
  <c r="B269" i="6"/>
  <c r="G26" i="5"/>
  <c r="F26" i="5"/>
  <c r="F25" i="5"/>
  <c r="B268" i="6"/>
  <c r="G25" i="5"/>
  <c r="B267" i="6"/>
  <c r="G24" i="5"/>
  <c r="F24" i="5"/>
  <c r="B266" i="6"/>
  <c r="G23" i="5"/>
  <c r="F23" i="5"/>
  <c r="B265" i="6"/>
  <c r="G22" i="5"/>
  <c r="F22" i="5"/>
  <c r="B264" i="6"/>
  <c r="G21" i="5"/>
  <c r="F21" i="5"/>
  <c r="B263" i="6"/>
  <c r="G20" i="5"/>
  <c r="F20" i="5"/>
  <c r="G19" i="5"/>
  <c r="B262" i="6"/>
  <c r="F19" i="5"/>
  <c r="G18" i="5"/>
  <c r="F18" i="5"/>
  <c r="B261" i="6"/>
  <c r="G17" i="5"/>
  <c r="F17" i="5"/>
  <c r="B260" i="6"/>
  <c r="F16" i="5"/>
  <c r="G16" i="5"/>
  <c r="B259" i="6"/>
  <c r="B258" i="6"/>
  <c r="F15" i="5"/>
  <c r="G15" i="5"/>
  <c r="G14" i="5"/>
  <c r="F14" i="5"/>
  <c r="B257" i="6"/>
  <c r="B256" i="6"/>
  <c r="G13" i="5"/>
  <c r="F13" i="5"/>
  <c r="B255" i="6"/>
  <c r="G12" i="5"/>
  <c r="F12" i="5"/>
  <c r="B254" i="6"/>
  <c r="G11" i="5"/>
  <c r="F11" i="5"/>
  <c r="G10" i="5"/>
  <c r="B253" i="6"/>
  <c r="F10" i="5"/>
  <c r="G9" i="5"/>
  <c r="B252" i="6"/>
  <c r="F9" i="5"/>
  <c r="B251" i="6"/>
  <c r="G8" i="5"/>
  <c r="F8" i="5"/>
  <c r="F7" i="5"/>
  <c r="B250" i="6"/>
  <c r="G7" i="5"/>
  <c r="B249" i="6"/>
  <c r="F6" i="5"/>
  <c r="G6" i="5"/>
  <c r="F5" i="5"/>
  <c r="G5" i="5"/>
  <c r="B248" i="6"/>
  <c r="G4" i="5"/>
  <c r="F4" i="5"/>
  <c r="B247" i="6"/>
  <c r="G3" i="5"/>
  <c r="F3" i="5"/>
  <c r="B246" i="6"/>
  <c r="B245" i="6"/>
  <c r="F2" i="5"/>
  <c r="G2" i="5"/>
  <c r="A128" i="9"/>
  <c r="A191" i="9"/>
  <c r="A254" i="9"/>
  <c r="A317" i="9"/>
  <c r="A380" i="9"/>
  <c r="A443" i="9"/>
  <c r="A2" i="9"/>
  <c r="A65" i="9"/>
  <c r="B244" i="6"/>
  <c r="F244" i="4"/>
  <c r="G244" i="4"/>
  <c r="G121" i="4"/>
  <c r="B243" i="6"/>
  <c r="F121" i="4"/>
  <c r="G86" i="4"/>
  <c r="F86" i="4"/>
  <c r="B242" i="6"/>
  <c r="B241" i="6"/>
  <c r="F52" i="4"/>
  <c r="G52" i="4"/>
  <c r="B240" i="6"/>
  <c r="F243" i="4"/>
  <c r="G243" i="4"/>
  <c r="F242" i="4"/>
  <c r="G242" i="4"/>
  <c r="B239" i="6"/>
  <c r="B238" i="6"/>
  <c r="G241" i="4"/>
  <c r="F241" i="4"/>
  <c r="B237" i="6"/>
  <c r="G240" i="4"/>
  <c r="F240" i="4"/>
  <c r="F239" i="4"/>
  <c r="G239" i="4"/>
  <c r="B236" i="6"/>
  <c r="G238" i="4"/>
  <c r="B235" i="6"/>
  <c r="F238" i="4"/>
  <c r="B234" i="6"/>
  <c r="G237" i="4"/>
  <c r="F237" i="4"/>
  <c r="F236" i="4"/>
  <c r="G236" i="4"/>
  <c r="B233" i="6"/>
  <c r="B232" i="6"/>
  <c r="G235" i="4"/>
  <c r="F235" i="4"/>
  <c r="B231" i="6"/>
  <c r="G234" i="4"/>
  <c r="F234" i="4"/>
  <c r="F233" i="4"/>
  <c r="B230" i="6"/>
  <c r="G233" i="4"/>
  <c r="F232" i="4"/>
  <c r="G232" i="4"/>
  <c r="B229" i="6"/>
  <c r="B228" i="6"/>
  <c r="G231" i="4"/>
  <c r="F231" i="4"/>
  <c r="G230" i="4"/>
  <c r="F230" i="4"/>
  <c r="B227" i="6"/>
  <c r="B226" i="6"/>
  <c r="F229" i="4"/>
  <c r="G229" i="4"/>
  <c r="B225" i="6"/>
  <c r="F228" i="4"/>
  <c r="G228" i="4"/>
  <c r="B224" i="6"/>
  <c r="F227" i="4"/>
  <c r="G227" i="4"/>
  <c r="F226" i="4"/>
  <c r="G226" i="4"/>
  <c r="B223" i="6"/>
  <c r="F225" i="4"/>
  <c r="G225" i="4"/>
  <c r="B222" i="6"/>
  <c r="F224" i="4"/>
  <c r="G224" i="4"/>
  <c r="B221" i="6"/>
  <c r="F223" i="4"/>
  <c r="G223" i="4"/>
  <c r="B220" i="6"/>
  <c r="B219" i="6"/>
  <c r="G222" i="4"/>
  <c r="F222" i="4"/>
  <c r="B218" i="6"/>
  <c r="F221" i="4"/>
  <c r="G221" i="4"/>
  <c r="B217" i="6"/>
  <c r="G220" i="4"/>
  <c r="F220" i="4"/>
  <c r="B216" i="6"/>
  <c r="G219" i="4"/>
  <c r="F219" i="4"/>
  <c r="B215" i="6"/>
  <c r="G218" i="4"/>
  <c r="F218" i="4"/>
  <c r="B214" i="6"/>
  <c r="G217" i="4"/>
  <c r="F217" i="4"/>
  <c r="B213" i="6"/>
  <c r="F216" i="4"/>
  <c r="G216" i="4"/>
  <c r="B212" i="6"/>
  <c r="G215" i="4"/>
  <c r="F215" i="4"/>
  <c r="B211" i="6"/>
  <c r="G214" i="4"/>
  <c r="F214" i="4"/>
  <c r="B210" i="6"/>
  <c r="G213" i="4"/>
  <c r="F213" i="4"/>
  <c r="B209" i="6"/>
  <c r="G212" i="4"/>
  <c r="F212" i="4"/>
  <c r="B208" i="6"/>
  <c r="G211" i="4"/>
  <c r="F211" i="4"/>
  <c r="B207" i="6"/>
  <c r="G210" i="4"/>
  <c r="F210" i="4"/>
  <c r="B206" i="6"/>
  <c r="G209" i="4"/>
  <c r="F209" i="4"/>
  <c r="B205" i="6"/>
  <c r="G208" i="4"/>
  <c r="F208" i="4"/>
  <c r="B204" i="6"/>
  <c r="F207" i="4"/>
  <c r="G207" i="4"/>
  <c r="B203" i="6"/>
  <c r="F206" i="4"/>
  <c r="G206" i="4"/>
  <c r="B202" i="6"/>
  <c r="F205" i="4"/>
  <c r="G205" i="4"/>
  <c r="B201" i="6"/>
  <c r="G204" i="4"/>
  <c r="F204" i="4"/>
  <c r="B200" i="6"/>
  <c r="G203" i="4"/>
  <c r="F203" i="4"/>
  <c r="B199" i="6"/>
  <c r="G202" i="4"/>
  <c r="F202" i="4"/>
  <c r="B198" i="6"/>
  <c r="G201" i="4"/>
  <c r="F201" i="4"/>
  <c r="B197" i="6"/>
  <c r="G200" i="4"/>
  <c r="F200" i="4"/>
  <c r="B196" i="6"/>
  <c r="G199" i="4"/>
  <c r="F199" i="4"/>
  <c r="B195" i="6"/>
  <c r="G198" i="4"/>
  <c r="F198" i="4"/>
  <c r="F197" i="4"/>
  <c r="B194" i="6"/>
  <c r="G197" i="4"/>
  <c r="G196" i="4"/>
  <c r="F196" i="4"/>
  <c r="B193" i="6"/>
  <c r="B192" i="6"/>
  <c r="F195" i="4"/>
  <c r="G195" i="4"/>
  <c r="B191" i="6"/>
  <c r="F194" i="4"/>
  <c r="G194" i="4"/>
  <c r="B190" i="6"/>
  <c r="F193" i="4"/>
  <c r="G193" i="4"/>
  <c r="G192" i="4"/>
  <c r="B189" i="6"/>
  <c r="F192" i="4"/>
  <c r="B188" i="6"/>
  <c r="G191" i="4"/>
  <c r="F191" i="4"/>
  <c r="F190" i="4"/>
  <c r="G190" i="4"/>
  <c r="B187" i="6"/>
  <c r="F189" i="4"/>
  <c r="G189" i="4"/>
  <c r="B186" i="6"/>
  <c r="F188" i="4"/>
  <c r="G188" i="4"/>
  <c r="B185" i="6"/>
  <c r="G187" i="4"/>
  <c r="B184" i="6"/>
  <c r="F187" i="4"/>
  <c r="G186" i="4"/>
  <c r="B183" i="6"/>
  <c r="F186" i="4"/>
  <c r="B182" i="6"/>
  <c r="G185" i="4"/>
  <c r="F185" i="4"/>
  <c r="B181" i="6"/>
  <c r="G184" i="4"/>
  <c r="F184" i="4"/>
  <c r="B180" i="6"/>
  <c r="G183" i="4"/>
  <c r="F183" i="4"/>
  <c r="B179" i="6"/>
  <c r="G182" i="4"/>
  <c r="F182" i="4"/>
  <c r="B178" i="6"/>
  <c r="G181" i="4"/>
  <c r="F181" i="4"/>
  <c r="B177" i="6"/>
  <c r="G180" i="4"/>
  <c r="F180" i="4"/>
  <c r="B176" i="6"/>
  <c r="G179" i="4"/>
  <c r="F179" i="4"/>
  <c r="B175" i="6"/>
  <c r="G178" i="4"/>
  <c r="F178" i="4"/>
  <c r="B174" i="6"/>
  <c r="F177" i="4"/>
  <c r="G177" i="4"/>
  <c r="F176" i="4"/>
  <c r="G176" i="4"/>
  <c r="B173" i="6"/>
  <c r="F175" i="4"/>
  <c r="G175" i="4"/>
  <c r="B172" i="6"/>
  <c r="B171" i="6"/>
  <c r="G174" i="4"/>
  <c r="F174" i="4"/>
  <c r="B170" i="6"/>
  <c r="G173" i="4"/>
  <c r="F173" i="4"/>
  <c r="B169" i="6"/>
  <c r="G172" i="4"/>
  <c r="F172" i="4"/>
  <c r="B168" i="6"/>
  <c r="G171" i="4"/>
  <c r="F171" i="4"/>
  <c r="B167" i="6"/>
  <c r="G170" i="4"/>
  <c r="F170" i="4"/>
  <c r="G169" i="4"/>
  <c r="B166" i="6"/>
  <c r="F169" i="4"/>
  <c r="B165" i="6"/>
  <c r="G168" i="4"/>
  <c r="F168" i="4"/>
  <c r="B164" i="6"/>
  <c r="G167" i="4"/>
  <c r="F167" i="4"/>
  <c r="B163" i="6"/>
  <c r="G166" i="4"/>
  <c r="F166" i="4"/>
  <c r="F165" i="4"/>
  <c r="G165" i="4"/>
  <c r="B162" i="6"/>
  <c r="F164" i="4"/>
  <c r="G164" i="4"/>
  <c r="B161" i="6"/>
  <c r="B160" i="6"/>
  <c r="F163" i="4"/>
  <c r="G163" i="4"/>
  <c r="B159" i="6"/>
  <c r="F162" i="4"/>
  <c r="G162" i="4"/>
  <c r="B158" i="6"/>
  <c r="G161" i="4"/>
  <c r="F161" i="4"/>
  <c r="F160" i="4"/>
  <c r="G160" i="4"/>
  <c r="B157" i="6"/>
  <c r="C159" i="4"/>
  <c r="C156" i="6" s="1"/>
  <c r="F159" i="4"/>
  <c r="G159" i="4"/>
  <c r="B156" i="6"/>
  <c r="G158" i="4"/>
  <c r="F158" i="4"/>
  <c r="B155" i="6"/>
  <c r="F157" i="4"/>
  <c r="G157" i="4"/>
  <c r="B154" i="6"/>
  <c r="G156" i="4"/>
  <c r="F156" i="4"/>
  <c r="B153" i="6"/>
  <c r="G155" i="4"/>
  <c r="B152" i="6"/>
  <c r="F155" i="4"/>
  <c r="B151" i="6"/>
  <c r="G154" i="4"/>
  <c r="F154" i="4"/>
  <c r="B150" i="6"/>
  <c r="G153" i="4"/>
  <c r="F153" i="4"/>
  <c r="B149" i="6"/>
  <c r="G152" i="4"/>
  <c r="F152" i="4"/>
  <c r="B148" i="6"/>
  <c r="G151" i="4"/>
  <c r="F151" i="4"/>
  <c r="F150" i="4"/>
  <c r="B147" i="6"/>
  <c r="G150" i="4"/>
  <c r="F149" i="4"/>
  <c r="G149" i="4"/>
  <c r="B146" i="6"/>
  <c r="F148" i="4"/>
  <c r="G148" i="4"/>
  <c r="B145" i="6"/>
  <c r="F147" i="4"/>
  <c r="G147" i="4"/>
  <c r="B144" i="6"/>
  <c r="B143" i="6"/>
  <c r="G146" i="4"/>
  <c r="F146" i="4"/>
  <c r="B142" i="6"/>
  <c r="G145" i="4"/>
  <c r="F145" i="4"/>
  <c r="B141" i="6"/>
  <c r="G144" i="4"/>
  <c r="F144" i="4"/>
  <c r="B140" i="6"/>
  <c r="G143" i="4"/>
  <c r="F143" i="4"/>
  <c r="B139" i="6"/>
  <c r="G142" i="4"/>
  <c r="F142" i="4"/>
  <c r="B138" i="6"/>
  <c r="G141" i="4"/>
  <c r="F141" i="4"/>
  <c r="B137" i="6"/>
  <c r="F140" i="4"/>
  <c r="G140" i="4"/>
  <c r="F139" i="4"/>
  <c r="G139" i="4"/>
  <c r="B136" i="6"/>
  <c r="F138" i="4"/>
  <c r="G138" i="4"/>
  <c r="B135" i="6"/>
  <c r="G137" i="4"/>
  <c r="F137" i="4"/>
  <c r="B134" i="6"/>
  <c r="B133" i="6"/>
  <c r="F136" i="4"/>
  <c r="G136" i="4"/>
  <c r="B132" i="6"/>
  <c r="F135" i="4"/>
  <c r="G135" i="4"/>
  <c r="B131" i="6"/>
  <c r="F134" i="4"/>
  <c r="G134" i="4"/>
  <c r="B130" i="6"/>
  <c r="F133" i="4"/>
  <c r="G133" i="4"/>
  <c r="B129" i="6"/>
  <c r="F132" i="4"/>
  <c r="G132" i="4"/>
  <c r="G131" i="4"/>
  <c r="F131" i="4"/>
  <c r="B128" i="6"/>
  <c r="B127" i="6"/>
  <c r="G130" i="4"/>
  <c r="F130" i="4"/>
  <c r="B126" i="6"/>
  <c r="G129" i="4"/>
  <c r="F129" i="4"/>
  <c r="B125" i="6"/>
  <c r="G128" i="4"/>
  <c r="F128" i="4"/>
  <c r="F127" i="4"/>
  <c r="B124" i="6"/>
  <c r="G127" i="4"/>
  <c r="B123" i="6"/>
  <c r="G126" i="4"/>
  <c r="F126" i="4"/>
  <c r="G125" i="4"/>
  <c r="F125" i="4"/>
  <c r="B122" i="6"/>
  <c r="G124" i="4"/>
  <c r="F124" i="4"/>
  <c r="B121" i="6"/>
  <c r="F123" i="4"/>
  <c r="B120" i="6"/>
  <c r="G123" i="4"/>
  <c r="G122" i="4"/>
  <c r="F122" i="4"/>
  <c r="B119" i="6"/>
  <c r="F120" i="4"/>
  <c r="G120" i="4"/>
  <c r="B118" i="6"/>
  <c r="G119" i="4"/>
  <c r="B117" i="6"/>
  <c r="F119" i="4"/>
  <c r="B116" i="6"/>
  <c r="F118" i="4"/>
  <c r="G118" i="4"/>
  <c r="B115" i="6"/>
  <c r="G117" i="4"/>
  <c r="F117" i="4"/>
  <c r="B114" i="6"/>
  <c r="F116" i="4"/>
  <c r="G116" i="4"/>
  <c r="F115" i="4"/>
  <c r="G115" i="4"/>
  <c r="B113" i="6"/>
  <c r="G114" i="4"/>
  <c r="F114" i="4"/>
  <c r="B112" i="6"/>
  <c r="F113" i="4"/>
  <c r="G113" i="4"/>
  <c r="B111" i="6"/>
  <c r="G112" i="4"/>
  <c r="F112" i="4"/>
  <c r="B110" i="6"/>
  <c r="G111" i="4"/>
  <c r="F111" i="4"/>
  <c r="B109" i="6"/>
  <c r="B108" i="6"/>
  <c r="F110" i="4"/>
  <c r="G110" i="4"/>
  <c r="F109" i="4"/>
  <c r="B107" i="6"/>
  <c r="G109" i="4"/>
  <c r="G108" i="4"/>
  <c r="F108" i="4"/>
  <c r="B106" i="6"/>
  <c r="F107" i="4"/>
  <c r="G107" i="4"/>
  <c r="B105" i="6"/>
  <c r="B104" i="6"/>
  <c r="G106" i="4"/>
  <c r="F106" i="4"/>
  <c r="B103" i="6"/>
  <c r="G105" i="4"/>
  <c r="F105" i="4"/>
  <c r="B102" i="6"/>
  <c r="G104" i="4"/>
  <c r="F104" i="4"/>
  <c r="B101" i="6"/>
  <c r="G103" i="4"/>
  <c r="F103" i="4"/>
  <c r="B100" i="6"/>
  <c r="G102" i="4"/>
  <c r="F102" i="4"/>
  <c r="F101" i="4"/>
  <c r="G101" i="4"/>
  <c r="B99" i="6"/>
  <c r="F100" i="4"/>
  <c r="G100" i="4"/>
  <c r="B98" i="6"/>
  <c r="B97" i="6"/>
  <c r="F99" i="4"/>
  <c r="G99" i="4"/>
  <c r="B96" i="6"/>
  <c r="F98" i="4"/>
  <c r="G98" i="4"/>
  <c r="B95" i="6"/>
  <c r="G97" i="4"/>
  <c r="F97" i="4"/>
  <c r="B94" i="6"/>
  <c r="G96" i="4"/>
  <c r="F96" i="4"/>
  <c r="B93" i="6"/>
  <c r="G95" i="4"/>
  <c r="F95" i="4"/>
  <c r="B92" i="6"/>
  <c r="G94" i="4"/>
  <c r="F94" i="4"/>
  <c r="B91" i="6"/>
  <c r="G93" i="4"/>
  <c r="F93" i="4"/>
  <c r="F92" i="4"/>
  <c r="B90" i="6"/>
  <c r="G92" i="4"/>
  <c r="B89" i="6"/>
  <c r="G91" i="4"/>
  <c r="F91" i="4"/>
  <c r="B88" i="6"/>
  <c r="F90" i="4"/>
  <c r="G90" i="4"/>
  <c r="B87" i="6"/>
  <c r="F89" i="4"/>
  <c r="G89" i="4"/>
  <c r="F88" i="4"/>
  <c r="G88" i="4"/>
  <c r="B86" i="6"/>
  <c r="F87" i="4"/>
  <c r="G87" i="4"/>
  <c r="B85" i="6"/>
  <c r="B84" i="6"/>
  <c r="G85" i="4"/>
  <c r="F85" i="4"/>
  <c r="B83" i="6"/>
  <c r="G84" i="4"/>
  <c r="F84" i="4"/>
  <c r="B82" i="6"/>
  <c r="G83" i="4"/>
  <c r="F83" i="4"/>
  <c r="B81" i="6"/>
  <c r="G82" i="4"/>
  <c r="F82" i="4"/>
  <c r="B80" i="6"/>
  <c r="G81" i="4"/>
  <c r="F81" i="4"/>
  <c r="B79" i="6"/>
  <c r="G80" i="4"/>
  <c r="F80" i="4"/>
  <c r="G79" i="4"/>
  <c r="B78" i="6"/>
  <c r="F79" i="4"/>
  <c r="B77" i="6"/>
  <c r="F78" i="4"/>
  <c r="G78" i="4"/>
  <c r="F77" i="4"/>
  <c r="B76" i="6"/>
  <c r="G77" i="4"/>
  <c r="B75" i="6"/>
  <c r="G76" i="4"/>
  <c r="F76" i="4"/>
  <c r="F75" i="4"/>
  <c r="G75" i="4"/>
  <c r="B74" i="6"/>
  <c r="F74" i="4"/>
  <c r="G74" i="4"/>
  <c r="B73" i="6"/>
  <c r="B72" i="6"/>
  <c r="G73" i="4"/>
  <c r="F73" i="4"/>
  <c r="B71" i="6"/>
  <c r="G72" i="4"/>
  <c r="F72" i="4"/>
  <c r="F71" i="4"/>
  <c r="B70" i="6"/>
  <c r="G71" i="4"/>
  <c r="B69" i="6"/>
  <c r="G70" i="4"/>
  <c r="F70" i="4"/>
  <c r="B68" i="6"/>
  <c r="G69" i="4"/>
  <c r="F69" i="4"/>
  <c r="G68" i="4"/>
  <c r="F68" i="4"/>
  <c r="B67" i="6"/>
  <c r="B66" i="6"/>
  <c r="G67" i="4"/>
  <c r="F67" i="4"/>
  <c r="B65" i="6"/>
  <c r="F66" i="4"/>
  <c r="G66" i="4"/>
  <c r="G65" i="4"/>
  <c r="F65" i="4"/>
  <c r="B64" i="6"/>
  <c r="F64" i="4"/>
  <c r="G64" i="4"/>
  <c r="B63" i="6"/>
  <c r="B62" i="6"/>
  <c r="G63" i="4"/>
  <c r="F63" i="4"/>
  <c r="B61" i="6"/>
  <c r="G62" i="4"/>
  <c r="F62" i="4"/>
  <c r="B60" i="6"/>
  <c r="G61" i="4"/>
  <c r="F61" i="4"/>
  <c r="B59" i="6"/>
  <c r="G60" i="4"/>
  <c r="F60" i="4"/>
  <c r="B58" i="6"/>
  <c r="G59" i="4"/>
  <c r="F59" i="4"/>
  <c r="B57" i="6"/>
  <c r="F58" i="4"/>
  <c r="G58" i="4"/>
  <c r="B56" i="6"/>
  <c r="G57" i="4"/>
  <c r="F57" i="4"/>
  <c r="B55" i="6"/>
  <c r="G56" i="4"/>
  <c r="F56" i="4"/>
  <c r="B54" i="6"/>
  <c r="G55" i="4"/>
  <c r="F55" i="4"/>
  <c r="B53" i="6"/>
  <c r="G54" i="4"/>
  <c r="F54" i="4"/>
  <c r="B52" i="6"/>
  <c r="F53" i="4"/>
  <c r="G53" i="4"/>
  <c r="B51" i="6"/>
  <c r="F51" i="4"/>
  <c r="G51" i="4"/>
  <c r="F50" i="4"/>
  <c r="G50" i="4"/>
  <c r="B50" i="6"/>
  <c r="F49" i="4"/>
  <c r="G49" i="4"/>
  <c r="B49" i="6"/>
  <c r="G48" i="4"/>
  <c r="B48" i="6"/>
  <c r="F48" i="4"/>
  <c r="B47" i="6"/>
  <c r="F47" i="4"/>
  <c r="G47" i="4"/>
  <c r="F46" i="4"/>
  <c r="G46" i="4"/>
  <c r="B46" i="6"/>
  <c r="F45" i="4"/>
  <c r="G45" i="4"/>
  <c r="B45" i="6"/>
  <c r="F44" i="4"/>
  <c r="G44" i="4"/>
  <c r="B44" i="6"/>
  <c r="F43" i="4"/>
  <c r="G43" i="4"/>
  <c r="B43" i="6"/>
  <c r="G42" i="4"/>
  <c r="B42" i="6"/>
  <c r="F42" i="4"/>
  <c r="F41" i="4"/>
  <c r="B41" i="6"/>
  <c r="G41" i="4"/>
  <c r="F40" i="4"/>
  <c r="G40" i="4"/>
  <c r="B40" i="6"/>
  <c r="G39" i="4"/>
  <c r="F39" i="4"/>
  <c r="B39" i="6"/>
  <c r="B38" i="6"/>
  <c r="G38" i="4"/>
  <c r="F38" i="4"/>
  <c r="B37" i="6"/>
  <c r="G37" i="4"/>
  <c r="F37" i="4"/>
  <c r="B36" i="6"/>
  <c r="F36" i="4"/>
  <c r="G36" i="4"/>
  <c r="B35" i="6"/>
  <c r="G35" i="4"/>
  <c r="F35" i="4"/>
  <c r="B34" i="6"/>
  <c r="G34" i="4"/>
  <c r="F34" i="4"/>
  <c r="B33" i="6"/>
  <c r="G33" i="4"/>
  <c r="F33" i="4"/>
  <c r="B32" i="6"/>
  <c r="G32" i="4"/>
  <c r="F32" i="4"/>
  <c r="G31" i="4"/>
  <c r="F31" i="4"/>
  <c r="B31" i="6"/>
  <c r="F30" i="4"/>
  <c r="G30" i="4"/>
  <c r="B30" i="6"/>
  <c r="B29" i="6"/>
  <c r="F29" i="4"/>
  <c r="G29" i="4"/>
  <c r="B28" i="6"/>
  <c r="F28" i="4"/>
  <c r="G28" i="4"/>
  <c r="B27" i="6"/>
  <c r="F27" i="4"/>
  <c r="G27" i="4"/>
  <c r="B26" i="6"/>
  <c r="G26" i="4"/>
  <c r="F26" i="4"/>
  <c r="G25" i="4"/>
  <c r="B25" i="6"/>
  <c r="F25" i="4"/>
  <c r="B24" i="6"/>
  <c r="G24" i="4"/>
  <c r="F24" i="4"/>
  <c r="B23" i="6"/>
  <c r="G23" i="4"/>
  <c r="F23" i="4"/>
  <c r="B22" i="6"/>
  <c r="G22" i="4"/>
  <c r="F22" i="4"/>
  <c r="B21" i="6"/>
  <c r="G21" i="4"/>
  <c r="F21" i="4"/>
  <c r="B20" i="6"/>
  <c r="G20" i="4"/>
  <c r="F20" i="4"/>
  <c r="B19" i="6"/>
  <c r="G19" i="4"/>
  <c r="F19" i="4"/>
  <c r="B18" i="6"/>
  <c r="G18" i="4"/>
  <c r="F18" i="4"/>
  <c r="B17" i="6"/>
  <c r="G17" i="4"/>
  <c r="F17" i="4"/>
  <c r="F16" i="4"/>
  <c r="G16" i="4"/>
  <c r="B16" i="6"/>
  <c r="B15" i="6"/>
  <c r="F15" i="4"/>
  <c r="G15" i="4"/>
  <c r="B14" i="6"/>
  <c r="F14" i="4"/>
  <c r="G14" i="4"/>
  <c r="B13" i="6"/>
  <c r="F13" i="4"/>
  <c r="G13" i="4"/>
  <c r="B12" i="6"/>
  <c r="F12" i="4"/>
  <c r="G12" i="4"/>
  <c r="B11" i="6"/>
  <c r="F11" i="4"/>
  <c r="G11" i="4"/>
  <c r="G10" i="4"/>
  <c r="F10" i="4"/>
  <c r="B10" i="6"/>
  <c r="G9" i="4"/>
  <c r="B9" i="6"/>
  <c r="F9" i="4"/>
  <c r="B8" i="6"/>
  <c r="G8" i="4"/>
  <c r="F8" i="4"/>
  <c r="B7" i="6"/>
  <c r="G7" i="4"/>
  <c r="F7" i="4"/>
  <c r="B6" i="6"/>
  <c r="G6" i="4"/>
  <c r="F6" i="4"/>
  <c r="B5" i="6"/>
  <c r="G5" i="4"/>
  <c r="F5" i="4"/>
  <c r="B4" i="6"/>
  <c r="G4" i="4"/>
  <c r="F4" i="4"/>
  <c r="B3" i="6"/>
  <c r="G3" i="4"/>
  <c r="F3" i="4"/>
  <c r="B2" i="6"/>
  <c r="G2" i="4"/>
  <c r="F2" i="4"/>
  <c r="F426" i="6" l="1"/>
  <c r="G426" i="6"/>
  <c r="F425" i="6"/>
  <c r="G425" i="6"/>
  <c r="F424" i="6"/>
  <c r="G424" i="6"/>
  <c r="F423" i="6"/>
  <c r="G423" i="6"/>
  <c r="F422" i="6"/>
  <c r="G422" i="6"/>
  <c r="F421" i="6"/>
  <c r="G421" i="6"/>
  <c r="F420" i="6"/>
  <c r="G420" i="6"/>
  <c r="F419" i="6"/>
  <c r="G419" i="6"/>
  <c r="F418" i="6"/>
  <c r="G418" i="6"/>
  <c r="F417" i="6"/>
  <c r="G417" i="6"/>
  <c r="F416" i="6"/>
  <c r="G416" i="6"/>
  <c r="F415" i="6"/>
  <c r="G415" i="6"/>
  <c r="F414" i="6"/>
  <c r="G414" i="6"/>
  <c r="F413" i="6"/>
  <c r="G413" i="6"/>
  <c r="F412" i="6"/>
  <c r="G412" i="6"/>
  <c r="F411" i="6"/>
  <c r="G411" i="6"/>
  <c r="F410" i="6"/>
  <c r="G410" i="6"/>
  <c r="F409" i="6"/>
  <c r="G409" i="6"/>
  <c r="F408" i="6"/>
  <c r="G408" i="6"/>
  <c r="F407" i="6"/>
  <c r="G407" i="6"/>
  <c r="F406" i="6"/>
  <c r="G406" i="6"/>
  <c r="F405" i="6"/>
  <c r="G405" i="6"/>
  <c r="F404" i="6"/>
  <c r="G404" i="6"/>
  <c r="F403" i="6"/>
  <c r="G403" i="6"/>
  <c r="F402" i="6"/>
  <c r="G402" i="6"/>
  <c r="F401" i="6"/>
  <c r="G401" i="6"/>
  <c r="F400" i="6"/>
  <c r="G400" i="6"/>
  <c r="F399" i="6"/>
  <c r="G399" i="6"/>
  <c r="F398" i="6"/>
  <c r="G398" i="6"/>
  <c r="F397" i="6"/>
  <c r="G397" i="6"/>
  <c r="F396" i="6"/>
  <c r="G396" i="6"/>
  <c r="F395" i="6"/>
  <c r="G395" i="6"/>
  <c r="F394" i="6"/>
  <c r="G394" i="6"/>
  <c r="F393" i="6"/>
  <c r="G393" i="6"/>
  <c r="F392" i="6"/>
  <c r="G392" i="6"/>
  <c r="F391" i="6"/>
  <c r="G391" i="6"/>
  <c r="F390" i="6"/>
  <c r="G390" i="6"/>
  <c r="F389" i="6"/>
  <c r="G389" i="6"/>
  <c r="F388" i="6"/>
  <c r="G388" i="6"/>
  <c r="F387" i="6"/>
  <c r="G387" i="6"/>
  <c r="F386" i="6"/>
  <c r="G386" i="6"/>
  <c r="F385" i="6"/>
  <c r="G385" i="6"/>
  <c r="F384" i="6"/>
  <c r="G384" i="6"/>
  <c r="F383" i="6"/>
  <c r="G383" i="6"/>
  <c r="F382" i="6"/>
  <c r="G382" i="6"/>
  <c r="F381" i="6"/>
  <c r="G381" i="6"/>
  <c r="F380" i="6"/>
  <c r="G380" i="6"/>
  <c r="F379" i="6"/>
  <c r="G379" i="6"/>
  <c r="F378" i="6"/>
  <c r="G378" i="6"/>
  <c r="F377" i="6"/>
  <c r="G377" i="6"/>
  <c r="F376" i="6"/>
  <c r="G376" i="6"/>
  <c r="F375" i="6"/>
  <c r="G375" i="6"/>
  <c r="F374" i="6"/>
  <c r="G374" i="6"/>
  <c r="F373" i="6"/>
  <c r="G373" i="6"/>
  <c r="F372" i="6"/>
  <c r="G372" i="6"/>
  <c r="F371" i="6"/>
  <c r="G371" i="6"/>
  <c r="F370" i="6"/>
  <c r="G370" i="6"/>
  <c r="F369" i="6"/>
  <c r="G369" i="6"/>
  <c r="F368" i="6"/>
  <c r="G368" i="6"/>
  <c r="F367" i="6"/>
  <c r="G367" i="6"/>
  <c r="F366" i="6"/>
  <c r="G366" i="6"/>
  <c r="F365" i="6"/>
  <c r="G365" i="6"/>
  <c r="F364" i="6"/>
  <c r="G364" i="6"/>
  <c r="F363" i="6"/>
  <c r="G363" i="6"/>
  <c r="F362" i="6"/>
  <c r="G362" i="6"/>
  <c r="F361" i="6"/>
  <c r="G361" i="6"/>
  <c r="F360" i="6"/>
  <c r="G360" i="6"/>
  <c r="F359" i="6"/>
  <c r="G359" i="6"/>
  <c r="F358" i="6"/>
  <c r="G358" i="6"/>
  <c r="F357" i="6"/>
  <c r="G357" i="6"/>
  <c r="F356" i="6"/>
  <c r="G356" i="6"/>
  <c r="F355" i="6"/>
  <c r="G355" i="6"/>
  <c r="F354" i="6"/>
  <c r="G354" i="6"/>
  <c r="F353" i="6"/>
  <c r="G353" i="6"/>
  <c r="F352" i="6"/>
  <c r="G352" i="6"/>
  <c r="F351" i="6"/>
  <c r="G351" i="6"/>
  <c r="F350" i="6"/>
  <c r="G350" i="6"/>
  <c r="F349" i="6"/>
  <c r="G349" i="6"/>
  <c r="F348" i="6"/>
  <c r="G348" i="6"/>
  <c r="F347" i="6"/>
  <c r="G347" i="6"/>
  <c r="F346" i="6"/>
  <c r="G346" i="6"/>
  <c r="F345" i="6"/>
  <c r="G345" i="6"/>
  <c r="F344" i="6"/>
  <c r="G344" i="6"/>
  <c r="F343" i="6"/>
  <c r="G343" i="6"/>
  <c r="F342" i="6"/>
  <c r="G342" i="6"/>
  <c r="F341" i="6"/>
  <c r="G341" i="6"/>
  <c r="F340" i="6"/>
  <c r="G340" i="6"/>
  <c r="F339" i="6"/>
  <c r="G339" i="6"/>
  <c r="F338" i="6"/>
  <c r="G338" i="6"/>
  <c r="F337" i="6"/>
  <c r="G337" i="6"/>
  <c r="F336" i="6"/>
  <c r="G336" i="6"/>
  <c r="F335" i="6"/>
  <c r="G335" i="6"/>
  <c r="F334" i="6"/>
  <c r="G334" i="6"/>
  <c r="F333" i="6"/>
  <c r="G333" i="6"/>
  <c r="F332" i="6"/>
  <c r="G332" i="6"/>
  <c r="F331" i="6"/>
  <c r="G331" i="6"/>
  <c r="F330" i="6"/>
  <c r="G330" i="6"/>
  <c r="F329" i="6"/>
  <c r="G329" i="6"/>
  <c r="F328" i="6"/>
  <c r="G328" i="6"/>
  <c r="F327" i="6"/>
  <c r="G327" i="6"/>
  <c r="F326" i="6"/>
  <c r="G326" i="6"/>
  <c r="F325" i="6"/>
  <c r="G325" i="6"/>
  <c r="F324" i="6"/>
  <c r="G324" i="6"/>
  <c r="F323" i="6"/>
  <c r="G323" i="6"/>
  <c r="F322" i="6"/>
  <c r="G322" i="6"/>
  <c r="F321" i="6"/>
  <c r="G321" i="6"/>
  <c r="F320" i="6"/>
  <c r="G320" i="6"/>
  <c r="F319" i="6"/>
  <c r="G319" i="6"/>
  <c r="F318" i="6"/>
  <c r="G318" i="6"/>
  <c r="F317" i="6"/>
  <c r="G317" i="6"/>
  <c r="F316" i="6"/>
  <c r="G316" i="6"/>
  <c r="F315" i="6"/>
  <c r="G315" i="6"/>
  <c r="F314" i="6"/>
  <c r="G314" i="6"/>
  <c r="F313" i="6"/>
  <c r="G313" i="6"/>
  <c r="F312" i="6"/>
  <c r="G312" i="6"/>
  <c r="F311" i="6"/>
  <c r="G311" i="6"/>
  <c r="F310" i="6"/>
  <c r="G310" i="6"/>
  <c r="F309" i="6"/>
  <c r="G309" i="6"/>
  <c r="F308" i="6"/>
  <c r="G308" i="6"/>
  <c r="F307" i="6"/>
  <c r="G307" i="6"/>
  <c r="F306" i="6"/>
  <c r="G306" i="6"/>
  <c r="F305" i="6"/>
  <c r="G305" i="6"/>
  <c r="F304" i="6"/>
  <c r="G304" i="6"/>
  <c r="F303" i="6"/>
  <c r="G303" i="6"/>
  <c r="F302" i="6"/>
  <c r="G302" i="6"/>
  <c r="F301" i="6"/>
  <c r="G301" i="6"/>
  <c r="F300" i="6"/>
  <c r="G300" i="6"/>
  <c r="F299" i="6"/>
  <c r="G299" i="6"/>
  <c r="F298" i="6"/>
  <c r="G298" i="6"/>
  <c r="F297" i="6"/>
  <c r="G297" i="6"/>
  <c r="F296" i="6"/>
  <c r="G296" i="6"/>
  <c r="F295" i="6"/>
  <c r="G295" i="6"/>
  <c r="F294" i="6"/>
  <c r="G294" i="6"/>
  <c r="F293" i="6"/>
  <c r="G293" i="6"/>
  <c r="F292" i="6"/>
  <c r="G292" i="6"/>
  <c r="F291" i="6"/>
  <c r="G291" i="6"/>
  <c r="F290" i="6"/>
  <c r="G290" i="6"/>
  <c r="F289" i="6"/>
  <c r="G289" i="6"/>
  <c r="F288" i="6"/>
  <c r="G288" i="6"/>
  <c r="F287" i="6"/>
  <c r="G287" i="6"/>
  <c r="F286" i="6"/>
  <c r="G286" i="6"/>
  <c r="F285" i="6"/>
  <c r="G285" i="6"/>
  <c r="F284" i="6"/>
  <c r="G284" i="6"/>
  <c r="F283" i="6"/>
  <c r="G283" i="6"/>
  <c r="F282" i="6"/>
  <c r="G282" i="6"/>
  <c r="F281" i="6"/>
  <c r="G281" i="6"/>
  <c r="F280" i="6"/>
  <c r="G280" i="6"/>
  <c r="F279" i="6"/>
  <c r="G279" i="6"/>
  <c r="F278" i="6"/>
  <c r="G278" i="6"/>
  <c r="F277" i="6"/>
  <c r="G277" i="6"/>
  <c r="F276" i="6"/>
  <c r="G276" i="6"/>
  <c r="F275" i="6"/>
  <c r="G275" i="6"/>
  <c r="F274" i="6"/>
  <c r="G274" i="6"/>
  <c r="F273" i="6"/>
  <c r="G273" i="6"/>
  <c r="F272" i="6"/>
  <c r="G272" i="6"/>
  <c r="F271" i="6"/>
  <c r="G271" i="6"/>
  <c r="F270" i="6"/>
  <c r="G270" i="6"/>
  <c r="F269" i="6"/>
  <c r="G269" i="6"/>
  <c r="F268" i="6"/>
  <c r="G268" i="6"/>
  <c r="F267" i="6"/>
  <c r="G267" i="6"/>
  <c r="F266" i="6"/>
  <c r="G266" i="6"/>
  <c r="F265" i="6"/>
  <c r="G265" i="6"/>
  <c r="F264" i="6"/>
  <c r="G264" i="6"/>
  <c r="F263" i="6"/>
  <c r="G263" i="6"/>
  <c r="F262" i="6"/>
  <c r="G262" i="6"/>
  <c r="F261" i="6"/>
  <c r="G261" i="6"/>
  <c r="F260" i="6"/>
  <c r="G260" i="6"/>
  <c r="F259" i="6"/>
  <c r="G259" i="6"/>
  <c r="F258" i="6"/>
  <c r="G258" i="6"/>
  <c r="F257" i="6"/>
  <c r="G257" i="6"/>
  <c r="F256" i="6"/>
  <c r="G256" i="6"/>
  <c r="F255" i="6"/>
  <c r="G255" i="6"/>
  <c r="F254" i="6"/>
  <c r="G254" i="6"/>
  <c r="F253" i="6"/>
  <c r="G253" i="6"/>
  <c r="F252" i="6"/>
  <c r="G252" i="6"/>
  <c r="F251" i="6"/>
  <c r="G251" i="6"/>
  <c r="F250" i="6"/>
  <c r="G250" i="6"/>
  <c r="F249" i="6"/>
  <c r="G249" i="6"/>
  <c r="F244" i="6"/>
  <c r="G244" i="6"/>
  <c r="F248" i="6"/>
  <c r="G248" i="6"/>
  <c r="F243" i="6"/>
  <c r="G243" i="6"/>
  <c r="F247" i="6"/>
  <c r="G247" i="6"/>
  <c r="F242" i="6"/>
  <c r="G242" i="6"/>
  <c r="F246" i="6"/>
  <c r="G246" i="6"/>
  <c r="F241" i="6"/>
  <c r="G241" i="6"/>
  <c r="F245" i="6"/>
  <c r="G245" i="6"/>
  <c r="F240" i="6"/>
  <c r="G240" i="6"/>
  <c r="F239" i="6"/>
  <c r="G239" i="6"/>
  <c r="F238" i="6"/>
  <c r="G238" i="6"/>
  <c r="F237" i="6"/>
  <c r="G237" i="6"/>
  <c r="F236" i="6"/>
  <c r="G236" i="6"/>
  <c r="F235" i="6"/>
  <c r="G235" i="6"/>
  <c r="F234" i="6"/>
  <c r="G234" i="6"/>
  <c r="F233" i="6"/>
  <c r="G233" i="6"/>
  <c r="F232" i="6"/>
  <c r="G232" i="6"/>
  <c r="F231" i="6"/>
  <c r="G231" i="6"/>
  <c r="F230" i="6"/>
  <c r="G230" i="6"/>
  <c r="F229" i="6"/>
  <c r="G229" i="6"/>
  <c r="F228" i="6"/>
  <c r="G228" i="6"/>
  <c r="F227" i="6"/>
  <c r="G227" i="6"/>
  <c r="F226" i="6"/>
  <c r="G226" i="6"/>
  <c r="F225" i="6"/>
  <c r="G225" i="6"/>
  <c r="F224" i="6"/>
  <c r="G224" i="6"/>
  <c r="F223" i="6"/>
  <c r="G223" i="6"/>
  <c r="F222" i="6"/>
  <c r="G222" i="6"/>
  <c r="F221" i="6"/>
  <c r="G221" i="6"/>
  <c r="F220" i="6"/>
  <c r="G220" i="6"/>
  <c r="F219" i="6"/>
  <c r="G219" i="6"/>
  <c r="F218" i="6"/>
  <c r="G218" i="6"/>
  <c r="F217" i="6"/>
  <c r="G217" i="6"/>
  <c r="F216" i="6"/>
  <c r="G216" i="6"/>
  <c r="F215" i="6"/>
  <c r="G215" i="6"/>
  <c r="F214" i="6"/>
  <c r="G214" i="6"/>
  <c r="F213" i="6"/>
  <c r="G213" i="6"/>
  <c r="F212" i="6"/>
  <c r="G212" i="6"/>
  <c r="F211" i="6"/>
  <c r="G211" i="6"/>
  <c r="F210" i="6"/>
  <c r="G210" i="6"/>
  <c r="F209" i="6"/>
  <c r="G209" i="6"/>
  <c r="F208" i="6"/>
  <c r="G208" i="6"/>
  <c r="F207" i="6"/>
  <c r="G207" i="6"/>
  <c r="F206" i="6"/>
  <c r="G206" i="6"/>
  <c r="F205" i="6"/>
  <c r="G205" i="6"/>
  <c r="F204" i="6"/>
  <c r="G204" i="6"/>
  <c r="F203" i="6"/>
  <c r="G203" i="6"/>
  <c r="F202" i="6"/>
  <c r="G202" i="6"/>
  <c r="F201" i="6"/>
  <c r="G201" i="6"/>
  <c r="F200" i="6"/>
  <c r="G200" i="6"/>
  <c r="F199" i="6"/>
  <c r="G199" i="6"/>
  <c r="F198" i="6"/>
  <c r="G198" i="6"/>
  <c r="F197" i="6"/>
  <c r="G197" i="6"/>
  <c r="F196" i="6"/>
  <c r="G196" i="6"/>
  <c r="F195" i="6"/>
  <c r="G195" i="6"/>
  <c r="F194" i="6"/>
  <c r="G194" i="6"/>
  <c r="F193" i="6"/>
  <c r="G193" i="6"/>
  <c r="F192" i="6"/>
  <c r="G192" i="6"/>
  <c r="F191" i="6"/>
  <c r="G191" i="6"/>
  <c r="F190" i="6"/>
  <c r="G190" i="6"/>
  <c r="F189" i="6"/>
  <c r="G189" i="6"/>
  <c r="F188" i="6"/>
  <c r="G188" i="6"/>
  <c r="F187" i="6"/>
  <c r="G187" i="6"/>
  <c r="F186" i="6"/>
  <c r="G186" i="6"/>
  <c r="F185" i="6"/>
  <c r="G185" i="6"/>
  <c r="F184" i="6"/>
  <c r="G184" i="6"/>
  <c r="F183" i="6"/>
  <c r="G183" i="6"/>
  <c r="F182" i="6"/>
  <c r="G182" i="6"/>
  <c r="F181" i="6"/>
  <c r="G181" i="6"/>
  <c r="F180" i="6"/>
  <c r="G180" i="6"/>
  <c r="F179" i="6"/>
  <c r="G179" i="6"/>
  <c r="F178" i="6"/>
  <c r="G178" i="6"/>
  <c r="F177" i="6"/>
  <c r="G177" i="6"/>
  <c r="F176" i="6"/>
  <c r="G176" i="6"/>
  <c r="F175" i="6"/>
  <c r="G175" i="6"/>
  <c r="F174" i="6"/>
  <c r="G174" i="6"/>
  <c r="F173" i="6"/>
  <c r="G173" i="6"/>
  <c r="F172" i="6"/>
  <c r="G172" i="6"/>
  <c r="F171" i="6"/>
  <c r="G171" i="6"/>
  <c r="F170" i="6"/>
  <c r="G170" i="6"/>
  <c r="F169" i="6"/>
  <c r="G169" i="6"/>
  <c r="F168" i="6"/>
  <c r="G168" i="6"/>
  <c r="F167" i="6"/>
  <c r="G167" i="6"/>
  <c r="F166" i="6"/>
  <c r="G166" i="6"/>
  <c r="F165" i="6"/>
  <c r="G165" i="6"/>
  <c r="F164" i="6"/>
  <c r="G164" i="6"/>
  <c r="F163" i="6"/>
  <c r="G163" i="6"/>
  <c r="F162" i="6"/>
  <c r="G162" i="6"/>
  <c r="F161" i="6"/>
  <c r="G161" i="6"/>
  <c r="F160" i="6"/>
  <c r="G160" i="6"/>
  <c r="F159" i="6"/>
  <c r="G159" i="6"/>
  <c r="F158" i="6"/>
  <c r="G158" i="6"/>
  <c r="F157" i="6"/>
  <c r="G157" i="6"/>
  <c r="F156" i="6"/>
  <c r="G156" i="6"/>
  <c r="F155" i="6"/>
  <c r="G155" i="6"/>
  <c r="F154" i="6"/>
  <c r="G154" i="6"/>
  <c r="F153" i="6"/>
  <c r="G153" i="6"/>
  <c r="F152" i="6"/>
  <c r="G152" i="6"/>
  <c r="F151" i="6"/>
  <c r="G151" i="6"/>
  <c r="F150" i="6"/>
  <c r="G150" i="6"/>
  <c r="F149" i="6"/>
  <c r="G149" i="6"/>
  <c r="F148" i="6"/>
  <c r="G148" i="6"/>
  <c r="F147" i="6"/>
  <c r="G147" i="6"/>
  <c r="F146" i="6"/>
  <c r="G146" i="6"/>
  <c r="F145" i="6"/>
  <c r="G145" i="6"/>
  <c r="F144" i="6"/>
  <c r="G144" i="6"/>
  <c r="F143" i="6"/>
  <c r="G143" i="6"/>
  <c r="F142" i="6"/>
  <c r="G142" i="6"/>
  <c r="F141" i="6"/>
  <c r="G141" i="6"/>
  <c r="F140" i="6"/>
  <c r="G140" i="6"/>
  <c r="F139" i="6"/>
  <c r="G139" i="6"/>
  <c r="F138" i="6"/>
  <c r="G138" i="6"/>
  <c r="F137" i="6"/>
  <c r="G137" i="6"/>
  <c r="F136" i="6"/>
  <c r="G136" i="6"/>
  <c r="F135" i="6"/>
  <c r="G135" i="6"/>
  <c r="F134" i="6"/>
  <c r="G134" i="6"/>
  <c r="F133" i="6"/>
  <c r="G133" i="6"/>
  <c r="F132" i="6"/>
  <c r="G132" i="6"/>
  <c r="F131" i="6"/>
  <c r="G131" i="6"/>
  <c r="F130" i="6"/>
  <c r="G130" i="6"/>
  <c r="F129" i="6"/>
  <c r="G129" i="6"/>
  <c r="F128" i="6"/>
  <c r="G128" i="6"/>
  <c r="F127" i="6"/>
  <c r="G127" i="6"/>
  <c r="F126" i="6"/>
  <c r="G126" i="6"/>
  <c r="F125" i="6"/>
  <c r="G125" i="6"/>
  <c r="F124" i="6"/>
  <c r="G124" i="6"/>
  <c r="F123" i="6"/>
  <c r="G123" i="6"/>
  <c r="F122" i="6"/>
  <c r="G122" i="6"/>
  <c r="F121" i="6"/>
  <c r="G121" i="6"/>
  <c r="F120" i="6"/>
  <c r="G120" i="6"/>
  <c r="F119" i="6"/>
  <c r="G119" i="6"/>
  <c r="F118" i="6"/>
  <c r="G118" i="6"/>
  <c r="F117" i="6"/>
  <c r="G117" i="6"/>
  <c r="F116" i="6"/>
  <c r="G116" i="6"/>
  <c r="F115" i="6"/>
  <c r="G115" i="6"/>
  <c r="F114" i="6"/>
  <c r="G114" i="6"/>
  <c r="F113" i="6"/>
  <c r="G113" i="6"/>
  <c r="F112" i="6"/>
  <c r="G112" i="6"/>
  <c r="F111" i="6"/>
  <c r="G111" i="6"/>
  <c r="F110" i="6"/>
  <c r="G110" i="6"/>
  <c r="F109" i="6"/>
  <c r="G109" i="6"/>
  <c r="F108" i="6"/>
  <c r="G108" i="6"/>
  <c r="F107" i="6"/>
  <c r="G107" i="6"/>
  <c r="F106" i="6"/>
  <c r="G106" i="6"/>
  <c r="F105" i="6"/>
  <c r="G105" i="6"/>
  <c r="F104" i="6"/>
  <c r="G104" i="6"/>
  <c r="F103" i="6"/>
  <c r="G103" i="6"/>
  <c r="F102" i="6"/>
  <c r="G102" i="6"/>
  <c r="F101" i="6"/>
  <c r="G101" i="6"/>
  <c r="F100" i="6"/>
  <c r="G100" i="6"/>
  <c r="F99" i="6"/>
  <c r="G99" i="6"/>
  <c r="F98" i="6"/>
  <c r="G98" i="6"/>
  <c r="F97" i="6"/>
  <c r="G97" i="6"/>
  <c r="F96" i="6"/>
  <c r="G96" i="6"/>
  <c r="F95" i="6"/>
  <c r="G95" i="6"/>
  <c r="F94" i="6"/>
  <c r="G94" i="6"/>
  <c r="F93" i="6"/>
  <c r="G93" i="6"/>
  <c r="F92" i="6"/>
  <c r="G92" i="6"/>
  <c r="F91" i="6"/>
  <c r="G91" i="6"/>
  <c r="F90" i="6"/>
  <c r="G90" i="6"/>
  <c r="F89" i="6"/>
  <c r="G89" i="6"/>
  <c r="F88" i="6"/>
  <c r="G88" i="6"/>
  <c r="F87" i="6"/>
  <c r="G87" i="6"/>
  <c r="F86" i="6"/>
  <c r="G86" i="6"/>
  <c r="F85" i="6"/>
  <c r="G85" i="6"/>
  <c r="F84" i="6"/>
  <c r="G84" i="6"/>
  <c r="F83" i="6"/>
  <c r="G83" i="6"/>
  <c r="F82" i="6"/>
  <c r="G82" i="6"/>
  <c r="F81" i="6"/>
  <c r="G81" i="6"/>
  <c r="F80" i="6"/>
  <c r="G80" i="6"/>
  <c r="F79" i="6"/>
  <c r="G79" i="6"/>
  <c r="F78" i="6"/>
  <c r="G78" i="6"/>
  <c r="F77" i="6"/>
  <c r="G77" i="6"/>
  <c r="F76" i="6"/>
  <c r="G76" i="6"/>
  <c r="F75" i="6"/>
  <c r="G75" i="6"/>
  <c r="F74" i="6"/>
  <c r="G74" i="6"/>
  <c r="F73" i="6"/>
  <c r="G73" i="6"/>
  <c r="F72" i="6"/>
  <c r="G72" i="6"/>
  <c r="F71" i="6"/>
  <c r="G71" i="6"/>
  <c r="F70" i="6"/>
  <c r="G70" i="6"/>
  <c r="F69" i="6"/>
  <c r="G69" i="6"/>
  <c r="F68" i="6"/>
  <c r="G68" i="6"/>
  <c r="F67" i="6"/>
  <c r="G67" i="6"/>
  <c r="F66" i="6"/>
  <c r="G66" i="6"/>
  <c r="F65" i="6"/>
  <c r="G65" i="6"/>
  <c r="F64" i="6"/>
  <c r="G64" i="6"/>
  <c r="F63" i="6"/>
  <c r="G63" i="6"/>
  <c r="F62" i="6"/>
  <c r="G62" i="6"/>
  <c r="F61" i="6"/>
  <c r="G61" i="6"/>
  <c r="F60" i="6"/>
  <c r="G60" i="6"/>
  <c r="F59" i="6"/>
  <c r="G59" i="6"/>
  <c r="F58" i="6"/>
  <c r="G58" i="6"/>
  <c r="F57" i="6"/>
  <c r="G57" i="6"/>
  <c r="F56" i="6"/>
  <c r="G56" i="6"/>
  <c r="F55" i="6"/>
  <c r="G55" i="6"/>
  <c r="F54" i="6"/>
  <c r="G54" i="6"/>
  <c r="F53" i="6"/>
  <c r="G53" i="6"/>
  <c r="F52" i="6"/>
  <c r="G52" i="6"/>
  <c r="F51" i="6"/>
  <c r="G51" i="6"/>
  <c r="F50" i="6"/>
  <c r="G50" i="6"/>
  <c r="F49" i="6"/>
  <c r="G49" i="6"/>
  <c r="F48" i="6"/>
  <c r="G48" i="6"/>
  <c r="F47" i="6"/>
  <c r="G47" i="6"/>
  <c r="F46" i="6"/>
  <c r="G46" i="6"/>
  <c r="F45" i="6"/>
  <c r="G45" i="6"/>
  <c r="F44" i="6"/>
  <c r="G44" i="6"/>
  <c r="F43" i="6"/>
  <c r="G43" i="6"/>
  <c r="F42" i="6"/>
  <c r="G42" i="6"/>
  <c r="F41" i="6"/>
  <c r="G41" i="6"/>
  <c r="F40" i="6"/>
  <c r="G40" i="6"/>
  <c r="F39" i="6"/>
  <c r="G39" i="6"/>
  <c r="F38" i="6"/>
  <c r="G38" i="6"/>
  <c r="F37" i="6"/>
  <c r="G37" i="6"/>
  <c r="F36" i="6"/>
  <c r="G36" i="6"/>
  <c r="F35" i="6"/>
  <c r="G35" i="6"/>
  <c r="F34" i="6"/>
  <c r="G34" i="6"/>
  <c r="F33" i="6"/>
  <c r="G33" i="6"/>
  <c r="F32" i="6"/>
  <c r="G32" i="6"/>
  <c r="F31" i="6"/>
  <c r="G31" i="6"/>
  <c r="F30" i="6"/>
  <c r="G30" i="6"/>
  <c r="F29" i="6"/>
  <c r="G29" i="6"/>
  <c r="F28" i="6"/>
  <c r="G28" i="6"/>
  <c r="F27" i="6"/>
  <c r="G27" i="6"/>
  <c r="F26" i="6"/>
  <c r="G26" i="6"/>
  <c r="F25" i="6"/>
  <c r="G25" i="6"/>
  <c r="F24" i="6"/>
  <c r="G24" i="6"/>
  <c r="F23" i="6"/>
  <c r="G23" i="6"/>
  <c r="F22" i="6"/>
  <c r="G22" i="6"/>
  <c r="F21" i="6"/>
  <c r="G21" i="6"/>
  <c r="F20" i="6"/>
  <c r="G20" i="6"/>
  <c r="F19" i="6"/>
  <c r="G19" i="6"/>
  <c r="F18" i="6"/>
  <c r="G18" i="6"/>
  <c r="F17" i="6"/>
  <c r="G17" i="6"/>
  <c r="F16" i="6"/>
  <c r="G16" i="6"/>
  <c r="F15" i="6"/>
  <c r="G15" i="6"/>
  <c r="F14" i="6"/>
  <c r="G14" i="6"/>
  <c r="F13" i="6"/>
  <c r="G13" i="6"/>
  <c r="F12" i="6"/>
  <c r="G12" i="6"/>
  <c r="F11" i="6"/>
  <c r="G11" i="6"/>
  <c r="F10" i="6"/>
  <c r="G10" i="6"/>
  <c r="F9" i="6"/>
  <c r="G9" i="6"/>
  <c r="F8" i="6"/>
  <c r="G8" i="6"/>
  <c r="F7" i="6"/>
  <c r="G7" i="6"/>
  <c r="F6" i="6"/>
  <c r="G6" i="6"/>
  <c r="F5" i="6"/>
  <c r="G5" i="6"/>
  <c r="F4" i="6"/>
  <c r="G4" i="6"/>
  <c r="F3" i="6"/>
  <c r="G3" i="6"/>
  <c r="F2" i="6"/>
  <c r="G2" i="6"/>
  <c r="A3" i="8" l="1"/>
  <c r="F3" i="8" s="1"/>
  <c r="B3" i="8"/>
  <c r="C3" i="8"/>
  <c r="D3" i="8"/>
  <c r="A4" i="8"/>
  <c r="F4" i="8" s="1"/>
  <c r="B4" i="8"/>
  <c r="C4" i="8"/>
  <c r="D4" i="8"/>
  <c r="A5" i="8"/>
  <c r="F5" i="8" s="1"/>
  <c r="B5" i="8"/>
  <c r="C5" i="8"/>
  <c r="D5" i="8"/>
  <c r="A6" i="8"/>
  <c r="F6" i="8" s="1"/>
  <c r="B6" i="8"/>
  <c r="C6" i="8"/>
  <c r="D6" i="8"/>
  <c r="A7" i="8"/>
  <c r="F7" i="8" s="1"/>
  <c r="B7" i="8"/>
  <c r="C7" i="8"/>
  <c r="D7" i="8"/>
  <c r="A8" i="8"/>
  <c r="F8" i="8" s="1"/>
  <c r="B8" i="8"/>
  <c r="C8" i="8"/>
  <c r="D8" i="8"/>
  <c r="A9" i="8"/>
  <c r="F9" i="8" s="1"/>
  <c r="B9" i="8"/>
  <c r="C9" i="8"/>
  <c r="D9" i="8"/>
  <c r="A10" i="8"/>
  <c r="F10" i="8" s="1"/>
  <c r="B10" i="8"/>
  <c r="C10" i="8"/>
  <c r="D10" i="8"/>
  <c r="A11" i="8"/>
  <c r="F11" i="8" s="1"/>
  <c r="B11" i="8"/>
  <c r="C11" i="8"/>
  <c r="D11" i="8"/>
  <c r="A12" i="8"/>
  <c r="F12" i="8" s="1"/>
  <c r="B12" i="8"/>
  <c r="C12" i="8"/>
  <c r="D12" i="8"/>
  <c r="A13" i="8"/>
  <c r="F13" i="8" s="1"/>
  <c r="B13" i="8"/>
  <c r="C13" i="8"/>
  <c r="D13" i="8"/>
  <c r="A14" i="8"/>
  <c r="F14" i="8" s="1"/>
  <c r="B14" i="8"/>
  <c r="C14" i="8"/>
  <c r="D14" i="8"/>
  <c r="A15" i="8"/>
  <c r="F15" i="8" s="1"/>
  <c r="B15" i="8"/>
  <c r="C15" i="8"/>
  <c r="D15" i="8"/>
  <c r="A16" i="8"/>
  <c r="F16" i="8" s="1"/>
  <c r="B16" i="8"/>
  <c r="C16" i="8"/>
  <c r="D16" i="8"/>
  <c r="A17" i="8"/>
  <c r="F17" i="8" s="1"/>
  <c r="B17" i="8"/>
  <c r="C17" i="8"/>
  <c r="D17" i="8"/>
  <c r="A18" i="8"/>
  <c r="F18" i="8" s="1"/>
  <c r="B18" i="8"/>
  <c r="C18" i="8"/>
  <c r="D18" i="8"/>
  <c r="A19" i="8"/>
  <c r="F19" i="8" s="1"/>
  <c r="B19" i="8"/>
  <c r="C19" i="8"/>
  <c r="D19" i="8"/>
  <c r="A20" i="8"/>
  <c r="F20" i="8" s="1"/>
  <c r="B20" i="8"/>
  <c r="C20" i="8"/>
  <c r="D20" i="8"/>
  <c r="A21" i="8"/>
  <c r="F21" i="8" s="1"/>
  <c r="B21" i="8"/>
  <c r="C21" i="8"/>
  <c r="D21" i="8"/>
  <c r="A22" i="8"/>
  <c r="F22" i="8" s="1"/>
  <c r="B22" i="8"/>
  <c r="C22" i="8"/>
  <c r="D22" i="8"/>
  <c r="A23" i="8"/>
  <c r="F23" i="8" s="1"/>
  <c r="B23" i="8"/>
  <c r="C23" i="8"/>
  <c r="D23" i="8"/>
  <c r="A24" i="8"/>
  <c r="F24" i="8" s="1"/>
  <c r="B24" i="8"/>
  <c r="C24" i="8"/>
  <c r="D24" i="8"/>
  <c r="A25" i="8"/>
  <c r="F25" i="8" s="1"/>
  <c r="B25" i="8"/>
  <c r="C25" i="8"/>
  <c r="D25" i="8"/>
  <c r="A26" i="8"/>
  <c r="F26" i="8" s="1"/>
  <c r="B26" i="8"/>
  <c r="C26" i="8"/>
  <c r="D26" i="8"/>
  <c r="A27" i="8"/>
  <c r="F27" i="8" s="1"/>
  <c r="B27" i="8"/>
  <c r="C27" i="8"/>
  <c r="D27" i="8"/>
  <c r="A28" i="8"/>
  <c r="F28" i="8" s="1"/>
  <c r="B28" i="8"/>
  <c r="C28" i="8"/>
  <c r="D28" i="8"/>
  <c r="A29" i="8"/>
  <c r="F29" i="8" s="1"/>
  <c r="B29" i="8"/>
  <c r="C29" i="8"/>
  <c r="D29" i="8"/>
  <c r="A30" i="8"/>
  <c r="F30" i="8" s="1"/>
  <c r="B30" i="8"/>
  <c r="C30" i="8"/>
  <c r="D30" i="8"/>
  <c r="A31" i="8"/>
  <c r="F31" i="8" s="1"/>
  <c r="B31" i="8"/>
  <c r="C31" i="8"/>
  <c r="D31" i="8"/>
  <c r="A32" i="8"/>
  <c r="F32" i="8" s="1"/>
  <c r="B32" i="8"/>
  <c r="C32" i="8"/>
  <c r="D32" i="8"/>
  <c r="A33" i="8"/>
  <c r="F33" i="8" s="1"/>
  <c r="B33" i="8"/>
  <c r="C33" i="8"/>
  <c r="D33" i="8"/>
  <c r="A34" i="8"/>
  <c r="F34" i="8" s="1"/>
  <c r="B34" i="8"/>
  <c r="C34" i="8"/>
  <c r="D34" i="8"/>
  <c r="A35" i="8"/>
  <c r="F35" i="8" s="1"/>
  <c r="B35" i="8"/>
  <c r="C35" i="8"/>
  <c r="D35" i="8"/>
  <c r="A36" i="8"/>
  <c r="F36" i="8" s="1"/>
  <c r="B36" i="8"/>
  <c r="C36" i="8"/>
  <c r="D36" i="8"/>
  <c r="A37" i="8"/>
  <c r="F37" i="8" s="1"/>
  <c r="B37" i="8"/>
  <c r="C37" i="8"/>
  <c r="D37" i="8"/>
  <c r="A38" i="8"/>
  <c r="F38" i="8" s="1"/>
  <c r="B38" i="8"/>
  <c r="C38" i="8"/>
  <c r="D38" i="8"/>
  <c r="A39" i="8"/>
  <c r="F39" i="8" s="1"/>
  <c r="B39" i="8"/>
  <c r="C39" i="8"/>
  <c r="D39" i="8"/>
  <c r="A40" i="8"/>
  <c r="F40" i="8" s="1"/>
  <c r="B40" i="8"/>
  <c r="C40" i="8"/>
  <c r="D40" i="8"/>
  <c r="A41" i="8"/>
  <c r="F41" i="8" s="1"/>
  <c r="B41" i="8"/>
  <c r="C41" i="8"/>
  <c r="D41" i="8"/>
  <c r="A42" i="8"/>
  <c r="F42" i="8" s="1"/>
  <c r="B42" i="8"/>
  <c r="C42" i="8"/>
  <c r="D42" i="8"/>
  <c r="A43" i="8"/>
  <c r="F43" i="8" s="1"/>
  <c r="B43" i="8"/>
  <c r="C43" i="8"/>
  <c r="D43" i="8"/>
  <c r="A44" i="8"/>
  <c r="F44" i="8" s="1"/>
  <c r="B44" i="8"/>
  <c r="C44" i="8"/>
  <c r="D44" i="8"/>
  <c r="A45" i="8"/>
  <c r="F45" i="8" s="1"/>
  <c r="B45" i="8"/>
  <c r="C45" i="8"/>
  <c r="D45" i="8"/>
  <c r="A46" i="8"/>
  <c r="F46" i="8" s="1"/>
  <c r="B46" i="8"/>
  <c r="C46" i="8"/>
  <c r="D46" i="8"/>
  <c r="A47" i="8"/>
  <c r="F47" i="8" s="1"/>
  <c r="B47" i="8"/>
  <c r="C47" i="8"/>
  <c r="D47" i="8"/>
  <c r="A48" i="8"/>
  <c r="F48" i="8" s="1"/>
  <c r="B48" i="8"/>
  <c r="C48" i="8"/>
  <c r="D48" i="8"/>
  <c r="A49" i="8"/>
  <c r="F49" i="8" s="1"/>
  <c r="B49" i="8"/>
  <c r="C49" i="8"/>
  <c r="D49" i="8"/>
  <c r="A50" i="8"/>
  <c r="F50" i="8" s="1"/>
  <c r="B50" i="8"/>
  <c r="C50" i="8"/>
  <c r="D50" i="8"/>
  <c r="A51" i="8"/>
  <c r="F51" i="8" s="1"/>
  <c r="B51" i="8"/>
  <c r="C51" i="8"/>
  <c r="D51" i="8"/>
  <c r="A52" i="8"/>
  <c r="F52" i="8" s="1"/>
  <c r="B52" i="8"/>
  <c r="C52" i="8"/>
  <c r="D52" i="8"/>
  <c r="A53" i="8"/>
  <c r="F53" i="8" s="1"/>
  <c r="B53" i="8"/>
  <c r="C53" i="8"/>
  <c r="D53" i="8"/>
  <c r="A54" i="8"/>
  <c r="F54" i="8" s="1"/>
  <c r="B54" i="8"/>
  <c r="C54" i="8"/>
  <c r="D54" i="8"/>
  <c r="A55" i="8"/>
  <c r="F55" i="8" s="1"/>
  <c r="B55" i="8"/>
  <c r="C55" i="8"/>
  <c r="D55" i="8"/>
  <c r="A56" i="8"/>
  <c r="F56" i="8" s="1"/>
  <c r="B56" i="8"/>
  <c r="C56" i="8"/>
  <c r="D56" i="8"/>
  <c r="A57" i="8"/>
  <c r="F57" i="8" s="1"/>
  <c r="B57" i="8"/>
  <c r="C57" i="8"/>
  <c r="D57" i="8"/>
  <c r="A58" i="8"/>
  <c r="F58" i="8" s="1"/>
  <c r="B58" i="8"/>
  <c r="C58" i="8"/>
  <c r="D58" i="8"/>
  <c r="A59" i="8"/>
  <c r="F59" i="8" s="1"/>
  <c r="B59" i="8"/>
  <c r="C59" i="8"/>
  <c r="D59" i="8"/>
  <c r="A60" i="8"/>
  <c r="F60" i="8" s="1"/>
  <c r="B60" i="8"/>
  <c r="C60" i="8"/>
  <c r="D60" i="8"/>
  <c r="A61" i="8"/>
  <c r="F61" i="8" s="1"/>
  <c r="B61" i="8"/>
  <c r="C61" i="8"/>
  <c r="D61" i="8"/>
  <c r="A62" i="8"/>
  <c r="F62" i="8" s="1"/>
  <c r="B62" i="8"/>
  <c r="C62" i="8"/>
  <c r="D62" i="8"/>
  <c r="A63" i="8"/>
  <c r="F63" i="8" s="1"/>
  <c r="B63" i="8"/>
  <c r="C63" i="8"/>
  <c r="D63" i="8"/>
  <c r="A64" i="8"/>
  <c r="F64" i="8" s="1"/>
  <c r="B64" i="8"/>
  <c r="C64" i="8"/>
  <c r="D64" i="8"/>
  <c r="A65" i="8"/>
  <c r="F65" i="8" s="1"/>
  <c r="B65" i="8"/>
  <c r="C65" i="8"/>
  <c r="D65" i="8"/>
  <c r="A66" i="8"/>
  <c r="F66" i="8" s="1"/>
  <c r="B66" i="8"/>
  <c r="C66" i="8"/>
  <c r="D66" i="8"/>
  <c r="A67" i="8"/>
  <c r="F67" i="8" s="1"/>
  <c r="B67" i="8"/>
  <c r="C67" i="8"/>
  <c r="D67" i="8"/>
  <c r="A68" i="8"/>
  <c r="F68" i="8" s="1"/>
  <c r="B68" i="8"/>
  <c r="C68" i="8"/>
  <c r="D68" i="8"/>
  <c r="A69" i="8"/>
  <c r="F69" i="8" s="1"/>
  <c r="B69" i="8"/>
  <c r="C69" i="8"/>
  <c r="D69" i="8"/>
  <c r="A70" i="8"/>
  <c r="F70" i="8" s="1"/>
  <c r="B70" i="8"/>
  <c r="C70" i="8"/>
  <c r="D70" i="8"/>
  <c r="A71" i="8"/>
  <c r="F71" i="8" s="1"/>
  <c r="B71" i="8"/>
  <c r="C71" i="8"/>
  <c r="D71" i="8"/>
  <c r="A72" i="8"/>
  <c r="F72" i="8" s="1"/>
  <c r="B72" i="8"/>
  <c r="C72" i="8"/>
  <c r="D72" i="8"/>
  <c r="A73" i="8"/>
  <c r="F73" i="8" s="1"/>
  <c r="B73" i="8"/>
  <c r="C73" i="8"/>
  <c r="D73" i="8"/>
  <c r="A74" i="8"/>
  <c r="F74" i="8" s="1"/>
  <c r="B74" i="8"/>
  <c r="C74" i="8"/>
  <c r="D74" i="8"/>
  <c r="A75" i="8"/>
  <c r="F75" i="8" s="1"/>
  <c r="B75" i="8"/>
  <c r="C75" i="8"/>
  <c r="D75" i="8"/>
  <c r="A76" i="8"/>
  <c r="F76" i="8" s="1"/>
  <c r="B76" i="8"/>
  <c r="C76" i="8"/>
  <c r="D76" i="8"/>
  <c r="A77" i="8"/>
  <c r="F77" i="8" s="1"/>
  <c r="B77" i="8"/>
  <c r="C77" i="8"/>
  <c r="D77" i="8"/>
  <c r="A78" i="8"/>
  <c r="F78" i="8" s="1"/>
  <c r="B78" i="8"/>
  <c r="C78" i="8"/>
  <c r="D78" i="8"/>
  <c r="A79" i="8"/>
  <c r="F79" i="8" s="1"/>
  <c r="B79" i="8"/>
  <c r="C79" i="8"/>
  <c r="D79" i="8"/>
  <c r="A80" i="8"/>
  <c r="F80" i="8" s="1"/>
  <c r="B80" i="8"/>
  <c r="C80" i="8"/>
  <c r="D80" i="8"/>
  <c r="A81" i="8"/>
  <c r="F81" i="8" s="1"/>
  <c r="B81" i="8"/>
  <c r="C81" i="8"/>
  <c r="D81" i="8"/>
  <c r="A82" i="8"/>
  <c r="F82" i="8" s="1"/>
  <c r="B82" i="8"/>
  <c r="C82" i="8"/>
  <c r="D82" i="8"/>
  <c r="A83" i="8"/>
  <c r="F83" i="8" s="1"/>
  <c r="B83" i="8"/>
  <c r="C83" i="8"/>
  <c r="D83" i="8"/>
  <c r="A84" i="8"/>
  <c r="F84" i="8" s="1"/>
  <c r="B84" i="8"/>
  <c r="C84" i="8"/>
  <c r="D84" i="8"/>
  <c r="A85" i="8"/>
  <c r="F85" i="8" s="1"/>
  <c r="B85" i="8"/>
  <c r="C85" i="8"/>
  <c r="D85" i="8"/>
  <c r="A86" i="8"/>
  <c r="F86" i="8" s="1"/>
  <c r="B86" i="8"/>
  <c r="C86" i="8"/>
  <c r="D86" i="8"/>
  <c r="A87" i="8"/>
  <c r="F87" i="8" s="1"/>
  <c r="B87" i="8"/>
  <c r="C87" i="8"/>
  <c r="D87" i="8"/>
  <c r="A88" i="8"/>
  <c r="F88" i="8" s="1"/>
  <c r="B88" i="8"/>
  <c r="C88" i="8"/>
  <c r="D88" i="8"/>
  <c r="A89" i="8"/>
  <c r="F89" i="8" s="1"/>
  <c r="B89" i="8"/>
  <c r="C89" i="8"/>
  <c r="D89" i="8"/>
  <c r="A90" i="8"/>
  <c r="F90" i="8" s="1"/>
  <c r="B90" i="8"/>
  <c r="C90" i="8"/>
  <c r="D90" i="8"/>
  <c r="A91" i="8"/>
  <c r="F91" i="8" s="1"/>
  <c r="B91" i="8"/>
  <c r="C91" i="8"/>
  <c r="D91" i="8"/>
  <c r="A92" i="8"/>
  <c r="F92" i="8" s="1"/>
  <c r="B92" i="8"/>
  <c r="C92" i="8"/>
  <c r="D92" i="8"/>
  <c r="A93" i="8"/>
  <c r="F93" i="8" s="1"/>
  <c r="B93" i="8"/>
  <c r="C93" i="8"/>
  <c r="D93" i="8"/>
  <c r="A94" i="8"/>
  <c r="F94" i="8" s="1"/>
  <c r="B94" i="8"/>
  <c r="C94" i="8"/>
  <c r="D94" i="8"/>
  <c r="A95" i="8"/>
  <c r="F95" i="8" s="1"/>
  <c r="B95" i="8"/>
  <c r="C95" i="8"/>
  <c r="D95" i="8"/>
  <c r="A96" i="8"/>
  <c r="F96" i="8" s="1"/>
  <c r="B96" i="8"/>
  <c r="C96" i="8"/>
  <c r="D96" i="8"/>
  <c r="A97" i="8"/>
  <c r="F97" i="8" s="1"/>
  <c r="B97" i="8"/>
  <c r="C97" i="8"/>
  <c r="D97" i="8"/>
  <c r="A98" i="8"/>
  <c r="F98" i="8" s="1"/>
  <c r="B98" i="8"/>
  <c r="C98" i="8"/>
  <c r="D98" i="8"/>
  <c r="A99" i="8"/>
  <c r="F99" i="8" s="1"/>
  <c r="B99" i="8"/>
  <c r="C99" i="8"/>
  <c r="D99" i="8"/>
  <c r="A100" i="8"/>
  <c r="F100" i="8" s="1"/>
  <c r="B100" i="8"/>
  <c r="C100" i="8"/>
  <c r="D100" i="8"/>
  <c r="A101" i="8"/>
  <c r="F101" i="8" s="1"/>
  <c r="B101" i="8"/>
  <c r="C101" i="8"/>
  <c r="D101" i="8"/>
  <c r="A102" i="8"/>
  <c r="F102" i="8" s="1"/>
  <c r="B102" i="8"/>
  <c r="C102" i="8"/>
  <c r="D102" i="8"/>
  <c r="A103" i="8"/>
  <c r="F103" i="8" s="1"/>
  <c r="B103" i="8"/>
  <c r="C103" i="8"/>
  <c r="D103" i="8"/>
  <c r="A104" i="8"/>
  <c r="F104" i="8" s="1"/>
  <c r="B104" i="8"/>
  <c r="C104" i="8"/>
  <c r="D104" i="8"/>
  <c r="A105" i="8"/>
  <c r="F105" i="8" s="1"/>
  <c r="B105" i="8"/>
  <c r="C105" i="8"/>
  <c r="D105" i="8"/>
  <c r="A106" i="8"/>
  <c r="F106" i="8" s="1"/>
  <c r="B106" i="8"/>
  <c r="C106" i="8"/>
  <c r="D106" i="8"/>
  <c r="A107" i="8"/>
  <c r="F107" i="8" s="1"/>
  <c r="B107" i="8"/>
  <c r="C107" i="8"/>
  <c r="D107" i="8"/>
  <c r="A108" i="8"/>
  <c r="F108" i="8" s="1"/>
  <c r="B108" i="8"/>
  <c r="C108" i="8"/>
  <c r="D108" i="8"/>
  <c r="A109" i="8"/>
  <c r="F109" i="8" s="1"/>
  <c r="B109" i="8"/>
  <c r="C109" i="8"/>
  <c r="D109" i="8"/>
  <c r="A110" i="8"/>
  <c r="F110" i="8" s="1"/>
  <c r="B110" i="8"/>
  <c r="C110" i="8"/>
  <c r="D110" i="8"/>
  <c r="A111" i="8"/>
  <c r="F111" i="8" s="1"/>
  <c r="B111" i="8"/>
  <c r="C111" i="8"/>
  <c r="D111" i="8"/>
  <c r="A112" i="8"/>
  <c r="F112" i="8" s="1"/>
  <c r="B112" i="8"/>
  <c r="C112" i="8"/>
  <c r="D112" i="8"/>
  <c r="A113" i="8"/>
  <c r="F113" i="8" s="1"/>
  <c r="B113" i="8"/>
  <c r="C113" i="8"/>
  <c r="D113" i="8"/>
  <c r="A114" i="8"/>
  <c r="F114" i="8" s="1"/>
  <c r="B114" i="8"/>
  <c r="C114" i="8"/>
  <c r="D114" i="8"/>
  <c r="A115" i="8"/>
  <c r="F115" i="8" s="1"/>
  <c r="B115" i="8"/>
  <c r="C115" i="8"/>
  <c r="D115" i="8"/>
  <c r="A116" i="8"/>
  <c r="F116" i="8" s="1"/>
  <c r="B116" i="8"/>
  <c r="C116" i="8"/>
  <c r="D116" i="8"/>
  <c r="A117" i="8"/>
  <c r="F117" i="8" s="1"/>
  <c r="B117" i="8"/>
  <c r="C117" i="8"/>
  <c r="D117" i="8"/>
  <c r="A118" i="8"/>
  <c r="F118" i="8" s="1"/>
  <c r="B118" i="8"/>
  <c r="C118" i="8"/>
  <c r="D118" i="8"/>
  <c r="A119" i="8"/>
  <c r="F119" i="8" s="1"/>
  <c r="B119" i="8"/>
  <c r="C119" i="8"/>
  <c r="D119" i="8"/>
  <c r="A120" i="8"/>
  <c r="F120" i="8" s="1"/>
  <c r="B120" i="8"/>
  <c r="C120" i="8"/>
  <c r="D120" i="8"/>
  <c r="A121" i="8"/>
  <c r="F121" i="8" s="1"/>
  <c r="B121" i="8"/>
  <c r="C121" i="8"/>
  <c r="D121" i="8"/>
  <c r="A122" i="8"/>
  <c r="F122" i="8" s="1"/>
  <c r="B122" i="8"/>
  <c r="C122" i="8"/>
  <c r="D122" i="8"/>
  <c r="A123" i="8"/>
  <c r="F123" i="8" s="1"/>
  <c r="B123" i="8"/>
  <c r="C123" i="8"/>
  <c r="D123" i="8"/>
  <c r="A124" i="8"/>
  <c r="F124" i="8" s="1"/>
  <c r="B124" i="8"/>
  <c r="C124" i="8"/>
  <c r="D124" i="8"/>
  <c r="A125" i="8"/>
  <c r="F125" i="8" s="1"/>
  <c r="B125" i="8"/>
  <c r="C125" i="8"/>
  <c r="D125" i="8"/>
  <c r="A126" i="8"/>
  <c r="F126" i="8" s="1"/>
  <c r="B126" i="8"/>
  <c r="C126" i="8"/>
  <c r="D126" i="8"/>
  <c r="A127" i="8"/>
  <c r="F127" i="8" s="1"/>
  <c r="B127" i="8"/>
  <c r="C127" i="8"/>
  <c r="D127" i="8"/>
  <c r="A128" i="8"/>
  <c r="F128" i="8" s="1"/>
  <c r="B128" i="8"/>
  <c r="C128" i="8"/>
  <c r="D128" i="8"/>
  <c r="A129" i="8"/>
  <c r="F129" i="8" s="1"/>
  <c r="B129" i="8"/>
  <c r="C129" i="8"/>
  <c r="D129" i="8"/>
  <c r="A130" i="8"/>
  <c r="F130" i="8" s="1"/>
  <c r="B130" i="8"/>
  <c r="C130" i="8"/>
  <c r="D130" i="8"/>
  <c r="A131" i="8"/>
  <c r="F131" i="8" s="1"/>
  <c r="B131" i="8"/>
  <c r="C131" i="8"/>
  <c r="D131" i="8"/>
  <c r="A132" i="8"/>
  <c r="F132" i="8" s="1"/>
  <c r="B132" i="8"/>
  <c r="C132" i="8"/>
  <c r="D132" i="8"/>
  <c r="A133" i="8"/>
  <c r="F133" i="8" s="1"/>
  <c r="B133" i="8"/>
  <c r="C133" i="8"/>
  <c r="D133" i="8"/>
  <c r="A134" i="8"/>
  <c r="F134" i="8" s="1"/>
  <c r="B134" i="8"/>
  <c r="C134" i="8"/>
  <c r="D134" i="8"/>
  <c r="A135" i="8"/>
  <c r="F135" i="8" s="1"/>
  <c r="B135" i="8"/>
  <c r="C135" i="8"/>
  <c r="D135" i="8"/>
  <c r="A136" i="8"/>
  <c r="F136" i="8" s="1"/>
  <c r="B136" i="8"/>
  <c r="C136" i="8"/>
  <c r="D136" i="8"/>
  <c r="A137" i="8"/>
  <c r="F137" i="8" s="1"/>
  <c r="B137" i="8"/>
  <c r="C137" i="8"/>
  <c r="D137" i="8"/>
  <c r="A138" i="8"/>
  <c r="F138" i="8" s="1"/>
  <c r="B138" i="8"/>
  <c r="C138" i="8"/>
  <c r="D138" i="8"/>
  <c r="A139" i="8"/>
  <c r="F139" i="8" s="1"/>
  <c r="B139" i="8"/>
  <c r="C139" i="8"/>
  <c r="D139" i="8"/>
  <c r="A140" i="8"/>
  <c r="F140" i="8" s="1"/>
  <c r="B140" i="8"/>
  <c r="C140" i="8"/>
  <c r="D140" i="8"/>
  <c r="A141" i="8"/>
  <c r="F141" i="8" s="1"/>
  <c r="B141" i="8"/>
  <c r="C141" i="8"/>
  <c r="D141" i="8"/>
  <c r="A142" i="8"/>
  <c r="F142" i="8" s="1"/>
  <c r="B142" i="8"/>
  <c r="C142" i="8"/>
  <c r="D142" i="8"/>
  <c r="A143" i="8"/>
  <c r="F143" i="8" s="1"/>
  <c r="B143" i="8"/>
  <c r="C143" i="8"/>
  <c r="D143" i="8"/>
  <c r="A144" i="8"/>
  <c r="F144" i="8" s="1"/>
  <c r="B144" i="8"/>
  <c r="C144" i="8"/>
  <c r="D144" i="8"/>
  <c r="A145" i="8"/>
  <c r="F145" i="8" s="1"/>
  <c r="B145" i="8"/>
  <c r="C145" i="8"/>
  <c r="D145" i="8"/>
  <c r="A146" i="8"/>
  <c r="F146" i="8" s="1"/>
  <c r="B146" i="8"/>
  <c r="C146" i="8"/>
  <c r="D146" i="8"/>
  <c r="A147" i="8"/>
  <c r="F147" i="8" s="1"/>
  <c r="B147" i="8"/>
  <c r="C147" i="8"/>
  <c r="D147" i="8"/>
  <c r="A148" i="8"/>
  <c r="F148" i="8" s="1"/>
  <c r="B148" i="8"/>
  <c r="C148" i="8"/>
  <c r="D148" i="8"/>
  <c r="A149" i="8"/>
  <c r="F149" i="8" s="1"/>
  <c r="B149" i="8"/>
  <c r="C149" i="8"/>
  <c r="D149" i="8"/>
  <c r="A150" i="8"/>
  <c r="F150" i="8" s="1"/>
  <c r="B150" i="8"/>
  <c r="C150" i="8"/>
  <c r="D150" i="8"/>
  <c r="A151" i="8"/>
  <c r="F151" i="8" s="1"/>
  <c r="B151" i="8"/>
  <c r="C151" i="8"/>
  <c r="D151" i="8"/>
  <c r="A152" i="8"/>
  <c r="F152" i="8" s="1"/>
  <c r="B152" i="8"/>
  <c r="C152" i="8"/>
  <c r="D152" i="8"/>
  <c r="A153" i="8"/>
  <c r="F153" i="8" s="1"/>
  <c r="B153" i="8"/>
  <c r="C153" i="8"/>
  <c r="D153" i="8"/>
  <c r="A154" i="8"/>
  <c r="F154" i="8" s="1"/>
  <c r="B154" i="8"/>
  <c r="C154" i="8"/>
  <c r="D154" i="8"/>
  <c r="A155" i="8"/>
  <c r="F155" i="8" s="1"/>
  <c r="B155" i="8"/>
  <c r="C155" i="8"/>
  <c r="D155" i="8"/>
  <c r="A156" i="8"/>
  <c r="F156" i="8" s="1"/>
  <c r="B156" i="8"/>
  <c r="C156" i="8"/>
  <c r="D156" i="8"/>
  <c r="A157" i="8"/>
  <c r="F157" i="8" s="1"/>
  <c r="B157" i="8"/>
  <c r="C157" i="8"/>
  <c r="D157" i="8"/>
  <c r="A158" i="8"/>
  <c r="F158" i="8" s="1"/>
  <c r="B158" i="8"/>
  <c r="C158" i="8"/>
  <c r="D158" i="8"/>
  <c r="A159" i="8"/>
  <c r="F159" i="8" s="1"/>
  <c r="B159" i="8"/>
  <c r="C159" i="8"/>
  <c r="D159" i="8"/>
  <c r="A160" i="8"/>
  <c r="F160" i="8" s="1"/>
  <c r="B160" i="8"/>
  <c r="C160" i="8"/>
  <c r="D160" i="8"/>
  <c r="A161" i="8"/>
  <c r="F161" i="8" s="1"/>
  <c r="B161" i="8"/>
  <c r="C161" i="8"/>
  <c r="D161" i="8"/>
  <c r="A162" i="8"/>
  <c r="F162" i="8" s="1"/>
  <c r="B162" i="8"/>
  <c r="C162" i="8"/>
  <c r="D162" i="8"/>
  <c r="A163" i="8"/>
  <c r="F163" i="8" s="1"/>
  <c r="B163" i="8"/>
  <c r="C163" i="8"/>
  <c r="D163" i="8"/>
  <c r="A164" i="8"/>
  <c r="F164" i="8" s="1"/>
  <c r="B164" i="8"/>
  <c r="C164" i="8"/>
  <c r="D164" i="8"/>
  <c r="A165" i="8"/>
  <c r="F165" i="8" s="1"/>
  <c r="B165" i="8"/>
  <c r="C165" i="8"/>
  <c r="D165" i="8"/>
  <c r="A166" i="8"/>
  <c r="F166" i="8" s="1"/>
  <c r="B166" i="8"/>
  <c r="C166" i="8"/>
  <c r="D166" i="8"/>
  <c r="A167" i="8"/>
  <c r="F167" i="8" s="1"/>
  <c r="B167" i="8"/>
  <c r="C167" i="8"/>
  <c r="D167" i="8"/>
  <c r="A168" i="8"/>
  <c r="F168" i="8" s="1"/>
  <c r="B168" i="8"/>
  <c r="C168" i="8"/>
  <c r="D168" i="8"/>
  <c r="A169" i="8"/>
  <c r="F169" i="8" s="1"/>
  <c r="B169" i="8"/>
  <c r="C169" i="8"/>
  <c r="D169" i="8"/>
  <c r="A170" i="8"/>
  <c r="F170" i="8" s="1"/>
  <c r="B170" i="8"/>
  <c r="C170" i="8"/>
  <c r="D170" i="8"/>
  <c r="A171" i="8"/>
  <c r="F171" i="8" s="1"/>
  <c r="B171" i="8"/>
  <c r="C171" i="8"/>
  <c r="D171" i="8"/>
  <c r="A172" i="8"/>
  <c r="F172" i="8" s="1"/>
  <c r="B172" i="8"/>
  <c r="C172" i="8"/>
  <c r="D172" i="8"/>
  <c r="A173" i="8"/>
  <c r="F173" i="8" s="1"/>
  <c r="B173" i="8"/>
  <c r="C173" i="8"/>
  <c r="D173" i="8"/>
  <c r="A174" i="8"/>
  <c r="F174" i="8" s="1"/>
  <c r="B174" i="8"/>
  <c r="C174" i="8"/>
  <c r="D174" i="8"/>
  <c r="A175" i="8"/>
  <c r="F175" i="8" s="1"/>
  <c r="B175" i="8"/>
  <c r="C175" i="8"/>
  <c r="D175" i="8"/>
  <c r="A176" i="8"/>
  <c r="F176" i="8" s="1"/>
  <c r="B176" i="8"/>
  <c r="C176" i="8"/>
  <c r="D176" i="8"/>
  <c r="A177" i="8"/>
  <c r="F177" i="8" s="1"/>
  <c r="B177" i="8"/>
  <c r="C177" i="8"/>
  <c r="D177" i="8"/>
  <c r="A178" i="8"/>
  <c r="F178" i="8" s="1"/>
  <c r="B178" i="8"/>
  <c r="C178" i="8"/>
  <c r="D178" i="8"/>
  <c r="A179" i="8"/>
  <c r="F179" i="8" s="1"/>
  <c r="B179" i="8"/>
  <c r="C179" i="8"/>
  <c r="D179" i="8"/>
  <c r="A180" i="8"/>
  <c r="F180" i="8" s="1"/>
  <c r="B180" i="8"/>
  <c r="C180" i="8"/>
  <c r="D180" i="8"/>
  <c r="A181" i="8"/>
  <c r="F181" i="8" s="1"/>
  <c r="B181" i="8"/>
  <c r="C181" i="8"/>
  <c r="D181" i="8"/>
  <c r="A182" i="8"/>
  <c r="F182" i="8" s="1"/>
  <c r="B182" i="8"/>
  <c r="C182" i="8"/>
  <c r="D182" i="8"/>
  <c r="A183" i="8"/>
  <c r="F183" i="8" s="1"/>
  <c r="B183" i="8"/>
  <c r="C183" i="8"/>
  <c r="D183" i="8"/>
  <c r="A184" i="8"/>
  <c r="F184" i="8" s="1"/>
  <c r="B184" i="8"/>
  <c r="C184" i="8"/>
  <c r="D184" i="8"/>
  <c r="A185" i="8"/>
  <c r="F185" i="8" s="1"/>
  <c r="B185" i="8"/>
  <c r="C185" i="8"/>
  <c r="D185" i="8"/>
  <c r="A186" i="8"/>
  <c r="F186" i="8" s="1"/>
  <c r="B186" i="8"/>
  <c r="C186" i="8"/>
  <c r="D186" i="8"/>
  <c r="A187" i="8"/>
  <c r="F187" i="8" s="1"/>
  <c r="B187" i="8"/>
  <c r="C187" i="8"/>
  <c r="D187" i="8"/>
  <c r="A188" i="8"/>
  <c r="F188" i="8" s="1"/>
  <c r="B188" i="8"/>
  <c r="C188" i="8"/>
  <c r="D188" i="8"/>
  <c r="A189" i="8"/>
  <c r="F189" i="8" s="1"/>
  <c r="B189" i="8"/>
  <c r="C189" i="8"/>
  <c r="D189" i="8"/>
  <c r="A190" i="8"/>
  <c r="F190" i="8" s="1"/>
  <c r="B190" i="8"/>
  <c r="C190" i="8"/>
  <c r="D190" i="8"/>
  <c r="A191" i="8"/>
  <c r="F191" i="8" s="1"/>
  <c r="B191" i="8"/>
  <c r="C191" i="8"/>
  <c r="D191" i="8"/>
  <c r="A192" i="8"/>
  <c r="F192" i="8" s="1"/>
  <c r="B192" i="8"/>
  <c r="C192" i="8"/>
  <c r="D192" i="8"/>
  <c r="A193" i="8"/>
  <c r="F193" i="8" s="1"/>
  <c r="B193" i="8"/>
  <c r="C193" i="8"/>
  <c r="D193" i="8"/>
  <c r="A194" i="8"/>
  <c r="F194" i="8" s="1"/>
  <c r="B194" i="8"/>
  <c r="C194" i="8"/>
  <c r="D194" i="8"/>
  <c r="A195" i="8"/>
  <c r="F195" i="8" s="1"/>
  <c r="B195" i="8"/>
  <c r="C195" i="8"/>
  <c r="D195" i="8"/>
  <c r="A196" i="8"/>
  <c r="F196" i="8" s="1"/>
  <c r="B196" i="8"/>
  <c r="C196" i="8"/>
  <c r="D196" i="8"/>
  <c r="A197" i="8"/>
  <c r="F197" i="8" s="1"/>
  <c r="B197" i="8"/>
  <c r="C197" i="8"/>
  <c r="D197" i="8"/>
  <c r="A198" i="8"/>
  <c r="F198" i="8" s="1"/>
  <c r="B198" i="8"/>
  <c r="C198" i="8"/>
  <c r="D198" i="8"/>
  <c r="A199" i="8"/>
  <c r="F199" i="8" s="1"/>
  <c r="B199" i="8"/>
  <c r="C199" i="8"/>
  <c r="D199" i="8"/>
  <c r="A200" i="8"/>
  <c r="F200" i="8" s="1"/>
  <c r="B200" i="8"/>
  <c r="C200" i="8"/>
  <c r="D200" i="8"/>
  <c r="A201" i="8"/>
  <c r="F201" i="8" s="1"/>
  <c r="B201" i="8"/>
  <c r="C201" i="8"/>
  <c r="D201" i="8"/>
  <c r="A202" i="8"/>
  <c r="F202" i="8" s="1"/>
  <c r="B202" i="8"/>
  <c r="C202" i="8"/>
  <c r="D202" i="8"/>
  <c r="A203" i="8"/>
  <c r="F203" i="8" s="1"/>
  <c r="B203" i="8"/>
  <c r="C203" i="8"/>
  <c r="D203" i="8"/>
  <c r="A204" i="8"/>
  <c r="F204" i="8" s="1"/>
  <c r="B204" i="8"/>
  <c r="C204" i="8"/>
  <c r="D204" i="8"/>
  <c r="A205" i="8"/>
  <c r="F205" i="8" s="1"/>
  <c r="B205" i="8"/>
  <c r="C205" i="8"/>
  <c r="D205" i="8"/>
  <c r="A206" i="8"/>
  <c r="F206" i="8" s="1"/>
  <c r="B206" i="8"/>
  <c r="C206" i="8"/>
  <c r="D206" i="8"/>
  <c r="A207" i="8"/>
  <c r="F207" i="8" s="1"/>
  <c r="B207" i="8"/>
  <c r="C207" i="8"/>
  <c r="D207" i="8"/>
  <c r="A208" i="8"/>
  <c r="F208" i="8" s="1"/>
  <c r="B208" i="8"/>
  <c r="C208" i="8"/>
  <c r="D208" i="8"/>
  <c r="A209" i="8"/>
  <c r="F209" i="8" s="1"/>
  <c r="B209" i="8"/>
  <c r="C209" i="8"/>
  <c r="D209" i="8"/>
  <c r="A210" i="8"/>
  <c r="F210" i="8" s="1"/>
  <c r="B210" i="8"/>
  <c r="C210" i="8"/>
  <c r="D210" i="8"/>
  <c r="A211" i="8"/>
  <c r="F211" i="8" s="1"/>
  <c r="B211" i="8"/>
  <c r="C211" i="8"/>
  <c r="D211" i="8"/>
  <c r="A212" i="8"/>
  <c r="F212" i="8" s="1"/>
  <c r="B212" i="8"/>
  <c r="C212" i="8"/>
  <c r="D212" i="8"/>
  <c r="A213" i="8"/>
  <c r="F213" i="8" s="1"/>
  <c r="B213" i="8"/>
  <c r="C213" i="8"/>
  <c r="D213" i="8"/>
  <c r="A214" i="8"/>
  <c r="F214" i="8" s="1"/>
  <c r="B214" i="8"/>
  <c r="C214" i="8"/>
  <c r="D214" i="8"/>
  <c r="A215" i="8"/>
  <c r="F215" i="8" s="1"/>
  <c r="B215" i="8"/>
  <c r="C215" i="8"/>
  <c r="D215" i="8"/>
  <c r="A216" i="8"/>
  <c r="F216" i="8" s="1"/>
  <c r="B216" i="8"/>
  <c r="C216" i="8"/>
  <c r="D216" i="8"/>
  <c r="A217" i="8"/>
  <c r="F217" i="8" s="1"/>
  <c r="B217" i="8"/>
  <c r="C217" i="8"/>
  <c r="D217" i="8"/>
  <c r="A218" i="8"/>
  <c r="F218" i="8" s="1"/>
  <c r="B218" i="8"/>
  <c r="C218" i="8"/>
  <c r="D218" i="8"/>
  <c r="A219" i="8"/>
  <c r="F219" i="8" s="1"/>
  <c r="B219" i="8"/>
  <c r="C219" i="8"/>
  <c r="D219" i="8"/>
  <c r="A220" i="8"/>
  <c r="F220" i="8" s="1"/>
  <c r="B220" i="8"/>
  <c r="C220" i="8"/>
  <c r="D220" i="8"/>
  <c r="A221" i="8"/>
  <c r="F221" i="8" s="1"/>
  <c r="B221" i="8"/>
  <c r="C221" i="8"/>
  <c r="D221" i="8"/>
  <c r="A222" i="8"/>
  <c r="F222" i="8" s="1"/>
  <c r="B222" i="8"/>
  <c r="C222" i="8"/>
  <c r="D222" i="8"/>
  <c r="A223" i="8"/>
  <c r="F223" i="8" s="1"/>
  <c r="B223" i="8"/>
  <c r="C223" i="8"/>
  <c r="D223" i="8"/>
  <c r="A224" i="8"/>
  <c r="F224" i="8" s="1"/>
  <c r="B224" i="8"/>
  <c r="C224" i="8"/>
  <c r="D224" i="8"/>
  <c r="A225" i="8"/>
  <c r="F225" i="8" s="1"/>
  <c r="B225" i="8"/>
  <c r="C225" i="8"/>
  <c r="D225" i="8"/>
  <c r="A226" i="8"/>
  <c r="F226" i="8" s="1"/>
  <c r="B226" i="8"/>
  <c r="C226" i="8"/>
  <c r="D226" i="8"/>
  <c r="A227" i="8"/>
  <c r="F227" i="8" s="1"/>
  <c r="B227" i="8"/>
  <c r="C227" i="8"/>
  <c r="D227" i="8"/>
  <c r="A228" i="8"/>
  <c r="F228" i="8" s="1"/>
  <c r="B228" i="8"/>
  <c r="C228" i="8"/>
  <c r="D228" i="8"/>
  <c r="A229" i="8"/>
  <c r="F229" i="8" s="1"/>
  <c r="B229" i="8"/>
  <c r="C229" i="8"/>
  <c r="D229" i="8"/>
  <c r="A230" i="8"/>
  <c r="F230" i="8" s="1"/>
  <c r="B230" i="8"/>
  <c r="C230" i="8"/>
  <c r="D230" i="8"/>
  <c r="A231" i="8"/>
  <c r="F231" i="8" s="1"/>
  <c r="B231" i="8"/>
  <c r="C231" i="8"/>
  <c r="D231" i="8"/>
  <c r="A232" i="8"/>
  <c r="F232" i="8" s="1"/>
  <c r="B232" i="8"/>
  <c r="C232" i="8"/>
  <c r="D232" i="8"/>
  <c r="A233" i="8"/>
  <c r="F233" i="8" s="1"/>
  <c r="B233" i="8"/>
  <c r="C233" i="8"/>
  <c r="D233" i="8"/>
  <c r="A234" i="8"/>
  <c r="F234" i="8" s="1"/>
  <c r="B234" i="8"/>
  <c r="C234" i="8"/>
  <c r="D234" i="8"/>
  <c r="A235" i="8"/>
  <c r="F235" i="8" s="1"/>
  <c r="B235" i="8"/>
  <c r="C235" i="8"/>
  <c r="D235" i="8"/>
  <c r="A236" i="8"/>
  <c r="F236" i="8" s="1"/>
  <c r="B236" i="8"/>
  <c r="C236" i="8"/>
  <c r="D236" i="8"/>
  <c r="A237" i="8"/>
  <c r="F237" i="8" s="1"/>
  <c r="B237" i="8"/>
  <c r="C237" i="8"/>
  <c r="D237" i="8"/>
  <c r="A238" i="8"/>
  <c r="F238" i="8" s="1"/>
  <c r="B238" i="8"/>
  <c r="C238" i="8"/>
  <c r="D238" i="8"/>
  <c r="A239" i="8"/>
  <c r="F239" i="8" s="1"/>
  <c r="B239" i="8"/>
  <c r="C239" i="8"/>
  <c r="D239" i="8"/>
  <c r="A240" i="8"/>
  <c r="F240" i="8" s="1"/>
  <c r="B240" i="8"/>
  <c r="C240" i="8"/>
  <c r="D240" i="8"/>
  <c r="A241" i="8"/>
  <c r="F241" i="8" s="1"/>
  <c r="B241" i="8"/>
  <c r="C241" i="8"/>
  <c r="D241" i="8"/>
  <c r="A242" i="8"/>
  <c r="F242" i="8" s="1"/>
  <c r="B242" i="8"/>
  <c r="C242" i="8"/>
  <c r="D242" i="8"/>
  <c r="A243" i="8"/>
  <c r="F243" i="8" s="1"/>
  <c r="B243" i="8"/>
  <c r="C243" i="8"/>
  <c r="D243" i="8"/>
  <c r="A244" i="8"/>
  <c r="F244" i="8" s="1"/>
  <c r="B244" i="8"/>
  <c r="C244" i="8"/>
  <c r="D244" i="8"/>
  <c r="A245" i="8"/>
  <c r="F245" i="8" s="1"/>
  <c r="B245" i="8"/>
  <c r="C245" i="8"/>
  <c r="D245" i="8"/>
  <c r="A246" i="8"/>
  <c r="F246" i="8" s="1"/>
  <c r="B246" i="8"/>
  <c r="C246" i="8"/>
  <c r="D246" i="8"/>
  <c r="A247" i="8"/>
  <c r="F247" i="8" s="1"/>
  <c r="B247" i="8"/>
  <c r="C247" i="8"/>
  <c r="D247" i="8"/>
  <c r="A248" i="8"/>
  <c r="F248" i="8" s="1"/>
  <c r="B248" i="8"/>
  <c r="C248" i="8"/>
  <c r="D248" i="8"/>
  <c r="A249" i="8"/>
  <c r="F249" i="8" s="1"/>
  <c r="B249" i="8"/>
  <c r="C249" i="8"/>
  <c r="D249" i="8"/>
  <c r="A250" i="8"/>
  <c r="F250" i="8" s="1"/>
  <c r="B250" i="8"/>
  <c r="C250" i="8"/>
  <c r="D250" i="8"/>
  <c r="A251" i="8"/>
  <c r="F251" i="8" s="1"/>
  <c r="B251" i="8"/>
  <c r="C251" i="8"/>
  <c r="D251" i="8"/>
  <c r="A252" i="8"/>
  <c r="F252" i="8" s="1"/>
  <c r="B252" i="8"/>
  <c r="C252" i="8"/>
  <c r="D252" i="8"/>
  <c r="A253" i="8"/>
  <c r="F253" i="8" s="1"/>
  <c r="B253" i="8"/>
  <c r="C253" i="8"/>
  <c r="D253" i="8"/>
  <c r="A254" i="8"/>
  <c r="F254" i="8" s="1"/>
  <c r="B254" i="8"/>
  <c r="C254" i="8"/>
  <c r="D254" i="8"/>
  <c r="A255" i="8"/>
  <c r="F255" i="8" s="1"/>
  <c r="B255" i="8"/>
  <c r="C255" i="8"/>
  <c r="D255" i="8"/>
  <c r="A256" i="8"/>
  <c r="F256" i="8" s="1"/>
  <c r="B256" i="8"/>
  <c r="C256" i="8"/>
  <c r="D256" i="8"/>
  <c r="A257" i="8"/>
  <c r="F257" i="8" s="1"/>
  <c r="B257" i="8"/>
  <c r="C257" i="8"/>
  <c r="D257" i="8"/>
  <c r="A258" i="8"/>
  <c r="F258" i="8" s="1"/>
  <c r="B258" i="8"/>
  <c r="C258" i="8"/>
  <c r="D258" i="8"/>
  <c r="A259" i="8"/>
  <c r="F259" i="8" s="1"/>
  <c r="B259" i="8"/>
  <c r="C259" i="8"/>
  <c r="D259" i="8"/>
  <c r="A260" i="8"/>
  <c r="F260" i="8" s="1"/>
  <c r="B260" i="8"/>
  <c r="C260" i="8"/>
  <c r="D260" i="8"/>
  <c r="A261" i="8"/>
  <c r="F261" i="8" s="1"/>
  <c r="B261" i="8"/>
  <c r="C261" i="8"/>
  <c r="D261" i="8"/>
  <c r="A262" i="8"/>
  <c r="F262" i="8" s="1"/>
  <c r="B262" i="8"/>
  <c r="C262" i="8"/>
  <c r="D262" i="8"/>
  <c r="A263" i="8"/>
  <c r="F263" i="8" s="1"/>
  <c r="B263" i="8"/>
  <c r="C263" i="8"/>
  <c r="D263" i="8"/>
  <c r="A264" i="8"/>
  <c r="F264" i="8" s="1"/>
  <c r="B264" i="8"/>
  <c r="C264" i="8"/>
  <c r="D264" i="8"/>
  <c r="A265" i="8"/>
  <c r="F265" i="8" s="1"/>
  <c r="B265" i="8"/>
  <c r="C265" i="8"/>
  <c r="D265" i="8"/>
  <c r="A266" i="8"/>
  <c r="F266" i="8" s="1"/>
  <c r="B266" i="8"/>
  <c r="C266" i="8"/>
  <c r="D266" i="8"/>
  <c r="A267" i="8"/>
  <c r="F267" i="8" s="1"/>
  <c r="B267" i="8"/>
  <c r="C267" i="8"/>
  <c r="D267" i="8"/>
  <c r="A268" i="8"/>
  <c r="F268" i="8" s="1"/>
  <c r="B268" i="8"/>
  <c r="C268" i="8"/>
  <c r="D268" i="8"/>
  <c r="A269" i="8"/>
  <c r="F269" i="8" s="1"/>
  <c r="B269" i="8"/>
  <c r="C269" i="8"/>
  <c r="D269" i="8"/>
  <c r="A270" i="8"/>
  <c r="F270" i="8" s="1"/>
  <c r="B270" i="8"/>
  <c r="C270" i="8"/>
  <c r="D270" i="8"/>
  <c r="A271" i="8"/>
  <c r="F271" i="8" s="1"/>
  <c r="B271" i="8"/>
  <c r="C271" i="8"/>
  <c r="D271" i="8"/>
  <c r="A272" i="8"/>
  <c r="F272" i="8" s="1"/>
  <c r="B272" i="8"/>
  <c r="C272" i="8"/>
  <c r="D272" i="8"/>
  <c r="A273" i="8"/>
  <c r="F273" i="8" s="1"/>
  <c r="B273" i="8"/>
  <c r="C273" i="8"/>
  <c r="D273" i="8"/>
  <c r="A274" i="8"/>
  <c r="F274" i="8" s="1"/>
  <c r="B274" i="8"/>
  <c r="C274" i="8"/>
  <c r="D274" i="8"/>
  <c r="A275" i="8"/>
  <c r="F275" i="8" s="1"/>
  <c r="B275" i="8"/>
  <c r="C275" i="8"/>
  <c r="D275" i="8"/>
  <c r="A276" i="8"/>
  <c r="F276" i="8" s="1"/>
  <c r="B276" i="8"/>
  <c r="C276" i="8"/>
  <c r="D276" i="8"/>
  <c r="A277" i="8"/>
  <c r="F277" i="8" s="1"/>
  <c r="B277" i="8"/>
  <c r="C277" i="8"/>
  <c r="D277" i="8"/>
  <c r="A278" i="8"/>
  <c r="F278" i="8" s="1"/>
  <c r="B278" i="8"/>
  <c r="C278" i="8"/>
  <c r="D278" i="8"/>
  <c r="A279" i="8"/>
  <c r="F279" i="8" s="1"/>
  <c r="B279" i="8"/>
  <c r="C279" i="8"/>
  <c r="D279" i="8"/>
  <c r="A280" i="8"/>
  <c r="F280" i="8" s="1"/>
  <c r="B280" i="8"/>
  <c r="C280" i="8"/>
  <c r="D280" i="8"/>
  <c r="A281" i="8"/>
  <c r="F281" i="8" s="1"/>
  <c r="B281" i="8"/>
  <c r="C281" i="8"/>
  <c r="D281" i="8"/>
  <c r="A282" i="8"/>
  <c r="F282" i="8" s="1"/>
  <c r="B282" i="8"/>
  <c r="C282" i="8"/>
  <c r="D282" i="8"/>
  <c r="A283" i="8"/>
  <c r="F283" i="8" s="1"/>
  <c r="B283" i="8"/>
  <c r="C283" i="8"/>
  <c r="D283" i="8"/>
  <c r="A284" i="8"/>
  <c r="F284" i="8" s="1"/>
  <c r="B284" i="8"/>
  <c r="C284" i="8"/>
  <c r="D284" i="8"/>
  <c r="A285" i="8"/>
  <c r="F285" i="8" s="1"/>
  <c r="B285" i="8"/>
  <c r="C285" i="8"/>
  <c r="D285" i="8"/>
  <c r="A286" i="8"/>
  <c r="F286" i="8" s="1"/>
  <c r="B286" i="8"/>
  <c r="C286" i="8"/>
  <c r="D286" i="8"/>
  <c r="A287" i="8"/>
  <c r="F287" i="8" s="1"/>
  <c r="B287" i="8"/>
  <c r="C287" i="8"/>
  <c r="D287" i="8"/>
  <c r="A288" i="8"/>
  <c r="F288" i="8" s="1"/>
  <c r="B288" i="8"/>
  <c r="C288" i="8"/>
  <c r="D288" i="8"/>
  <c r="A289" i="8"/>
  <c r="F289" i="8" s="1"/>
  <c r="B289" i="8"/>
  <c r="C289" i="8"/>
  <c r="D289" i="8"/>
  <c r="A290" i="8"/>
  <c r="F290" i="8" s="1"/>
  <c r="B290" i="8"/>
  <c r="C290" i="8"/>
  <c r="D290" i="8"/>
  <c r="A291" i="8"/>
  <c r="F291" i="8" s="1"/>
  <c r="B291" i="8"/>
  <c r="C291" i="8"/>
  <c r="D291" i="8"/>
  <c r="A292" i="8"/>
  <c r="F292" i="8" s="1"/>
  <c r="B292" i="8"/>
  <c r="C292" i="8"/>
  <c r="D292" i="8"/>
  <c r="A293" i="8"/>
  <c r="F293" i="8" s="1"/>
  <c r="B293" i="8"/>
  <c r="C293" i="8"/>
  <c r="D293" i="8"/>
  <c r="A294" i="8"/>
  <c r="F294" i="8" s="1"/>
  <c r="B294" i="8"/>
  <c r="C294" i="8"/>
  <c r="D294" i="8"/>
  <c r="A295" i="8"/>
  <c r="F295" i="8" s="1"/>
  <c r="B295" i="8"/>
  <c r="C295" i="8"/>
  <c r="D295" i="8"/>
  <c r="A296" i="8"/>
  <c r="F296" i="8" s="1"/>
  <c r="B296" i="8"/>
  <c r="C296" i="8"/>
  <c r="D296" i="8"/>
  <c r="A297" i="8"/>
  <c r="F297" i="8" s="1"/>
  <c r="B297" i="8"/>
  <c r="C297" i="8"/>
  <c r="D297" i="8"/>
  <c r="A298" i="8"/>
  <c r="F298" i="8" s="1"/>
  <c r="B298" i="8"/>
  <c r="C298" i="8"/>
  <c r="D298" i="8"/>
  <c r="A299" i="8"/>
  <c r="F299" i="8" s="1"/>
  <c r="B299" i="8"/>
  <c r="C299" i="8"/>
  <c r="D299" i="8"/>
  <c r="A300" i="8"/>
  <c r="F300" i="8" s="1"/>
  <c r="B300" i="8"/>
  <c r="C300" i="8"/>
  <c r="D300" i="8"/>
  <c r="A301" i="8"/>
  <c r="F301" i="8" s="1"/>
  <c r="B301" i="8"/>
  <c r="C301" i="8"/>
  <c r="D301" i="8"/>
  <c r="A302" i="8"/>
  <c r="F302" i="8" s="1"/>
  <c r="B302" i="8"/>
  <c r="C302" i="8"/>
  <c r="D302" i="8"/>
  <c r="A303" i="8"/>
  <c r="F303" i="8" s="1"/>
  <c r="B303" i="8"/>
  <c r="C303" i="8"/>
  <c r="D303" i="8"/>
  <c r="A304" i="8"/>
  <c r="F304" i="8" s="1"/>
  <c r="B304" i="8"/>
  <c r="C304" i="8"/>
  <c r="D304" i="8"/>
  <c r="A305" i="8"/>
  <c r="F305" i="8" s="1"/>
  <c r="B305" i="8"/>
  <c r="C305" i="8"/>
  <c r="D305" i="8"/>
  <c r="A306" i="8"/>
  <c r="F306" i="8" s="1"/>
  <c r="B306" i="8"/>
  <c r="C306" i="8"/>
  <c r="D306" i="8"/>
  <c r="A307" i="8"/>
  <c r="F307" i="8" s="1"/>
  <c r="B307" i="8"/>
  <c r="C307" i="8"/>
  <c r="D307" i="8"/>
  <c r="A308" i="8"/>
  <c r="F308" i="8" s="1"/>
  <c r="B308" i="8"/>
  <c r="C308" i="8"/>
  <c r="D308" i="8"/>
  <c r="A309" i="8"/>
  <c r="F309" i="8" s="1"/>
  <c r="B309" i="8"/>
  <c r="C309" i="8"/>
  <c r="D309" i="8"/>
  <c r="A310" i="8"/>
  <c r="F310" i="8" s="1"/>
  <c r="B310" i="8"/>
  <c r="C310" i="8"/>
  <c r="D310" i="8"/>
  <c r="A311" i="8"/>
  <c r="F311" i="8" s="1"/>
  <c r="B311" i="8"/>
  <c r="C311" i="8"/>
  <c r="D311" i="8"/>
  <c r="A312" i="8"/>
  <c r="F312" i="8" s="1"/>
  <c r="B312" i="8"/>
  <c r="C312" i="8"/>
  <c r="D312" i="8"/>
  <c r="A313" i="8"/>
  <c r="F313" i="8" s="1"/>
  <c r="B313" i="8"/>
  <c r="C313" i="8"/>
  <c r="D313" i="8"/>
  <c r="A314" i="8"/>
  <c r="F314" i="8" s="1"/>
  <c r="B314" i="8"/>
  <c r="C314" i="8"/>
  <c r="D314" i="8"/>
  <c r="A315" i="8"/>
  <c r="F315" i="8" s="1"/>
  <c r="B315" i="8"/>
  <c r="C315" i="8"/>
  <c r="D315" i="8"/>
  <c r="A316" i="8"/>
  <c r="F316" i="8" s="1"/>
  <c r="B316" i="8"/>
  <c r="C316" i="8"/>
  <c r="D316" i="8"/>
  <c r="A317" i="8"/>
  <c r="F317" i="8" s="1"/>
  <c r="B317" i="8"/>
  <c r="C317" i="8"/>
  <c r="D317" i="8"/>
  <c r="A318" i="8"/>
  <c r="F318" i="8" s="1"/>
  <c r="B318" i="8"/>
  <c r="C318" i="8"/>
  <c r="D318" i="8"/>
  <c r="A319" i="8"/>
  <c r="F319" i="8" s="1"/>
  <c r="B319" i="8"/>
  <c r="C319" i="8"/>
  <c r="D319" i="8"/>
  <c r="A320" i="8"/>
  <c r="F320" i="8" s="1"/>
  <c r="B320" i="8"/>
  <c r="C320" i="8"/>
  <c r="D320" i="8"/>
  <c r="A321" i="8"/>
  <c r="F321" i="8" s="1"/>
  <c r="B321" i="8"/>
  <c r="C321" i="8"/>
  <c r="D321" i="8"/>
  <c r="A322" i="8"/>
  <c r="F322" i="8" s="1"/>
  <c r="B322" i="8"/>
  <c r="C322" i="8"/>
  <c r="D322" i="8"/>
  <c r="A323" i="8"/>
  <c r="F323" i="8" s="1"/>
  <c r="B323" i="8"/>
  <c r="C323" i="8"/>
  <c r="D323" i="8"/>
  <c r="A324" i="8"/>
  <c r="F324" i="8" s="1"/>
  <c r="B324" i="8"/>
  <c r="C324" i="8"/>
  <c r="D324" i="8"/>
  <c r="A325" i="8"/>
  <c r="F325" i="8" s="1"/>
  <c r="B325" i="8"/>
  <c r="C325" i="8"/>
  <c r="D325" i="8"/>
  <c r="A326" i="8"/>
  <c r="F326" i="8" s="1"/>
  <c r="B326" i="8"/>
  <c r="C326" i="8"/>
  <c r="D326" i="8"/>
  <c r="A327" i="8"/>
  <c r="F327" i="8" s="1"/>
  <c r="B327" i="8"/>
  <c r="C327" i="8"/>
  <c r="D327" i="8"/>
  <c r="A328" i="8"/>
  <c r="F328" i="8" s="1"/>
  <c r="B328" i="8"/>
  <c r="C328" i="8"/>
  <c r="D328" i="8"/>
  <c r="A329" i="8"/>
  <c r="F329" i="8" s="1"/>
  <c r="B329" i="8"/>
  <c r="C329" i="8"/>
  <c r="D329" i="8"/>
  <c r="A330" i="8"/>
  <c r="F330" i="8" s="1"/>
  <c r="B330" i="8"/>
  <c r="C330" i="8"/>
  <c r="D330" i="8"/>
  <c r="A331" i="8"/>
  <c r="F331" i="8" s="1"/>
  <c r="B331" i="8"/>
  <c r="C331" i="8"/>
  <c r="D331" i="8"/>
  <c r="A332" i="8"/>
  <c r="F332" i="8" s="1"/>
  <c r="B332" i="8"/>
  <c r="C332" i="8"/>
  <c r="D332" i="8"/>
  <c r="A333" i="8"/>
  <c r="F333" i="8" s="1"/>
  <c r="B333" i="8"/>
  <c r="C333" i="8"/>
  <c r="D333" i="8"/>
  <c r="A334" i="8"/>
  <c r="F334" i="8" s="1"/>
  <c r="B334" i="8"/>
  <c r="C334" i="8"/>
  <c r="D334" i="8"/>
  <c r="A335" i="8"/>
  <c r="F335" i="8" s="1"/>
  <c r="B335" i="8"/>
  <c r="C335" i="8"/>
  <c r="D335" i="8"/>
  <c r="A336" i="8"/>
  <c r="F336" i="8" s="1"/>
  <c r="B336" i="8"/>
  <c r="C336" i="8"/>
  <c r="D336" i="8"/>
  <c r="A337" i="8"/>
  <c r="F337" i="8" s="1"/>
  <c r="B337" i="8"/>
  <c r="C337" i="8"/>
  <c r="D337" i="8"/>
  <c r="A338" i="8"/>
  <c r="F338" i="8" s="1"/>
  <c r="B338" i="8"/>
  <c r="C338" i="8"/>
  <c r="D338" i="8"/>
  <c r="A339" i="8"/>
  <c r="F339" i="8" s="1"/>
  <c r="B339" i="8"/>
  <c r="C339" i="8"/>
  <c r="D339" i="8"/>
  <c r="A340" i="8"/>
  <c r="F340" i="8" s="1"/>
  <c r="B340" i="8"/>
  <c r="C340" i="8"/>
  <c r="D340" i="8"/>
  <c r="A341" i="8"/>
  <c r="F341" i="8" s="1"/>
  <c r="B341" i="8"/>
  <c r="C341" i="8"/>
  <c r="D341" i="8"/>
  <c r="A342" i="8"/>
  <c r="F342" i="8" s="1"/>
  <c r="B342" i="8"/>
  <c r="C342" i="8"/>
  <c r="D342" i="8"/>
  <c r="A343" i="8"/>
  <c r="F343" i="8" s="1"/>
  <c r="B343" i="8"/>
  <c r="C343" i="8"/>
  <c r="D343" i="8"/>
  <c r="A344" i="8"/>
  <c r="F344" i="8" s="1"/>
  <c r="B344" i="8"/>
  <c r="C344" i="8"/>
  <c r="D344" i="8"/>
  <c r="A345" i="8"/>
  <c r="F345" i="8" s="1"/>
  <c r="B345" i="8"/>
  <c r="C345" i="8"/>
  <c r="D345" i="8"/>
  <c r="A346" i="8"/>
  <c r="F346" i="8" s="1"/>
  <c r="B346" i="8"/>
  <c r="C346" i="8"/>
  <c r="D346" i="8"/>
  <c r="A347" i="8"/>
  <c r="F347" i="8" s="1"/>
  <c r="B347" i="8"/>
  <c r="C347" i="8"/>
  <c r="D347" i="8"/>
  <c r="A348" i="8"/>
  <c r="F348" i="8" s="1"/>
  <c r="B348" i="8"/>
  <c r="C348" i="8"/>
  <c r="D348" i="8"/>
  <c r="A349" i="8"/>
  <c r="F349" i="8" s="1"/>
  <c r="B349" i="8"/>
  <c r="C349" i="8"/>
  <c r="D349" i="8"/>
  <c r="A350" i="8"/>
  <c r="F350" i="8" s="1"/>
  <c r="B350" i="8"/>
  <c r="C350" i="8"/>
  <c r="D350" i="8"/>
  <c r="A351" i="8"/>
  <c r="F351" i="8" s="1"/>
  <c r="B351" i="8"/>
  <c r="C351" i="8"/>
  <c r="D351" i="8"/>
  <c r="A352" i="8"/>
  <c r="F352" i="8" s="1"/>
  <c r="B352" i="8"/>
  <c r="C352" i="8"/>
  <c r="D352" i="8"/>
  <c r="A353" i="8"/>
  <c r="F353" i="8" s="1"/>
  <c r="B353" i="8"/>
  <c r="C353" i="8"/>
  <c r="D353" i="8"/>
  <c r="A354" i="8"/>
  <c r="F354" i="8" s="1"/>
  <c r="B354" i="8"/>
  <c r="C354" i="8"/>
  <c r="D354" i="8"/>
  <c r="A355" i="8"/>
  <c r="F355" i="8" s="1"/>
  <c r="B355" i="8"/>
  <c r="C355" i="8"/>
  <c r="D355" i="8"/>
  <c r="A356" i="8"/>
  <c r="F356" i="8" s="1"/>
  <c r="B356" i="8"/>
  <c r="C356" i="8"/>
  <c r="D356" i="8"/>
  <c r="A357" i="8"/>
  <c r="F357" i="8" s="1"/>
  <c r="B357" i="8"/>
  <c r="C357" i="8"/>
  <c r="D357" i="8"/>
  <c r="A358" i="8"/>
  <c r="F358" i="8" s="1"/>
  <c r="B358" i="8"/>
  <c r="C358" i="8"/>
  <c r="D358" i="8"/>
  <c r="A359" i="8"/>
  <c r="F359" i="8" s="1"/>
  <c r="B359" i="8"/>
  <c r="C359" i="8"/>
  <c r="D359" i="8"/>
  <c r="A360" i="8"/>
  <c r="F360" i="8" s="1"/>
  <c r="B360" i="8"/>
  <c r="C360" i="8"/>
  <c r="D360" i="8"/>
  <c r="A361" i="8"/>
  <c r="F361" i="8" s="1"/>
  <c r="B361" i="8"/>
  <c r="C361" i="8"/>
  <c r="D361" i="8"/>
  <c r="A362" i="8"/>
  <c r="F362" i="8" s="1"/>
  <c r="B362" i="8"/>
  <c r="C362" i="8"/>
  <c r="D362" i="8"/>
  <c r="A363" i="8"/>
  <c r="F363" i="8" s="1"/>
  <c r="B363" i="8"/>
  <c r="C363" i="8"/>
  <c r="D363" i="8"/>
  <c r="A364" i="8"/>
  <c r="F364" i="8" s="1"/>
  <c r="B364" i="8"/>
  <c r="C364" i="8"/>
  <c r="D364" i="8"/>
  <c r="A365" i="8"/>
  <c r="F365" i="8" s="1"/>
  <c r="B365" i="8"/>
  <c r="C365" i="8"/>
  <c r="D365" i="8"/>
  <c r="A366" i="8"/>
  <c r="F366" i="8" s="1"/>
  <c r="B366" i="8"/>
  <c r="C366" i="8"/>
  <c r="D366" i="8"/>
  <c r="A367" i="8"/>
  <c r="F367" i="8" s="1"/>
  <c r="B367" i="8"/>
  <c r="C367" i="8"/>
  <c r="D367" i="8"/>
  <c r="A368" i="8"/>
  <c r="F368" i="8" s="1"/>
  <c r="B368" i="8"/>
  <c r="C368" i="8"/>
  <c r="D368" i="8"/>
  <c r="A369" i="8"/>
  <c r="F369" i="8" s="1"/>
  <c r="B369" i="8"/>
  <c r="C369" i="8"/>
  <c r="D369" i="8"/>
  <c r="A370" i="8"/>
  <c r="F370" i="8" s="1"/>
  <c r="B370" i="8"/>
  <c r="C370" i="8"/>
  <c r="D370" i="8"/>
  <c r="A371" i="8"/>
  <c r="F371" i="8" s="1"/>
  <c r="B371" i="8"/>
  <c r="C371" i="8"/>
  <c r="D371" i="8"/>
  <c r="A372" i="8"/>
  <c r="F372" i="8" s="1"/>
  <c r="B372" i="8"/>
  <c r="C372" i="8"/>
  <c r="D372" i="8"/>
  <c r="A373" i="8"/>
  <c r="F373" i="8" s="1"/>
  <c r="B373" i="8"/>
  <c r="C373" i="8"/>
  <c r="D373" i="8"/>
  <c r="A374" i="8"/>
  <c r="F374" i="8" s="1"/>
  <c r="B374" i="8"/>
  <c r="C374" i="8"/>
  <c r="D374" i="8"/>
  <c r="A375" i="8"/>
  <c r="F375" i="8" s="1"/>
  <c r="B375" i="8"/>
  <c r="C375" i="8"/>
  <c r="D375" i="8"/>
  <c r="A376" i="8"/>
  <c r="F376" i="8" s="1"/>
  <c r="B376" i="8"/>
  <c r="C376" i="8"/>
  <c r="D376" i="8"/>
  <c r="A377" i="8"/>
  <c r="F377" i="8" s="1"/>
  <c r="B377" i="8"/>
  <c r="C377" i="8"/>
  <c r="D377" i="8"/>
  <c r="A378" i="8"/>
  <c r="F378" i="8" s="1"/>
  <c r="B378" i="8"/>
  <c r="C378" i="8"/>
  <c r="D378" i="8"/>
  <c r="A379" i="8"/>
  <c r="F379" i="8" s="1"/>
  <c r="B379" i="8"/>
  <c r="C379" i="8"/>
  <c r="D379" i="8"/>
  <c r="A380" i="8"/>
  <c r="F380" i="8" s="1"/>
  <c r="B380" i="8"/>
  <c r="C380" i="8"/>
  <c r="D380" i="8"/>
  <c r="A381" i="8"/>
  <c r="F381" i="8" s="1"/>
  <c r="B381" i="8"/>
  <c r="C381" i="8"/>
  <c r="D381" i="8"/>
  <c r="A382" i="8"/>
  <c r="F382" i="8" s="1"/>
  <c r="B382" i="8"/>
  <c r="C382" i="8"/>
  <c r="D382" i="8"/>
  <c r="A383" i="8"/>
  <c r="F383" i="8" s="1"/>
  <c r="B383" i="8"/>
  <c r="C383" i="8"/>
  <c r="D383" i="8"/>
  <c r="A384" i="8"/>
  <c r="F384" i="8" s="1"/>
  <c r="B384" i="8"/>
  <c r="C384" i="8"/>
  <c r="D384" i="8"/>
  <c r="A385" i="8"/>
  <c r="F385" i="8" s="1"/>
  <c r="B385" i="8"/>
  <c r="C385" i="8"/>
  <c r="D385" i="8"/>
  <c r="A386" i="8"/>
  <c r="F386" i="8" s="1"/>
  <c r="B386" i="8"/>
  <c r="C386" i="8"/>
  <c r="D386" i="8"/>
  <c r="A387" i="8"/>
  <c r="F387" i="8" s="1"/>
  <c r="B387" i="8"/>
  <c r="C387" i="8"/>
  <c r="D387" i="8"/>
  <c r="A388" i="8"/>
  <c r="F388" i="8" s="1"/>
  <c r="B388" i="8"/>
  <c r="C388" i="8"/>
  <c r="D388" i="8"/>
  <c r="A389" i="8"/>
  <c r="F389" i="8" s="1"/>
  <c r="B389" i="8"/>
  <c r="C389" i="8"/>
  <c r="D389" i="8"/>
  <c r="A390" i="8"/>
  <c r="F390" i="8" s="1"/>
  <c r="B390" i="8"/>
  <c r="C390" i="8"/>
  <c r="D390" i="8"/>
  <c r="A391" i="8"/>
  <c r="F391" i="8" s="1"/>
  <c r="B391" i="8"/>
  <c r="C391" i="8"/>
  <c r="D391" i="8"/>
  <c r="A392" i="8"/>
  <c r="F392" i="8" s="1"/>
  <c r="B392" i="8"/>
  <c r="C392" i="8"/>
  <c r="D392" i="8"/>
  <c r="A393" i="8"/>
  <c r="F393" i="8" s="1"/>
  <c r="B393" i="8"/>
  <c r="C393" i="8"/>
  <c r="D393" i="8"/>
  <c r="A394" i="8"/>
  <c r="F394" i="8" s="1"/>
  <c r="B394" i="8"/>
  <c r="C394" i="8"/>
  <c r="D394" i="8"/>
  <c r="A395" i="8"/>
  <c r="F395" i="8" s="1"/>
  <c r="B395" i="8"/>
  <c r="C395" i="8"/>
  <c r="D395" i="8"/>
  <c r="A396" i="8"/>
  <c r="F396" i="8" s="1"/>
  <c r="B396" i="8"/>
  <c r="C396" i="8"/>
  <c r="D396" i="8"/>
  <c r="A397" i="8"/>
  <c r="F397" i="8" s="1"/>
  <c r="B397" i="8"/>
  <c r="C397" i="8"/>
  <c r="D397" i="8"/>
  <c r="A398" i="8"/>
  <c r="F398" i="8" s="1"/>
  <c r="B398" i="8"/>
  <c r="C398" i="8"/>
  <c r="D398" i="8"/>
  <c r="A399" i="8"/>
  <c r="F399" i="8" s="1"/>
  <c r="B399" i="8"/>
  <c r="C399" i="8"/>
  <c r="D399" i="8"/>
  <c r="A400" i="8"/>
  <c r="F400" i="8" s="1"/>
  <c r="B400" i="8"/>
  <c r="C400" i="8"/>
  <c r="D400" i="8"/>
  <c r="A401" i="8"/>
  <c r="F401" i="8" s="1"/>
  <c r="B401" i="8"/>
  <c r="C401" i="8"/>
  <c r="D401" i="8"/>
  <c r="A402" i="8"/>
  <c r="F402" i="8" s="1"/>
  <c r="B402" i="8"/>
  <c r="C402" i="8"/>
  <c r="D402" i="8"/>
  <c r="A403" i="8"/>
  <c r="F403" i="8" s="1"/>
  <c r="B403" i="8"/>
  <c r="C403" i="8"/>
  <c r="D403" i="8"/>
  <c r="A404" i="8"/>
  <c r="F404" i="8" s="1"/>
  <c r="B404" i="8"/>
  <c r="C404" i="8"/>
  <c r="D404" i="8"/>
  <c r="A405" i="8"/>
  <c r="F405" i="8" s="1"/>
  <c r="B405" i="8"/>
  <c r="C405" i="8"/>
  <c r="D405" i="8"/>
  <c r="A406" i="8"/>
  <c r="F406" i="8" s="1"/>
  <c r="B406" i="8"/>
  <c r="C406" i="8"/>
  <c r="D406" i="8"/>
  <c r="A407" i="8"/>
  <c r="F407" i="8" s="1"/>
  <c r="B407" i="8"/>
  <c r="C407" i="8"/>
  <c r="D407" i="8"/>
  <c r="A408" i="8"/>
  <c r="F408" i="8" s="1"/>
  <c r="B408" i="8"/>
  <c r="C408" i="8"/>
  <c r="D408" i="8"/>
  <c r="A409" i="8"/>
  <c r="F409" i="8" s="1"/>
  <c r="B409" i="8"/>
  <c r="C409" i="8"/>
  <c r="D409" i="8"/>
  <c r="A410" i="8"/>
  <c r="F410" i="8" s="1"/>
  <c r="B410" i="8"/>
  <c r="C410" i="8"/>
  <c r="D410" i="8"/>
  <c r="A411" i="8"/>
  <c r="F411" i="8" s="1"/>
  <c r="B411" i="8"/>
  <c r="C411" i="8"/>
  <c r="D411" i="8"/>
  <c r="A412" i="8"/>
  <c r="F412" i="8" s="1"/>
  <c r="B412" i="8"/>
  <c r="C412" i="8"/>
  <c r="D412" i="8"/>
  <c r="A413" i="8"/>
  <c r="F413" i="8" s="1"/>
  <c r="B413" i="8"/>
  <c r="C413" i="8"/>
  <c r="D413" i="8"/>
  <c r="A414" i="8"/>
  <c r="F414" i="8" s="1"/>
  <c r="B414" i="8"/>
  <c r="C414" i="8"/>
  <c r="D414" i="8"/>
  <c r="A415" i="8"/>
  <c r="F415" i="8" s="1"/>
  <c r="B415" i="8"/>
  <c r="C415" i="8"/>
  <c r="D415" i="8"/>
  <c r="A416" i="8"/>
  <c r="F416" i="8" s="1"/>
  <c r="B416" i="8"/>
  <c r="C416" i="8"/>
  <c r="D416" i="8"/>
  <c r="A417" i="8"/>
  <c r="F417" i="8" s="1"/>
  <c r="B417" i="8"/>
  <c r="C417" i="8"/>
  <c r="D417" i="8"/>
  <c r="A418" i="8"/>
  <c r="F418" i="8" s="1"/>
  <c r="B418" i="8"/>
  <c r="C418" i="8"/>
  <c r="D418" i="8"/>
  <c r="A419" i="8"/>
  <c r="F419" i="8" s="1"/>
  <c r="B419" i="8"/>
  <c r="C419" i="8"/>
  <c r="D419" i="8"/>
  <c r="A420" i="8"/>
  <c r="F420" i="8" s="1"/>
  <c r="B420" i="8"/>
  <c r="C420" i="8"/>
  <c r="D420" i="8"/>
  <c r="A421" i="8"/>
  <c r="F421" i="8" s="1"/>
  <c r="B421" i="8"/>
  <c r="C421" i="8"/>
  <c r="D421" i="8"/>
  <c r="A422" i="8"/>
  <c r="F422" i="8" s="1"/>
  <c r="B422" i="8"/>
  <c r="C422" i="8"/>
  <c r="D422" i="8"/>
  <c r="A423" i="8"/>
  <c r="F423" i="8" s="1"/>
  <c r="B423" i="8"/>
  <c r="C423" i="8"/>
  <c r="D423" i="8"/>
  <c r="A4" i="9" l="1"/>
  <c r="E4" i="9" s="1"/>
  <c r="B4" i="9"/>
  <c r="C4" i="9"/>
  <c r="D4" i="9"/>
  <c r="A5" i="9"/>
  <c r="E5" i="9" s="1"/>
  <c r="B5" i="9"/>
  <c r="C5" i="9"/>
  <c r="D5" i="9"/>
  <c r="A6" i="9"/>
  <c r="E6" i="9" s="1"/>
  <c r="B6" i="9"/>
  <c r="C6" i="9"/>
  <c r="D6" i="9"/>
  <c r="A7" i="9"/>
  <c r="E7" i="9" s="1"/>
  <c r="B7" i="9"/>
  <c r="C7" i="9"/>
  <c r="D7" i="9"/>
  <c r="A8" i="9"/>
  <c r="E8" i="9" s="1"/>
  <c r="B8" i="9"/>
  <c r="C8" i="9"/>
  <c r="D8" i="9"/>
  <c r="A9" i="9"/>
  <c r="E9" i="9" s="1"/>
  <c r="B9" i="9"/>
  <c r="C9" i="9"/>
  <c r="D9" i="9"/>
  <c r="A10" i="9"/>
  <c r="E10" i="9" s="1"/>
  <c r="B10" i="9"/>
  <c r="C10" i="9"/>
  <c r="D10" i="9"/>
  <c r="A11" i="9"/>
  <c r="E11" i="9" s="1"/>
  <c r="B11" i="9"/>
  <c r="C11" i="9"/>
  <c r="D11" i="9"/>
  <c r="A12" i="9"/>
  <c r="E12" i="9" s="1"/>
  <c r="B12" i="9"/>
  <c r="C12" i="9"/>
  <c r="D12" i="9"/>
  <c r="A13" i="9"/>
  <c r="E13" i="9" s="1"/>
  <c r="B13" i="9"/>
  <c r="C13" i="9"/>
  <c r="D13" i="9"/>
  <c r="A14" i="9"/>
  <c r="E14" i="9" s="1"/>
  <c r="B14" i="9"/>
  <c r="C14" i="9"/>
  <c r="D14" i="9"/>
  <c r="A15" i="9"/>
  <c r="E15" i="9" s="1"/>
  <c r="B15" i="9"/>
  <c r="C15" i="9"/>
  <c r="D15" i="9"/>
  <c r="A16" i="9"/>
  <c r="E16" i="9" s="1"/>
  <c r="B16" i="9"/>
  <c r="C16" i="9"/>
  <c r="D16" i="9"/>
  <c r="A17" i="9"/>
  <c r="E17" i="9" s="1"/>
  <c r="B17" i="9"/>
  <c r="C17" i="9"/>
  <c r="D17" i="9"/>
  <c r="A18" i="9"/>
  <c r="E18" i="9" s="1"/>
  <c r="B18" i="9"/>
  <c r="C18" i="9"/>
  <c r="D18" i="9"/>
  <c r="A19" i="9"/>
  <c r="E19" i="9" s="1"/>
  <c r="B19" i="9"/>
  <c r="C19" i="9"/>
  <c r="D19" i="9"/>
  <c r="A20" i="9"/>
  <c r="E20" i="9" s="1"/>
  <c r="B20" i="9"/>
  <c r="C20" i="9"/>
  <c r="D20" i="9"/>
  <c r="A21" i="9"/>
  <c r="E21" i="9" s="1"/>
  <c r="B21" i="9"/>
  <c r="C21" i="9"/>
  <c r="D21" i="9"/>
  <c r="A22" i="9"/>
  <c r="E22" i="9" s="1"/>
  <c r="B22" i="9"/>
  <c r="C22" i="9"/>
  <c r="D22" i="9"/>
  <c r="A23" i="9"/>
  <c r="E23" i="9" s="1"/>
  <c r="B23" i="9"/>
  <c r="C23" i="9"/>
  <c r="D23" i="9"/>
  <c r="A24" i="9"/>
  <c r="E24" i="9" s="1"/>
  <c r="B24" i="9"/>
  <c r="C24" i="9"/>
  <c r="D24" i="9"/>
  <c r="A25" i="9"/>
  <c r="E25" i="9" s="1"/>
  <c r="B25" i="9"/>
  <c r="C25" i="9"/>
  <c r="D25" i="9"/>
  <c r="A26" i="9"/>
  <c r="E26" i="9" s="1"/>
  <c r="B26" i="9"/>
  <c r="C26" i="9"/>
  <c r="D26" i="9"/>
  <c r="A27" i="9"/>
  <c r="E27" i="9" s="1"/>
  <c r="B27" i="9"/>
  <c r="C27" i="9"/>
  <c r="D27" i="9"/>
  <c r="A28" i="9"/>
  <c r="E28" i="9" s="1"/>
  <c r="B28" i="9"/>
  <c r="C28" i="9"/>
  <c r="D28" i="9"/>
  <c r="A29" i="9"/>
  <c r="E29" i="9" s="1"/>
  <c r="B29" i="9"/>
  <c r="C29" i="9"/>
  <c r="D29" i="9"/>
  <c r="A30" i="9"/>
  <c r="E30" i="9" s="1"/>
  <c r="B30" i="9"/>
  <c r="C30" i="9"/>
  <c r="D30" i="9"/>
  <c r="A31" i="9"/>
  <c r="E31" i="9" s="1"/>
  <c r="B31" i="9"/>
  <c r="C31" i="9"/>
  <c r="D31" i="9"/>
  <c r="A32" i="9"/>
  <c r="E32" i="9" s="1"/>
  <c r="B32" i="9"/>
  <c r="C32" i="9"/>
  <c r="D32" i="9"/>
  <c r="A33" i="9"/>
  <c r="E33" i="9" s="1"/>
  <c r="B33" i="9"/>
  <c r="C33" i="9"/>
  <c r="D33" i="9"/>
  <c r="A34" i="9"/>
  <c r="E34" i="9" s="1"/>
  <c r="B34" i="9"/>
  <c r="C34" i="9"/>
  <c r="D34" i="9"/>
  <c r="A35" i="9"/>
  <c r="E35" i="9" s="1"/>
  <c r="B35" i="9"/>
  <c r="C35" i="9"/>
  <c r="D35" i="9"/>
  <c r="A36" i="9"/>
  <c r="E36" i="9" s="1"/>
  <c r="B36" i="9"/>
  <c r="C36" i="9"/>
  <c r="D36" i="9"/>
  <c r="A37" i="9"/>
  <c r="E37" i="9" s="1"/>
  <c r="B37" i="9"/>
  <c r="C37" i="9"/>
  <c r="D37" i="9"/>
  <c r="A38" i="9"/>
  <c r="E38" i="9" s="1"/>
  <c r="B38" i="9"/>
  <c r="C38" i="9"/>
  <c r="D38" i="9"/>
  <c r="A39" i="9"/>
  <c r="E39" i="9" s="1"/>
  <c r="B39" i="9"/>
  <c r="C39" i="9"/>
  <c r="D39" i="9"/>
  <c r="A40" i="9"/>
  <c r="E40" i="9" s="1"/>
  <c r="B40" i="9"/>
  <c r="C40" i="9"/>
  <c r="D40" i="9"/>
  <c r="A41" i="9"/>
  <c r="E41" i="9" s="1"/>
  <c r="B41" i="9"/>
  <c r="C41" i="9"/>
  <c r="D41" i="9"/>
  <c r="A42" i="9"/>
  <c r="E42" i="9" s="1"/>
  <c r="B42" i="9"/>
  <c r="C42" i="9"/>
  <c r="D42" i="9"/>
  <c r="A43" i="9"/>
  <c r="E43" i="9" s="1"/>
  <c r="B43" i="9"/>
  <c r="C43" i="9"/>
  <c r="D43" i="9"/>
  <c r="A44" i="9"/>
  <c r="E44" i="9" s="1"/>
  <c r="B44" i="9"/>
  <c r="C44" i="9"/>
  <c r="D44" i="9"/>
  <c r="A45" i="9"/>
  <c r="E45" i="9" s="1"/>
  <c r="B45" i="9"/>
  <c r="C45" i="9"/>
  <c r="D45" i="9"/>
  <c r="A46" i="9"/>
  <c r="E46" i="9" s="1"/>
  <c r="B46" i="9"/>
  <c r="C46" i="9"/>
  <c r="D46" i="9"/>
  <c r="A47" i="9"/>
  <c r="E47" i="9" s="1"/>
  <c r="B47" i="9"/>
  <c r="C47" i="9"/>
  <c r="D47" i="9"/>
  <c r="A48" i="9"/>
  <c r="E48" i="9" s="1"/>
  <c r="B48" i="9"/>
  <c r="C48" i="9"/>
  <c r="D48" i="9"/>
  <c r="A49" i="9"/>
  <c r="E49" i="9" s="1"/>
  <c r="B49" i="9"/>
  <c r="C49" i="9"/>
  <c r="D49" i="9"/>
  <c r="A50" i="9"/>
  <c r="E50" i="9" s="1"/>
  <c r="B50" i="9"/>
  <c r="C50" i="9"/>
  <c r="D50" i="9"/>
  <c r="A51" i="9"/>
  <c r="E51" i="9" s="1"/>
  <c r="B51" i="9"/>
  <c r="C51" i="9"/>
  <c r="D51" i="9"/>
  <c r="A52" i="9"/>
  <c r="E52" i="9" s="1"/>
  <c r="B52" i="9"/>
  <c r="C52" i="9"/>
  <c r="D52" i="9"/>
  <c r="A53" i="9"/>
  <c r="E53" i="9" s="1"/>
  <c r="B53" i="9"/>
  <c r="C53" i="9"/>
  <c r="D53" i="9"/>
  <c r="A54" i="9"/>
  <c r="E54" i="9" s="1"/>
  <c r="B54" i="9"/>
  <c r="C54" i="9"/>
  <c r="D54" i="9"/>
  <c r="A55" i="9"/>
  <c r="E55" i="9" s="1"/>
  <c r="B55" i="9"/>
  <c r="C55" i="9"/>
  <c r="D55" i="9"/>
  <c r="A56" i="9"/>
  <c r="E56" i="9" s="1"/>
  <c r="B56" i="9"/>
  <c r="C56" i="9"/>
  <c r="D56" i="9"/>
  <c r="A57" i="9"/>
  <c r="E57" i="9" s="1"/>
  <c r="B57" i="9"/>
  <c r="C57" i="9"/>
  <c r="D57" i="9"/>
  <c r="A58" i="9"/>
  <c r="E58" i="9" s="1"/>
  <c r="B58" i="9"/>
  <c r="C58" i="9"/>
  <c r="D58" i="9"/>
  <c r="A59" i="9"/>
  <c r="E59" i="9" s="1"/>
  <c r="B59" i="9"/>
  <c r="C59" i="9"/>
  <c r="D59" i="9"/>
  <c r="A60" i="9"/>
  <c r="E60" i="9" s="1"/>
  <c r="B60" i="9"/>
  <c r="C60" i="9"/>
  <c r="D60" i="9"/>
  <c r="A61" i="9"/>
  <c r="E61" i="9" s="1"/>
  <c r="B61" i="9"/>
  <c r="C61" i="9"/>
  <c r="D61" i="9"/>
  <c r="A62" i="9"/>
  <c r="E62" i="9" s="1"/>
  <c r="B62" i="9"/>
  <c r="C62" i="9"/>
  <c r="D62" i="9"/>
  <c r="A63" i="9"/>
  <c r="E63" i="9" s="1"/>
  <c r="B63" i="9"/>
  <c r="C63" i="9"/>
  <c r="D63" i="9"/>
  <c r="A67" i="9"/>
  <c r="B67" i="9"/>
  <c r="C67" i="9"/>
  <c r="D67" i="9"/>
  <c r="A68" i="9"/>
  <c r="E67" i="9" s="1"/>
  <c r="B68" i="9"/>
  <c r="C68" i="9"/>
  <c r="D68" i="9"/>
  <c r="A69" i="9"/>
  <c r="E68" i="9" s="1"/>
  <c r="B69" i="9"/>
  <c r="C69" i="9"/>
  <c r="D69" i="9"/>
  <c r="A70" i="9"/>
  <c r="E69" i="9" s="1"/>
  <c r="B70" i="9"/>
  <c r="C70" i="9"/>
  <c r="D70" i="9"/>
  <c r="A71" i="9"/>
  <c r="E70" i="9" s="1"/>
  <c r="B71" i="9"/>
  <c r="C71" i="9"/>
  <c r="D71" i="9"/>
  <c r="A72" i="9"/>
  <c r="E71" i="9" s="1"/>
  <c r="B72" i="9"/>
  <c r="C72" i="9"/>
  <c r="D72" i="9"/>
  <c r="A73" i="9"/>
  <c r="E72" i="9" s="1"/>
  <c r="B73" i="9"/>
  <c r="C73" i="9"/>
  <c r="D73" i="9"/>
  <c r="A74" i="9"/>
  <c r="E73" i="9" s="1"/>
  <c r="B74" i="9"/>
  <c r="C74" i="9"/>
  <c r="D74" i="9"/>
  <c r="A75" i="9"/>
  <c r="E74" i="9" s="1"/>
  <c r="B75" i="9"/>
  <c r="C75" i="9"/>
  <c r="D75" i="9"/>
  <c r="A76" i="9"/>
  <c r="E75" i="9" s="1"/>
  <c r="B76" i="9"/>
  <c r="C76" i="9"/>
  <c r="D76" i="9"/>
  <c r="A77" i="9"/>
  <c r="E76" i="9" s="1"/>
  <c r="B77" i="9"/>
  <c r="C77" i="9"/>
  <c r="D77" i="9"/>
  <c r="A78" i="9"/>
  <c r="E77" i="9" s="1"/>
  <c r="B78" i="9"/>
  <c r="C78" i="9"/>
  <c r="D78" i="9"/>
  <c r="A79" i="9"/>
  <c r="E78" i="9" s="1"/>
  <c r="B79" i="9"/>
  <c r="C79" i="9"/>
  <c r="D79" i="9"/>
  <c r="A80" i="9"/>
  <c r="E79" i="9" s="1"/>
  <c r="B80" i="9"/>
  <c r="C80" i="9"/>
  <c r="D80" i="9"/>
  <c r="A81" i="9"/>
  <c r="E80" i="9" s="1"/>
  <c r="B81" i="9"/>
  <c r="C81" i="9"/>
  <c r="D81" i="9"/>
  <c r="A82" i="9"/>
  <c r="E81" i="9" s="1"/>
  <c r="B82" i="9"/>
  <c r="C82" i="9"/>
  <c r="D82" i="9"/>
  <c r="A83" i="9"/>
  <c r="E82" i="9" s="1"/>
  <c r="B83" i="9"/>
  <c r="C83" i="9"/>
  <c r="D83" i="9"/>
  <c r="A84" i="9"/>
  <c r="E83" i="9" s="1"/>
  <c r="B84" i="9"/>
  <c r="C84" i="9"/>
  <c r="D84" i="9"/>
  <c r="A85" i="9"/>
  <c r="E84" i="9" s="1"/>
  <c r="B85" i="9"/>
  <c r="C85" i="9"/>
  <c r="D85" i="9"/>
  <c r="A86" i="9"/>
  <c r="E85" i="9" s="1"/>
  <c r="B86" i="9"/>
  <c r="C86" i="9"/>
  <c r="D86" i="9"/>
  <c r="A87" i="9"/>
  <c r="E86" i="9" s="1"/>
  <c r="B87" i="9"/>
  <c r="C87" i="9"/>
  <c r="D87" i="9"/>
  <c r="A88" i="9"/>
  <c r="E87" i="9" s="1"/>
  <c r="B88" i="9"/>
  <c r="C88" i="9"/>
  <c r="D88" i="9"/>
  <c r="A89" i="9"/>
  <c r="E88" i="9" s="1"/>
  <c r="B89" i="9"/>
  <c r="C89" i="9"/>
  <c r="D89" i="9"/>
  <c r="A90" i="9"/>
  <c r="E89" i="9" s="1"/>
  <c r="B90" i="9"/>
  <c r="C90" i="9"/>
  <c r="D90" i="9"/>
  <c r="A91" i="9"/>
  <c r="E90" i="9" s="1"/>
  <c r="B91" i="9"/>
  <c r="C91" i="9"/>
  <c r="D91" i="9"/>
  <c r="A92" i="9"/>
  <c r="E91" i="9" s="1"/>
  <c r="B92" i="9"/>
  <c r="C92" i="9"/>
  <c r="D92" i="9"/>
  <c r="A93" i="9"/>
  <c r="E92" i="9" s="1"/>
  <c r="B93" i="9"/>
  <c r="C93" i="9"/>
  <c r="D93" i="9"/>
  <c r="A94" i="9"/>
  <c r="E93" i="9" s="1"/>
  <c r="B94" i="9"/>
  <c r="C94" i="9"/>
  <c r="D94" i="9"/>
  <c r="A95" i="9"/>
  <c r="E94" i="9" s="1"/>
  <c r="B95" i="9"/>
  <c r="C95" i="9"/>
  <c r="D95" i="9"/>
  <c r="A96" i="9"/>
  <c r="E95" i="9" s="1"/>
  <c r="B96" i="9"/>
  <c r="C96" i="9"/>
  <c r="D96" i="9"/>
  <c r="A97" i="9"/>
  <c r="E96" i="9" s="1"/>
  <c r="B97" i="9"/>
  <c r="C97" i="9"/>
  <c r="D97" i="9"/>
  <c r="A98" i="9"/>
  <c r="E97" i="9" s="1"/>
  <c r="B98" i="9"/>
  <c r="C98" i="9"/>
  <c r="D98" i="9"/>
  <c r="A99" i="9"/>
  <c r="E98" i="9" s="1"/>
  <c r="B99" i="9"/>
  <c r="C99" i="9"/>
  <c r="D99" i="9"/>
  <c r="A100" i="9"/>
  <c r="E99" i="9" s="1"/>
  <c r="B100" i="9"/>
  <c r="C100" i="9"/>
  <c r="D100" i="9"/>
  <c r="A101" i="9"/>
  <c r="E100" i="9" s="1"/>
  <c r="B101" i="9"/>
  <c r="C101" i="9"/>
  <c r="D101" i="9"/>
  <c r="A102" i="9"/>
  <c r="E101" i="9" s="1"/>
  <c r="B102" i="9"/>
  <c r="C102" i="9"/>
  <c r="D102" i="9"/>
  <c r="A103" i="9"/>
  <c r="E102" i="9" s="1"/>
  <c r="B103" i="9"/>
  <c r="C103" i="9"/>
  <c r="D103" i="9"/>
  <c r="A104" i="9"/>
  <c r="E103" i="9" s="1"/>
  <c r="B104" i="9"/>
  <c r="C104" i="9"/>
  <c r="D104" i="9"/>
  <c r="A105" i="9"/>
  <c r="E104" i="9" s="1"/>
  <c r="B105" i="9"/>
  <c r="C105" i="9"/>
  <c r="D105" i="9"/>
  <c r="A106" i="9"/>
  <c r="E105" i="9" s="1"/>
  <c r="B106" i="9"/>
  <c r="C106" i="9"/>
  <c r="D106" i="9"/>
  <c r="A107" i="9"/>
  <c r="E106" i="9" s="1"/>
  <c r="B107" i="9"/>
  <c r="C107" i="9"/>
  <c r="D107" i="9"/>
  <c r="A108" i="9"/>
  <c r="E107" i="9" s="1"/>
  <c r="B108" i="9"/>
  <c r="C108" i="9"/>
  <c r="D108" i="9"/>
  <c r="A109" i="9"/>
  <c r="E108" i="9" s="1"/>
  <c r="B109" i="9"/>
  <c r="C109" i="9"/>
  <c r="D109" i="9"/>
  <c r="A110" i="9"/>
  <c r="E109" i="9" s="1"/>
  <c r="B110" i="9"/>
  <c r="C110" i="9"/>
  <c r="D110" i="9"/>
  <c r="A111" i="9"/>
  <c r="E110" i="9" s="1"/>
  <c r="B111" i="9"/>
  <c r="C111" i="9"/>
  <c r="D111" i="9"/>
  <c r="A112" i="9"/>
  <c r="E111" i="9" s="1"/>
  <c r="B112" i="9"/>
  <c r="C112" i="9"/>
  <c r="D112" i="9"/>
  <c r="A113" i="9"/>
  <c r="E112" i="9" s="1"/>
  <c r="B113" i="9"/>
  <c r="C113" i="9"/>
  <c r="D113" i="9"/>
  <c r="A114" i="9"/>
  <c r="E113" i="9" s="1"/>
  <c r="B114" i="9"/>
  <c r="C114" i="9"/>
  <c r="D114" i="9"/>
  <c r="A115" i="9"/>
  <c r="E114" i="9" s="1"/>
  <c r="B115" i="9"/>
  <c r="C115" i="9"/>
  <c r="D115" i="9"/>
  <c r="A116" i="9"/>
  <c r="E115" i="9" s="1"/>
  <c r="B116" i="9"/>
  <c r="C116" i="9"/>
  <c r="D116" i="9"/>
  <c r="A117" i="9"/>
  <c r="E116" i="9" s="1"/>
  <c r="B117" i="9"/>
  <c r="C117" i="9"/>
  <c r="D117" i="9"/>
  <c r="A118" i="9"/>
  <c r="E117" i="9" s="1"/>
  <c r="B118" i="9"/>
  <c r="C118" i="9"/>
  <c r="D118" i="9"/>
  <c r="A119" i="9"/>
  <c r="E118" i="9" s="1"/>
  <c r="B119" i="9"/>
  <c r="C119" i="9"/>
  <c r="D119" i="9"/>
  <c r="A120" i="9"/>
  <c r="E119" i="9" s="1"/>
  <c r="B120" i="9"/>
  <c r="C120" i="9"/>
  <c r="D120" i="9"/>
  <c r="A121" i="9"/>
  <c r="E120" i="9" s="1"/>
  <c r="B121" i="9"/>
  <c r="C121" i="9"/>
  <c r="D121" i="9"/>
  <c r="A122" i="9"/>
  <c r="E121" i="9" s="1"/>
  <c r="B122" i="9"/>
  <c r="C122" i="9"/>
  <c r="D122" i="9"/>
  <c r="A123" i="9"/>
  <c r="E122" i="9" s="1"/>
  <c r="B123" i="9"/>
  <c r="C123" i="9"/>
  <c r="D123" i="9"/>
  <c r="A124" i="9"/>
  <c r="E123" i="9" s="1"/>
  <c r="B124" i="9"/>
  <c r="C124" i="9"/>
  <c r="D124" i="9"/>
  <c r="A125" i="9"/>
  <c r="E124" i="9" s="1"/>
  <c r="B125" i="9"/>
  <c r="C125" i="9"/>
  <c r="D125" i="9"/>
  <c r="A126" i="9"/>
  <c r="E125" i="9" s="1"/>
  <c r="B126" i="9"/>
  <c r="C126" i="9"/>
  <c r="D126" i="9"/>
  <c r="A130" i="9"/>
  <c r="B130" i="9"/>
  <c r="C130" i="9"/>
  <c r="D130" i="9"/>
  <c r="E130" i="9"/>
  <c r="A131" i="9"/>
  <c r="E131" i="9" s="1"/>
  <c r="B131" i="9"/>
  <c r="C131" i="9"/>
  <c r="D131" i="9"/>
  <c r="A132" i="9"/>
  <c r="E132" i="9" s="1"/>
  <c r="B132" i="9"/>
  <c r="C132" i="9"/>
  <c r="D132" i="9"/>
  <c r="A133" i="9"/>
  <c r="E133" i="9" s="1"/>
  <c r="B133" i="9"/>
  <c r="C133" i="9"/>
  <c r="D133" i="9"/>
  <c r="A134" i="9"/>
  <c r="E134" i="9" s="1"/>
  <c r="B134" i="9"/>
  <c r="C134" i="9"/>
  <c r="D134" i="9"/>
  <c r="A135" i="9"/>
  <c r="E135" i="9" s="1"/>
  <c r="B135" i="9"/>
  <c r="C135" i="9"/>
  <c r="D135" i="9"/>
  <c r="A136" i="9"/>
  <c r="E136" i="9" s="1"/>
  <c r="B136" i="9"/>
  <c r="C136" i="9"/>
  <c r="D136" i="9"/>
  <c r="A137" i="9"/>
  <c r="E137" i="9" s="1"/>
  <c r="B137" i="9"/>
  <c r="C137" i="9"/>
  <c r="D137" i="9"/>
  <c r="A138" i="9"/>
  <c r="E138" i="9" s="1"/>
  <c r="B138" i="9"/>
  <c r="C138" i="9"/>
  <c r="D138" i="9"/>
  <c r="A139" i="9"/>
  <c r="E139" i="9" s="1"/>
  <c r="B139" i="9"/>
  <c r="C139" i="9"/>
  <c r="D139" i="9"/>
  <c r="A140" i="9"/>
  <c r="E140" i="9" s="1"/>
  <c r="B140" i="9"/>
  <c r="C140" i="9"/>
  <c r="D140" i="9"/>
  <c r="A141" i="9"/>
  <c r="E141" i="9" s="1"/>
  <c r="B141" i="9"/>
  <c r="C141" i="9"/>
  <c r="D141" i="9"/>
  <c r="A142" i="9"/>
  <c r="E142" i="9" s="1"/>
  <c r="B142" i="9"/>
  <c r="C142" i="9"/>
  <c r="D142" i="9"/>
  <c r="A143" i="9"/>
  <c r="E143" i="9" s="1"/>
  <c r="B143" i="9"/>
  <c r="C143" i="9"/>
  <c r="D143" i="9"/>
  <c r="A144" i="9"/>
  <c r="E144" i="9" s="1"/>
  <c r="B144" i="9"/>
  <c r="C144" i="9"/>
  <c r="D144" i="9"/>
  <c r="A145" i="9"/>
  <c r="E145" i="9" s="1"/>
  <c r="B145" i="9"/>
  <c r="C145" i="9"/>
  <c r="D145" i="9"/>
  <c r="A146" i="9"/>
  <c r="E146" i="9" s="1"/>
  <c r="B146" i="9"/>
  <c r="C146" i="9"/>
  <c r="D146" i="9"/>
  <c r="A147" i="9"/>
  <c r="E147" i="9" s="1"/>
  <c r="B147" i="9"/>
  <c r="C147" i="9"/>
  <c r="D147" i="9"/>
  <c r="A148" i="9"/>
  <c r="E148" i="9" s="1"/>
  <c r="B148" i="9"/>
  <c r="C148" i="9"/>
  <c r="D148" i="9"/>
  <c r="A149" i="9"/>
  <c r="E149" i="9" s="1"/>
  <c r="B149" i="9"/>
  <c r="C149" i="9"/>
  <c r="D149" i="9"/>
  <c r="A150" i="9"/>
  <c r="E150" i="9" s="1"/>
  <c r="B150" i="9"/>
  <c r="C150" i="9"/>
  <c r="D150" i="9"/>
  <c r="A151" i="9"/>
  <c r="E151" i="9" s="1"/>
  <c r="B151" i="9"/>
  <c r="C151" i="9"/>
  <c r="D151" i="9"/>
  <c r="A152" i="9"/>
  <c r="E152" i="9" s="1"/>
  <c r="B152" i="9"/>
  <c r="C152" i="9"/>
  <c r="D152" i="9"/>
  <c r="A153" i="9"/>
  <c r="E153" i="9" s="1"/>
  <c r="B153" i="9"/>
  <c r="C153" i="9"/>
  <c r="D153" i="9"/>
  <c r="A154" i="9"/>
  <c r="E154" i="9" s="1"/>
  <c r="B154" i="9"/>
  <c r="C154" i="9"/>
  <c r="D154" i="9"/>
  <c r="A155" i="9"/>
  <c r="E155" i="9" s="1"/>
  <c r="B155" i="9"/>
  <c r="C155" i="9"/>
  <c r="D155" i="9"/>
  <c r="A156" i="9"/>
  <c r="E156" i="9" s="1"/>
  <c r="B156" i="9"/>
  <c r="C156" i="9"/>
  <c r="D156" i="9"/>
  <c r="A157" i="9"/>
  <c r="E157" i="9" s="1"/>
  <c r="B157" i="9"/>
  <c r="C157" i="9"/>
  <c r="D157" i="9"/>
  <c r="A158" i="9"/>
  <c r="E158" i="9" s="1"/>
  <c r="B158" i="9"/>
  <c r="C158" i="9"/>
  <c r="D158" i="9"/>
  <c r="A159" i="9"/>
  <c r="E159" i="9" s="1"/>
  <c r="B159" i="9"/>
  <c r="C159" i="9"/>
  <c r="D159" i="9"/>
  <c r="A160" i="9"/>
  <c r="E160" i="9" s="1"/>
  <c r="B160" i="9"/>
  <c r="C160" i="9"/>
  <c r="D160" i="9"/>
  <c r="A161" i="9"/>
  <c r="E161" i="9" s="1"/>
  <c r="B161" i="9"/>
  <c r="C161" i="9"/>
  <c r="D161" i="9"/>
  <c r="A162" i="9"/>
  <c r="E162" i="9" s="1"/>
  <c r="B162" i="9"/>
  <c r="C162" i="9"/>
  <c r="D162" i="9"/>
  <c r="A163" i="9"/>
  <c r="E163" i="9" s="1"/>
  <c r="B163" i="9"/>
  <c r="C163" i="9"/>
  <c r="D163" i="9"/>
  <c r="A164" i="9"/>
  <c r="E164" i="9" s="1"/>
  <c r="B164" i="9"/>
  <c r="C164" i="9"/>
  <c r="D164" i="9"/>
  <c r="A165" i="9"/>
  <c r="E165" i="9" s="1"/>
  <c r="B165" i="9"/>
  <c r="C165" i="9"/>
  <c r="D165" i="9"/>
  <c r="A166" i="9"/>
  <c r="E166" i="9" s="1"/>
  <c r="B166" i="9"/>
  <c r="C166" i="9"/>
  <c r="D166" i="9"/>
  <c r="A167" i="9"/>
  <c r="E167" i="9" s="1"/>
  <c r="B167" i="9"/>
  <c r="C167" i="9"/>
  <c r="D167" i="9"/>
  <c r="A168" i="9"/>
  <c r="E168" i="9" s="1"/>
  <c r="B168" i="9"/>
  <c r="C168" i="9"/>
  <c r="D168" i="9"/>
  <c r="A169" i="9"/>
  <c r="E169" i="9" s="1"/>
  <c r="B169" i="9"/>
  <c r="C169" i="9"/>
  <c r="D169" i="9"/>
  <c r="A170" i="9"/>
  <c r="E170" i="9" s="1"/>
  <c r="B170" i="9"/>
  <c r="C170" i="9"/>
  <c r="D170" i="9"/>
  <c r="A171" i="9"/>
  <c r="E171" i="9" s="1"/>
  <c r="B171" i="9"/>
  <c r="C171" i="9"/>
  <c r="D171" i="9"/>
  <c r="A172" i="9"/>
  <c r="E172" i="9" s="1"/>
  <c r="B172" i="9"/>
  <c r="C172" i="9"/>
  <c r="D172" i="9"/>
  <c r="A173" i="9"/>
  <c r="E173" i="9" s="1"/>
  <c r="B173" i="9"/>
  <c r="C173" i="9"/>
  <c r="D173" i="9"/>
  <c r="A174" i="9"/>
  <c r="E174" i="9" s="1"/>
  <c r="B174" i="9"/>
  <c r="C174" i="9"/>
  <c r="D174" i="9"/>
  <c r="A175" i="9"/>
  <c r="E175" i="9" s="1"/>
  <c r="B175" i="9"/>
  <c r="C175" i="9"/>
  <c r="D175" i="9"/>
  <c r="A176" i="9"/>
  <c r="E176" i="9" s="1"/>
  <c r="B176" i="9"/>
  <c r="C176" i="9"/>
  <c r="D176" i="9"/>
  <c r="A177" i="9"/>
  <c r="E177" i="9" s="1"/>
  <c r="B177" i="9"/>
  <c r="C177" i="9"/>
  <c r="D177" i="9"/>
  <c r="A178" i="9"/>
  <c r="E178" i="9" s="1"/>
  <c r="B178" i="9"/>
  <c r="C178" i="9"/>
  <c r="D178" i="9"/>
  <c r="A179" i="9"/>
  <c r="E179" i="9" s="1"/>
  <c r="B179" i="9"/>
  <c r="C179" i="9"/>
  <c r="D179" i="9"/>
  <c r="A180" i="9"/>
  <c r="E180" i="9" s="1"/>
  <c r="B180" i="9"/>
  <c r="C180" i="9"/>
  <c r="D180" i="9"/>
  <c r="A181" i="9"/>
  <c r="E181" i="9" s="1"/>
  <c r="B181" i="9"/>
  <c r="C181" i="9"/>
  <c r="D181" i="9"/>
  <c r="A182" i="9"/>
  <c r="E182" i="9" s="1"/>
  <c r="B182" i="9"/>
  <c r="C182" i="9"/>
  <c r="D182" i="9"/>
  <c r="A183" i="9"/>
  <c r="E183" i="9" s="1"/>
  <c r="B183" i="9"/>
  <c r="C183" i="9"/>
  <c r="D183" i="9"/>
  <c r="A184" i="9"/>
  <c r="E184" i="9" s="1"/>
  <c r="B184" i="9"/>
  <c r="C184" i="9"/>
  <c r="D184" i="9"/>
  <c r="A185" i="9"/>
  <c r="E185" i="9" s="1"/>
  <c r="B185" i="9"/>
  <c r="C185" i="9"/>
  <c r="D185" i="9"/>
  <c r="A186" i="9"/>
  <c r="E186" i="9" s="1"/>
  <c r="B186" i="9"/>
  <c r="C186" i="9"/>
  <c r="D186" i="9"/>
  <c r="A187" i="9"/>
  <c r="E187" i="9" s="1"/>
  <c r="B187" i="9"/>
  <c r="C187" i="9"/>
  <c r="D187" i="9"/>
  <c r="A188" i="9"/>
  <c r="E188" i="9" s="1"/>
  <c r="B188" i="9"/>
  <c r="C188" i="9"/>
  <c r="D188" i="9"/>
  <c r="A189" i="9"/>
  <c r="E189" i="9" s="1"/>
  <c r="B189" i="9"/>
  <c r="C189" i="9"/>
  <c r="D189" i="9"/>
  <c r="A193" i="9"/>
  <c r="B193" i="9"/>
  <c r="C193" i="9"/>
  <c r="D193" i="9"/>
  <c r="E193" i="9"/>
  <c r="A194" i="9"/>
  <c r="E194" i="9" s="1"/>
  <c r="B194" i="9"/>
  <c r="C194" i="9"/>
  <c r="D194" i="9"/>
  <c r="A195" i="9"/>
  <c r="E195" i="9" s="1"/>
  <c r="B195" i="9"/>
  <c r="C195" i="9"/>
  <c r="D195" i="9"/>
  <c r="A196" i="9"/>
  <c r="E196" i="9" s="1"/>
  <c r="B196" i="9"/>
  <c r="C196" i="9"/>
  <c r="D196" i="9"/>
  <c r="A197" i="9"/>
  <c r="E197" i="9" s="1"/>
  <c r="B197" i="9"/>
  <c r="C197" i="9"/>
  <c r="D197" i="9"/>
  <c r="A198" i="9"/>
  <c r="E198" i="9" s="1"/>
  <c r="B198" i="9"/>
  <c r="C198" i="9"/>
  <c r="D198" i="9"/>
  <c r="A199" i="9"/>
  <c r="E199" i="9" s="1"/>
  <c r="B199" i="9"/>
  <c r="C199" i="9"/>
  <c r="D199" i="9"/>
  <c r="A200" i="9"/>
  <c r="E200" i="9" s="1"/>
  <c r="B200" i="9"/>
  <c r="C200" i="9"/>
  <c r="D200" i="9"/>
  <c r="A201" i="9"/>
  <c r="E201" i="9" s="1"/>
  <c r="B201" i="9"/>
  <c r="C201" i="9"/>
  <c r="D201" i="9"/>
  <c r="A202" i="9"/>
  <c r="E202" i="9" s="1"/>
  <c r="B202" i="9"/>
  <c r="C202" i="9"/>
  <c r="D202" i="9"/>
  <c r="A203" i="9"/>
  <c r="E203" i="9" s="1"/>
  <c r="B203" i="9"/>
  <c r="C203" i="9"/>
  <c r="D203" i="9"/>
  <c r="A204" i="9"/>
  <c r="E204" i="9" s="1"/>
  <c r="B204" i="9"/>
  <c r="C204" i="9"/>
  <c r="D204" i="9"/>
  <c r="A205" i="9"/>
  <c r="E205" i="9" s="1"/>
  <c r="B205" i="9"/>
  <c r="C205" i="9"/>
  <c r="D205" i="9"/>
  <c r="A206" i="9"/>
  <c r="E206" i="9" s="1"/>
  <c r="B206" i="9"/>
  <c r="C206" i="9"/>
  <c r="D206" i="9"/>
  <c r="A207" i="9"/>
  <c r="E207" i="9" s="1"/>
  <c r="B207" i="9"/>
  <c r="C207" i="9"/>
  <c r="D207" i="9"/>
  <c r="A208" i="9"/>
  <c r="E208" i="9" s="1"/>
  <c r="B208" i="9"/>
  <c r="C208" i="9"/>
  <c r="D208" i="9"/>
  <c r="A209" i="9"/>
  <c r="E209" i="9" s="1"/>
  <c r="B209" i="9"/>
  <c r="C209" i="9"/>
  <c r="D209" i="9"/>
  <c r="A210" i="9"/>
  <c r="E210" i="9" s="1"/>
  <c r="B210" i="9"/>
  <c r="C210" i="9"/>
  <c r="D210" i="9"/>
  <c r="A211" i="9"/>
  <c r="E211" i="9" s="1"/>
  <c r="B211" i="9"/>
  <c r="C211" i="9"/>
  <c r="D211" i="9"/>
  <c r="A212" i="9"/>
  <c r="E212" i="9" s="1"/>
  <c r="B212" i="9"/>
  <c r="C212" i="9"/>
  <c r="D212" i="9"/>
  <c r="A213" i="9"/>
  <c r="E213" i="9" s="1"/>
  <c r="B213" i="9"/>
  <c r="C213" i="9"/>
  <c r="D213" i="9"/>
  <c r="A214" i="9"/>
  <c r="E214" i="9" s="1"/>
  <c r="B214" i="9"/>
  <c r="C214" i="9"/>
  <c r="D214" i="9"/>
  <c r="A215" i="9"/>
  <c r="E215" i="9" s="1"/>
  <c r="B215" i="9"/>
  <c r="C215" i="9"/>
  <c r="D215" i="9"/>
  <c r="A216" i="9"/>
  <c r="E216" i="9" s="1"/>
  <c r="B216" i="9"/>
  <c r="C216" i="9"/>
  <c r="D216" i="9"/>
  <c r="A217" i="9"/>
  <c r="E217" i="9" s="1"/>
  <c r="B217" i="9"/>
  <c r="C217" i="9"/>
  <c r="D217" i="9"/>
  <c r="A218" i="9"/>
  <c r="E218" i="9" s="1"/>
  <c r="B218" i="9"/>
  <c r="C218" i="9"/>
  <c r="D218" i="9"/>
  <c r="A219" i="9"/>
  <c r="E219" i="9" s="1"/>
  <c r="B219" i="9"/>
  <c r="C219" i="9"/>
  <c r="D219" i="9"/>
  <c r="A220" i="9"/>
  <c r="E220" i="9" s="1"/>
  <c r="B220" i="9"/>
  <c r="C220" i="9"/>
  <c r="D220" i="9"/>
  <c r="A221" i="9"/>
  <c r="E221" i="9" s="1"/>
  <c r="B221" i="9"/>
  <c r="C221" i="9"/>
  <c r="D221" i="9"/>
  <c r="A222" i="9"/>
  <c r="E222" i="9" s="1"/>
  <c r="B222" i="9"/>
  <c r="C222" i="9"/>
  <c r="D222" i="9"/>
  <c r="A223" i="9"/>
  <c r="E223" i="9" s="1"/>
  <c r="B223" i="9"/>
  <c r="C223" i="9"/>
  <c r="D223" i="9"/>
  <c r="A224" i="9"/>
  <c r="E224" i="9" s="1"/>
  <c r="B224" i="9"/>
  <c r="C224" i="9"/>
  <c r="D224" i="9"/>
  <c r="A225" i="9"/>
  <c r="E225" i="9" s="1"/>
  <c r="B225" i="9"/>
  <c r="C225" i="9"/>
  <c r="D225" i="9"/>
  <c r="A226" i="9"/>
  <c r="E226" i="9" s="1"/>
  <c r="B226" i="9"/>
  <c r="C226" i="9"/>
  <c r="D226" i="9"/>
  <c r="A227" i="9"/>
  <c r="E227" i="9" s="1"/>
  <c r="B227" i="9"/>
  <c r="C227" i="9"/>
  <c r="D227" i="9"/>
  <c r="A228" i="9"/>
  <c r="E228" i="9" s="1"/>
  <c r="B228" i="9"/>
  <c r="C228" i="9"/>
  <c r="D228" i="9"/>
  <c r="A229" i="9"/>
  <c r="E229" i="9" s="1"/>
  <c r="B229" i="9"/>
  <c r="C229" i="9"/>
  <c r="D229" i="9"/>
  <c r="A230" i="9"/>
  <c r="E230" i="9" s="1"/>
  <c r="B230" i="9"/>
  <c r="C230" i="9"/>
  <c r="D230" i="9"/>
  <c r="A231" i="9"/>
  <c r="E231" i="9" s="1"/>
  <c r="B231" i="9"/>
  <c r="C231" i="9"/>
  <c r="D231" i="9"/>
  <c r="A232" i="9"/>
  <c r="E232" i="9" s="1"/>
  <c r="B232" i="9"/>
  <c r="C232" i="9"/>
  <c r="D232" i="9"/>
  <c r="A233" i="9"/>
  <c r="E233" i="9" s="1"/>
  <c r="B233" i="9"/>
  <c r="C233" i="9"/>
  <c r="D233" i="9"/>
  <c r="A234" i="9"/>
  <c r="E234" i="9" s="1"/>
  <c r="B234" i="9"/>
  <c r="C234" i="9"/>
  <c r="D234" i="9"/>
  <c r="A235" i="9"/>
  <c r="E235" i="9" s="1"/>
  <c r="B235" i="9"/>
  <c r="C235" i="9"/>
  <c r="D235" i="9"/>
  <c r="A236" i="9"/>
  <c r="E236" i="9" s="1"/>
  <c r="B236" i="9"/>
  <c r="C236" i="9"/>
  <c r="D236" i="9"/>
  <c r="A237" i="9"/>
  <c r="E237" i="9" s="1"/>
  <c r="B237" i="9"/>
  <c r="C237" i="9"/>
  <c r="D237" i="9"/>
  <c r="A238" i="9"/>
  <c r="E238" i="9" s="1"/>
  <c r="B238" i="9"/>
  <c r="C238" i="9"/>
  <c r="D238" i="9"/>
  <c r="A239" i="9"/>
  <c r="E239" i="9" s="1"/>
  <c r="B239" i="9"/>
  <c r="C239" i="9"/>
  <c r="D239" i="9"/>
  <c r="A240" i="9"/>
  <c r="E240" i="9" s="1"/>
  <c r="B240" i="9"/>
  <c r="C240" i="9"/>
  <c r="D240" i="9"/>
  <c r="A241" i="9"/>
  <c r="E241" i="9" s="1"/>
  <c r="B241" i="9"/>
  <c r="C241" i="9"/>
  <c r="D241" i="9"/>
  <c r="A242" i="9"/>
  <c r="E242" i="9" s="1"/>
  <c r="B242" i="9"/>
  <c r="C242" i="9"/>
  <c r="D242" i="9"/>
  <c r="A243" i="9"/>
  <c r="E243" i="9" s="1"/>
  <c r="B243" i="9"/>
  <c r="C243" i="9"/>
  <c r="D243" i="9"/>
  <c r="A244" i="9"/>
  <c r="E244" i="9" s="1"/>
  <c r="B244" i="9"/>
  <c r="C244" i="9"/>
  <c r="D244" i="9"/>
  <c r="A245" i="9"/>
  <c r="E245" i="9" s="1"/>
  <c r="B245" i="9"/>
  <c r="C245" i="9"/>
  <c r="D245" i="9"/>
  <c r="A246" i="9"/>
  <c r="E246" i="9" s="1"/>
  <c r="B246" i="9"/>
  <c r="C246" i="9"/>
  <c r="D246" i="9"/>
  <c r="A247" i="9"/>
  <c r="E247" i="9" s="1"/>
  <c r="B247" i="9"/>
  <c r="C247" i="9"/>
  <c r="D247" i="9"/>
  <c r="A248" i="9"/>
  <c r="E248" i="9" s="1"/>
  <c r="B248" i="9"/>
  <c r="C248" i="9"/>
  <c r="D248" i="9"/>
  <c r="A249" i="9"/>
  <c r="E249" i="9" s="1"/>
  <c r="B249" i="9"/>
  <c r="C249" i="9"/>
  <c r="D249" i="9"/>
  <c r="A250" i="9"/>
  <c r="E250" i="9" s="1"/>
  <c r="B250" i="9"/>
  <c r="C250" i="9"/>
  <c r="D250" i="9"/>
  <c r="A251" i="9"/>
  <c r="E251" i="9" s="1"/>
  <c r="B251" i="9"/>
  <c r="C251" i="9"/>
  <c r="D251" i="9"/>
  <c r="A252" i="9"/>
  <c r="E252" i="9" s="1"/>
  <c r="B252" i="9"/>
  <c r="C252" i="9"/>
  <c r="D252" i="9"/>
  <c r="A256" i="9"/>
  <c r="B256" i="9"/>
  <c r="C256" i="9"/>
  <c r="D256" i="9"/>
  <c r="E256" i="9"/>
  <c r="A257" i="9"/>
  <c r="E257" i="9" s="1"/>
  <c r="B257" i="9"/>
  <c r="C257" i="9"/>
  <c r="D257" i="9"/>
  <c r="A258" i="9"/>
  <c r="E258" i="9" s="1"/>
  <c r="B258" i="9"/>
  <c r="C258" i="9"/>
  <c r="D258" i="9"/>
  <c r="A259" i="9"/>
  <c r="E259" i="9" s="1"/>
  <c r="B259" i="9"/>
  <c r="C259" i="9"/>
  <c r="D259" i="9"/>
  <c r="A260" i="9"/>
  <c r="E260" i="9" s="1"/>
  <c r="B260" i="9"/>
  <c r="C260" i="9"/>
  <c r="D260" i="9"/>
  <c r="A261" i="9"/>
  <c r="E261" i="9" s="1"/>
  <c r="B261" i="9"/>
  <c r="C261" i="9"/>
  <c r="D261" i="9"/>
  <c r="A262" i="9"/>
  <c r="E262" i="9" s="1"/>
  <c r="B262" i="9"/>
  <c r="C262" i="9"/>
  <c r="D262" i="9"/>
  <c r="A263" i="9"/>
  <c r="E263" i="9" s="1"/>
  <c r="B263" i="9"/>
  <c r="C263" i="9"/>
  <c r="D263" i="9"/>
  <c r="A264" i="9"/>
  <c r="E264" i="9" s="1"/>
  <c r="B264" i="9"/>
  <c r="C264" i="9"/>
  <c r="D264" i="9"/>
  <c r="A265" i="9"/>
  <c r="E265" i="9" s="1"/>
  <c r="B265" i="9"/>
  <c r="C265" i="9"/>
  <c r="D265" i="9"/>
  <c r="A266" i="9"/>
  <c r="E266" i="9" s="1"/>
  <c r="B266" i="9"/>
  <c r="C266" i="9"/>
  <c r="D266" i="9"/>
  <c r="A267" i="9"/>
  <c r="E267" i="9" s="1"/>
  <c r="B267" i="9"/>
  <c r="C267" i="9"/>
  <c r="D267" i="9"/>
  <c r="A268" i="9"/>
  <c r="E268" i="9" s="1"/>
  <c r="B268" i="9"/>
  <c r="C268" i="9"/>
  <c r="D268" i="9"/>
  <c r="A269" i="9"/>
  <c r="E269" i="9" s="1"/>
  <c r="B269" i="9"/>
  <c r="C269" i="9"/>
  <c r="D269" i="9"/>
  <c r="A270" i="9"/>
  <c r="E270" i="9" s="1"/>
  <c r="B270" i="9"/>
  <c r="C270" i="9"/>
  <c r="D270" i="9"/>
  <c r="A271" i="9"/>
  <c r="E271" i="9" s="1"/>
  <c r="B271" i="9"/>
  <c r="C271" i="9"/>
  <c r="D271" i="9"/>
  <c r="A272" i="9"/>
  <c r="E272" i="9" s="1"/>
  <c r="B272" i="9"/>
  <c r="C272" i="9"/>
  <c r="D272" i="9"/>
  <c r="A273" i="9"/>
  <c r="E273" i="9" s="1"/>
  <c r="B273" i="9"/>
  <c r="C273" i="9"/>
  <c r="D273" i="9"/>
  <c r="A274" i="9"/>
  <c r="E274" i="9" s="1"/>
  <c r="B274" i="9"/>
  <c r="C274" i="9"/>
  <c r="D274" i="9"/>
  <c r="A275" i="9"/>
  <c r="E275" i="9" s="1"/>
  <c r="B275" i="9"/>
  <c r="C275" i="9"/>
  <c r="D275" i="9"/>
  <c r="A276" i="9"/>
  <c r="E276" i="9" s="1"/>
  <c r="B276" i="9"/>
  <c r="C276" i="9"/>
  <c r="D276" i="9"/>
  <c r="A277" i="9"/>
  <c r="E277" i="9" s="1"/>
  <c r="B277" i="9"/>
  <c r="C277" i="9"/>
  <c r="D277" i="9"/>
  <c r="A278" i="9"/>
  <c r="E278" i="9" s="1"/>
  <c r="B278" i="9"/>
  <c r="C278" i="9"/>
  <c r="D278" i="9"/>
  <c r="A279" i="9"/>
  <c r="E279" i="9" s="1"/>
  <c r="B279" i="9"/>
  <c r="C279" i="9"/>
  <c r="D279" i="9"/>
  <c r="A280" i="9"/>
  <c r="E280" i="9" s="1"/>
  <c r="B280" i="9"/>
  <c r="C280" i="9"/>
  <c r="D280" i="9"/>
  <c r="A281" i="9"/>
  <c r="E281" i="9" s="1"/>
  <c r="B281" i="9"/>
  <c r="C281" i="9"/>
  <c r="D281" i="9"/>
  <c r="A282" i="9"/>
  <c r="E282" i="9" s="1"/>
  <c r="B282" i="9"/>
  <c r="C282" i="9"/>
  <c r="D282" i="9"/>
  <c r="A283" i="9"/>
  <c r="E283" i="9" s="1"/>
  <c r="B283" i="9"/>
  <c r="C283" i="9"/>
  <c r="D283" i="9"/>
  <c r="A284" i="9"/>
  <c r="E284" i="9" s="1"/>
  <c r="B284" i="9"/>
  <c r="C284" i="9"/>
  <c r="D284" i="9"/>
  <c r="A285" i="9"/>
  <c r="E285" i="9" s="1"/>
  <c r="B285" i="9"/>
  <c r="C285" i="9"/>
  <c r="D285" i="9"/>
  <c r="A286" i="9"/>
  <c r="E286" i="9" s="1"/>
  <c r="B286" i="9"/>
  <c r="C286" i="9"/>
  <c r="D286" i="9"/>
  <c r="A287" i="9"/>
  <c r="E287" i="9" s="1"/>
  <c r="B287" i="9"/>
  <c r="C287" i="9"/>
  <c r="D287" i="9"/>
  <c r="A288" i="9"/>
  <c r="E288" i="9" s="1"/>
  <c r="B288" i="9"/>
  <c r="C288" i="9"/>
  <c r="D288" i="9"/>
  <c r="A289" i="9"/>
  <c r="E289" i="9" s="1"/>
  <c r="B289" i="9"/>
  <c r="C289" i="9"/>
  <c r="D289" i="9"/>
  <c r="A290" i="9"/>
  <c r="E290" i="9" s="1"/>
  <c r="B290" i="9"/>
  <c r="C290" i="9"/>
  <c r="D290" i="9"/>
  <c r="A291" i="9"/>
  <c r="E291" i="9" s="1"/>
  <c r="B291" i="9"/>
  <c r="C291" i="9"/>
  <c r="D291" i="9"/>
  <c r="A292" i="9"/>
  <c r="E292" i="9" s="1"/>
  <c r="B292" i="9"/>
  <c r="C292" i="9"/>
  <c r="D292" i="9"/>
  <c r="A293" i="9"/>
  <c r="E293" i="9" s="1"/>
  <c r="B293" i="9"/>
  <c r="C293" i="9"/>
  <c r="D293" i="9"/>
  <c r="A294" i="9"/>
  <c r="E294" i="9" s="1"/>
  <c r="B294" i="9"/>
  <c r="C294" i="9"/>
  <c r="D294" i="9"/>
  <c r="A295" i="9"/>
  <c r="E295" i="9" s="1"/>
  <c r="B295" i="9"/>
  <c r="C295" i="9"/>
  <c r="D295" i="9"/>
  <c r="A296" i="9"/>
  <c r="E296" i="9" s="1"/>
  <c r="B296" i="9"/>
  <c r="C296" i="9"/>
  <c r="D296" i="9"/>
  <c r="A297" i="9"/>
  <c r="E297" i="9" s="1"/>
  <c r="B297" i="9"/>
  <c r="C297" i="9"/>
  <c r="D297" i="9"/>
  <c r="A298" i="9"/>
  <c r="E298" i="9" s="1"/>
  <c r="B298" i="9"/>
  <c r="C298" i="9"/>
  <c r="D298" i="9"/>
  <c r="A299" i="9"/>
  <c r="E299" i="9" s="1"/>
  <c r="B299" i="9"/>
  <c r="C299" i="9"/>
  <c r="D299" i="9"/>
  <c r="A300" i="9"/>
  <c r="E300" i="9" s="1"/>
  <c r="B300" i="9"/>
  <c r="C300" i="9"/>
  <c r="D300" i="9"/>
  <c r="A301" i="9"/>
  <c r="E301" i="9" s="1"/>
  <c r="B301" i="9"/>
  <c r="C301" i="9"/>
  <c r="D301" i="9"/>
  <c r="A302" i="9"/>
  <c r="E302" i="9" s="1"/>
  <c r="B302" i="9"/>
  <c r="C302" i="9"/>
  <c r="D302" i="9"/>
  <c r="A303" i="9"/>
  <c r="E303" i="9" s="1"/>
  <c r="B303" i="9"/>
  <c r="C303" i="9"/>
  <c r="D303" i="9"/>
  <c r="A304" i="9"/>
  <c r="E304" i="9" s="1"/>
  <c r="B304" i="9"/>
  <c r="C304" i="9"/>
  <c r="D304" i="9"/>
  <c r="A305" i="9"/>
  <c r="E305" i="9" s="1"/>
  <c r="B305" i="9"/>
  <c r="C305" i="9"/>
  <c r="D305" i="9"/>
  <c r="A306" i="9"/>
  <c r="E306" i="9" s="1"/>
  <c r="B306" i="9"/>
  <c r="C306" i="9"/>
  <c r="D306" i="9"/>
  <c r="A307" i="9"/>
  <c r="E307" i="9" s="1"/>
  <c r="B307" i="9"/>
  <c r="C307" i="9"/>
  <c r="D307" i="9"/>
  <c r="A308" i="9"/>
  <c r="E308" i="9" s="1"/>
  <c r="B308" i="9"/>
  <c r="C308" i="9"/>
  <c r="D308" i="9"/>
  <c r="A309" i="9"/>
  <c r="E309" i="9" s="1"/>
  <c r="B309" i="9"/>
  <c r="C309" i="9"/>
  <c r="D309" i="9"/>
  <c r="A310" i="9"/>
  <c r="E310" i="9" s="1"/>
  <c r="B310" i="9"/>
  <c r="C310" i="9"/>
  <c r="D310" i="9"/>
  <c r="A311" i="9"/>
  <c r="E311" i="9" s="1"/>
  <c r="B311" i="9"/>
  <c r="C311" i="9"/>
  <c r="D311" i="9"/>
  <c r="A312" i="9"/>
  <c r="E312" i="9" s="1"/>
  <c r="B312" i="9"/>
  <c r="C312" i="9"/>
  <c r="D312" i="9"/>
  <c r="A313" i="9"/>
  <c r="E313" i="9" s="1"/>
  <c r="B313" i="9"/>
  <c r="C313" i="9"/>
  <c r="D313" i="9"/>
  <c r="A314" i="9"/>
  <c r="E314" i="9" s="1"/>
  <c r="B314" i="9"/>
  <c r="C314" i="9"/>
  <c r="D314" i="9"/>
  <c r="A315" i="9"/>
  <c r="E315" i="9" s="1"/>
  <c r="B315" i="9"/>
  <c r="C315" i="9"/>
  <c r="D315" i="9"/>
  <c r="A319" i="9"/>
  <c r="B319" i="9"/>
  <c r="C319" i="9"/>
  <c r="D319" i="9"/>
  <c r="E319" i="9"/>
  <c r="A320" i="9"/>
  <c r="B320" i="9"/>
  <c r="C320" i="9"/>
  <c r="D320" i="9"/>
  <c r="E320" i="9"/>
  <c r="A321" i="9"/>
  <c r="B321" i="9"/>
  <c r="C321" i="9"/>
  <c r="D321" i="9"/>
  <c r="E321" i="9"/>
  <c r="A322" i="9"/>
  <c r="B322" i="9"/>
  <c r="C322" i="9"/>
  <c r="D322" i="9"/>
  <c r="E322" i="9"/>
  <c r="A323" i="9"/>
  <c r="B323" i="9"/>
  <c r="C323" i="9"/>
  <c r="D323" i="9"/>
  <c r="E323" i="9"/>
  <c r="A324" i="9"/>
  <c r="B324" i="9"/>
  <c r="C324" i="9"/>
  <c r="D324" i="9"/>
  <c r="E324" i="9"/>
  <c r="A325" i="9"/>
  <c r="B325" i="9"/>
  <c r="C325" i="9"/>
  <c r="D325" i="9"/>
  <c r="E325" i="9"/>
  <c r="A326" i="9"/>
  <c r="B326" i="9"/>
  <c r="C326" i="9"/>
  <c r="D326" i="9"/>
  <c r="E326" i="9"/>
  <c r="A327" i="9"/>
  <c r="B327" i="9"/>
  <c r="C327" i="9"/>
  <c r="D327" i="9"/>
  <c r="E327" i="9"/>
  <c r="A328" i="9"/>
  <c r="B328" i="9"/>
  <c r="C328" i="9"/>
  <c r="D328" i="9"/>
  <c r="E328" i="9"/>
  <c r="A329" i="9"/>
  <c r="B329" i="9"/>
  <c r="C329" i="9"/>
  <c r="D329" i="9"/>
  <c r="E329" i="9"/>
  <c r="A330" i="9"/>
  <c r="B330" i="9"/>
  <c r="C330" i="9"/>
  <c r="D330" i="9"/>
  <c r="E330" i="9"/>
  <c r="A331" i="9"/>
  <c r="B331" i="9"/>
  <c r="C331" i="9"/>
  <c r="D331" i="9"/>
  <c r="E331" i="9"/>
  <c r="A332" i="9"/>
  <c r="B332" i="9"/>
  <c r="C332" i="9"/>
  <c r="D332" i="9"/>
  <c r="E332" i="9"/>
  <c r="A333" i="9"/>
  <c r="B333" i="9"/>
  <c r="C333" i="9"/>
  <c r="D333" i="9"/>
  <c r="E333" i="9"/>
  <c r="A334" i="9"/>
  <c r="B334" i="9"/>
  <c r="C334" i="9"/>
  <c r="D334" i="9"/>
  <c r="E334" i="9"/>
  <c r="A335" i="9"/>
  <c r="B335" i="9"/>
  <c r="C335" i="9"/>
  <c r="D335" i="9"/>
  <c r="E335" i="9"/>
  <c r="A336" i="9"/>
  <c r="B336" i="9"/>
  <c r="C336" i="9"/>
  <c r="D336" i="9"/>
  <c r="E336" i="9"/>
  <c r="A337" i="9"/>
  <c r="B337" i="9"/>
  <c r="C337" i="9"/>
  <c r="D337" i="9"/>
  <c r="E337" i="9"/>
  <c r="A338" i="9"/>
  <c r="B338" i="9"/>
  <c r="C338" i="9"/>
  <c r="D338" i="9"/>
  <c r="E338" i="9"/>
  <c r="A339" i="9"/>
  <c r="B339" i="9"/>
  <c r="C339" i="9"/>
  <c r="D339" i="9"/>
  <c r="E339" i="9"/>
  <c r="A340" i="9"/>
  <c r="B340" i="9"/>
  <c r="C340" i="9"/>
  <c r="D340" i="9"/>
  <c r="E340" i="9"/>
  <c r="A341" i="9"/>
  <c r="B341" i="9"/>
  <c r="C341" i="9"/>
  <c r="D341" i="9"/>
  <c r="E341" i="9"/>
  <c r="A342" i="9"/>
  <c r="B342" i="9"/>
  <c r="C342" i="9"/>
  <c r="D342" i="9"/>
  <c r="E342" i="9"/>
  <c r="A343" i="9"/>
  <c r="B343" i="9"/>
  <c r="C343" i="9"/>
  <c r="D343" i="9"/>
  <c r="E343" i="9"/>
  <c r="A344" i="9"/>
  <c r="B344" i="9"/>
  <c r="C344" i="9"/>
  <c r="D344" i="9"/>
  <c r="E344" i="9"/>
  <c r="A345" i="9"/>
  <c r="B345" i="9"/>
  <c r="C345" i="9"/>
  <c r="D345" i="9"/>
  <c r="E345" i="9"/>
  <c r="A346" i="9"/>
  <c r="B346" i="9"/>
  <c r="C346" i="9"/>
  <c r="D346" i="9"/>
  <c r="E346" i="9"/>
  <c r="A347" i="9"/>
  <c r="B347" i="9"/>
  <c r="C347" i="9"/>
  <c r="D347" i="9"/>
  <c r="E347" i="9"/>
  <c r="A348" i="9"/>
  <c r="B348" i="9"/>
  <c r="C348" i="9"/>
  <c r="D348" i="9"/>
  <c r="E348" i="9"/>
  <c r="A349" i="9"/>
  <c r="B349" i="9"/>
  <c r="C349" i="9"/>
  <c r="D349" i="9"/>
  <c r="E349" i="9"/>
  <c r="A350" i="9"/>
  <c r="B350" i="9"/>
  <c r="C350" i="9"/>
  <c r="D350" i="9"/>
  <c r="E350" i="9"/>
  <c r="A351" i="9"/>
  <c r="B351" i="9"/>
  <c r="C351" i="9"/>
  <c r="D351" i="9"/>
  <c r="E351" i="9"/>
  <c r="A352" i="9"/>
  <c r="B352" i="9"/>
  <c r="C352" i="9"/>
  <c r="D352" i="9"/>
  <c r="E352" i="9"/>
  <c r="A353" i="9"/>
  <c r="B353" i="9"/>
  <c r="C353" i="9"/>
  <c r="D353" i="9"/>
  <c r="E353" i="9"/>
  <c r="A354" i="9"/>
  <c r="B354" i="9"/>
  <c r="C354" i="9"/>
  <c r="D354" i="9"/>
  <c r="E354" i="9"/>
  <c r="A355" i="9"/>
  <c r="B355" i="9"/>
  <c r="C355" i="9"/>
  <c r="D355" i="9"/>
  <c r="E355" i="9"/>
  <c r="A356" i="9"/>
  <c r="B356" i="9"/>
  <c r="C356" i="9"/>
  <c r="D356" i="9"/>
  <c r="E356" i="9"/>
  <c r="A357" i="9"/>
  <c r="B357" i="9"/>
  <c r="C357" i="9"/>
  <c r="D357" i="9"/>
  <c r="E357" i="9"/>
  <c r="A358" i="9"/>
  <c r="B358" i="9"/>
  <c r="C358" i="9"/>
  <c r="D358" i="9"/>
  <c r="E358" i="9"/>
  <c r="A359" i="9"/>
  <c r="B359" i="9"/>
  <c r="C359" i="9"/>
  <c r="D359" i="9"/>
  <c r="E359" i="9"/>
  <c r="A360" i="9"/>
  <c r="B360" i="9"/>
  <c r="C360" i="9"/>
  <c r="D360" i="9"/>
  <c r="E360" i="9"/>
  <c r="A361" i="9"/>
  <c r="B361" i="9"/>
  <c r="C361" i="9"/>
  <c r="D361" i="9"/>
  <c r="E361" i="9"/>
  <c r="A362" i="9"/>
  <c r="B362" i="9"/>
  <c r="C362" i="9"/>
  <c r="D362" i="9"/>
  <c r="E362" i="9"/>
  <c r="A363" i="9"/>
  <c r="B363" i="9"/>
  <c r="C363" i="9"/>
  <c r="D363" i="9"/>
  <c r="E363" i="9"/>
  <c r="A364" i="9"/>
  <c r="B364" i="9"/>
  <c r="C364" i="9"/>
  <c r="D364" i="9"/>
  <c r="E364" i="9"/>
  <c r="A365" i="9"/>
  <c r="B365" i="9"/>
  <c r="C365" i="9"/>
  <c r="D365" i="9"/>
  <c r="E365" i="9"/>
  <c r="A366" i="9"/>
  <c r="B366" i="9"/>
  <c r="C366" i="9"/>
  <c r="D366" i="9"/>
  <c r="E366" i="9"/>
  <c r="A367" i="9"/>
  <c r="B367" i="9"/>
  <c r="C367" i="9"/>
  <c r="D367" i="9"/>
  <c r="E367" i="9"/>
  <c r="A368" i="9"/>
  <c r="B368" i="9"/>
  <c r="C368" i="9"/>
  <c r="D368" i="9"/>
  <c r="E368" i="9"/>
  <c r="A36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E372" i="9"/>
  <c r="A373" i="9"/>
  <c r="B373" i="9"/>
  <c r="C373" i="9"/>
  <c r="D373" i="9"/>
  <c r="E373" i="9"/>
  <c r="A374" i="9"/>
  <c r="B374" i="9"/>
  <c r="C374" i="9"/>
  <c r="D374" i="9"/>
  <c r="E374" i="9"/>
  <c r="A375" i="9"/>
  <c r="B375" i="9"/>
  <c r="C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82" i="9"/>
  <c r="B382" i="9"/>
  <c r="C382" i="9"/>
  <c r="D382" i="9"/>
  <c r="E382" i="9"/>
  <c r="A383" i="9"/>
  <c r="B383" i="9"/>
  <c r="C383" i="9"/>
  <c r="D383" i="9"/>
  <c r="E383" i="9"/>
  <c r="A384" i="9"/>
  <c r="B384" i="9"/>
  <c r="C384" i="9"/>
  <c r="D384" i="9"/>
  <c r="E384" i="9"/>
  <c r="A385" i="9"/>
  <c r="B385" i="9"/>
  <c r="C385" i="9"/>
  <c r="D385" i="9"/>
  <c r="E385" i="9"/>
  <c r="A386" i="9"/>
  <c r="B386" i="9"/>
  <c r="C386" i="9"/>
  <c r="D386" i="9"/>
  <c r="E386" i="9"/>
  <c r="A387" i="9"/>
  <c r="B387" i="9"/>
  <c r="C387" i="9"/>
  <c r="D387" i="9"/>
  <c r="E387" i="9"/>
  <c r="A388" i="9"/>
  <c r="B388" i="9"/>
  <c r="C388" i="9"/>
  <c r="D388" i="9"/>
  <c r="E388" i="9"/>
  <c r="A389" i="9"/>
  <c r="B389" i="9"/>
  <c r="C389" i="9"/>
  <c r="D389" i="9"/>
  <c r="E389" i="9"/>
  <c r="A390" i="9"/>
  <c r="B390" i="9"/>
  <c r="C390" i="9"/>
  <c r="D390" i="9"/>
  <c r="E390" i="9"/>
  <c r="A391" i="9"/>
  <c r="B391" i="9"/>
  <c r="C391" i="9"/>
  <c r="D391" i="9"/>
  <c r="E391" i="9"/>
  <c r="A392" i="9"/>
  <c r="B392" i="9"/>
  <c r="C392" i="9"/>
  <c r="D392" i="9"/>
  <c r="E392" i="9"/>
  <c r="A393" i="9"/>
  <c r="B393" i="9"/>
  <c r="C393" i="9"/>
  <c r="D393" i="9"/>
  <c r="E393" i="9"/>
  <c r="A394" i="9"/>
  <c r="B394" i="9"/>
  <c r="C394" i="9"/>
  <c r="D394" i="9"/>
  <c r="E394" i="9"/>
  <c r="A395" i="9"/>
  <c r="B395" i="9"/>
  <c r="C395" i="9"/>
  <c r="D395" i="9"/>
  <c r="E395" i="9"/>
  <c r="A396" i="9"/>
  <c r="B396" i="9"/>
  <c r="C396" i="9"/>
  <c r="D396" i="9"/>
  <c r="E396" i="9"/>
  <c r="A397" i="9"/>
  <c r="B397" i="9"/>
  <c r="C397" i="9"/>
  <c r="D397" i="9"/>
  <c r="E397" i="9"/>
  <c r="A398" i="9"/>
  <c r="B398" i="9"/>
  <c r="C398" i="9"/>
  <c r="D398" i="9"/>
  <c r="E398" i="9"/>
  <c r="A399" i="9"/>
  <c r="B399" i="9"/>
  <c r="C399" i="9"/>
  <c r="D399" i="9"/>
  <c r="E399" i="9"/>
  <c r="A400" i="9"/>
  <c r="B400" i="9"/>
  <c r="C400" i="9"/>
  <c r="D400" i="9"/>
  <c r="E400" i="9"/>
  <c r="A401" i="9"/>
  <c r="B401" i="9"/>
  <c r="C401" i="9"/>
  <c r="D401" i="9"/>
  <c r="E401" i="9"/>
  <c r="A402" i="9"/>
  <c r="B402" i="9"/>
  <c r="C402" i="9"/>
  <c r="D402" i="9"/>
  <c r="E402" i="9"/>
  <c r="A403" i="9"/>
  <c r="B403" i="9"/>
  <c r="C403" i="9"/>
  <c r="D403" i="9"/>
  <c r="E403" i="9"/>
  <c r="A404" i="9"/>
  <c r="B404" i="9"/>
  <c r="C404" i="9"/>
  <c r="D404" i="9"/>
  <c r="E404" i="9"/>
  <c r="A405" i="9"/>
  <c r="B405" i="9"/>
  <c r="C405" i="9"/>
  <c r="D405" i="9"/>
  <c r="E405" i="9"/>
  <c r="A406" i="9"/>
  <c r="B406" i="9"/>
  <c r="C406" i="9"/>
  <c r="D406" i="9"/>
  <c r="E406" i="9"/>
  <c r="A407" i="9"/>
  <c r="B407" i="9"/>
  <c r="C407" i="9"/>
  <c r="D407" i="9"/>
  <c r="E407" i="9"/>
  <c r="A408" i="9"/>
  <c r="B408" i="9"/>
  <c r="C408" i="9"/>
  <c r="D408" i="9"/>
  <c r="E408" i="9"/>
  <c r="A409" i="9"/>
  <c r="B409" i="9"/>
  <c r="C409" i="9"/>
  <c r="D409" i="9"/>
  <c r="E409" i="9"/>
  <c r="A410" i="9"/>
  <c r="B410" i="9"/>
  <c r="C410" i="9"/>
  <c r="D410" i="9"/>
  <c r="E410" i="9"/>
  <c r="A411" i="9"/>
  <c r="B411" i="9"/>
  <c r="C411" i="9"/>
  <c r="D411" i="9"/>
  <c r="E411" i="9"/>
  <c r="A412" i="9"/>
  <c r="B412" i="9"/>
  <c r="C412" i="9"/>
  <c r="D412" i="9"/>
  <c r="E412" i="9"/>
  <c r="A413" i="9"/>
  <c r="B413" i="9"/>
  <c r="C413" i="9"/>
  <c r="D413" i="9"/>
  <c r="E413" i="9"/>
  <c r="A414" i="9"/>
  <c r="B414" i="9"/>
  <c r="C414" i="9"/>
  <c r="D414" i="9"/>
  <c r="E414" i="9"/>
  <c r="A415" i="9"/>
  <c r="B415" i="9"/>
  <c r="C415" i="9"/>
  <c r="D415" i="9"/>
  <c r="E415" i="9"/>
  <c r="A416" i="9"/>
  <c r="B416" i="9"/>
  <c r="C416" i="9"/>
  <c r="D416" i="9"/>
  <c r="E416" i="9"/>
  <c r="A417" i="9"/>
  <c r="B417" i="9"/>
  <c r="C417" i="9"/>
  <c r="D417" i="9"/>
  <c r="E417" i="9"/>
  <c r="A418" i="9"/>
  <c r="B418" i="9"/>
  <c r="C418" i="9"/>
  <c r="D418" i="9"/>
  <c r="E418" i="9"/>
  <c r="A419" i="9"/>
  <c r="B419" i="9"/>
  <c r="C419" i="9"/>
  <c r="D419" i="9"/>
  <c r="E419" i="9"/>
  <c r="A420" i="9"/>
  <c r="B420" i="9"/>
  <c r="C420" i="9"/>
  <c r="D420" i="9"/>
  <c r="E420" i="9"/>
  <c r="A421" i="9"/>
  <c r="B421" i="9"/>
  <c r="C421" i="9"/>
  <c r="D421" i="9"/>
  <c r="E421" i="9"/>
  <c r="A422" i="9"/>
  <c r="B422" i="9"/>
  <c r="C422" i="9"/>
  <c r="D422" i="9"/>
  <c r="E422" i="9"/>
  <c r="A423" i="9"/>
  <c r="B423" i="9"/>
  <c r="C423" i="9"/>
  <c r="D423" i="9"/>
  <c r="E423" i="9"/>
  <c r="A424" i="9"/>
  <c r="B424" i="9"/>
  <c r="C424" i="9"/>
  <c r="D424" i="9"/>
  <c r="E424" i="9"/>
  <c r="A425" i="9"/>
  <c r="B425" i="9"/>
  <c r="C425" i="9"/>
  <c r="D425" i="9"/>
  <c r="E425" i="9"/>
  <c r="A426" i="9"/>
  <c r="B426" i="9"/>
  <c r="C426" i="9"/>
  <c r="D426" i="9"/>
  <c r="E426" i="9"/>
  <c r="A427" i="9"/>
  <c r="B427" i="9"/>
  <c r="C427" i="9"/>
  <c r="D427" i="9"/>
  <c r="E427" i="9"/>
  <c r="A428" i="9"/>
  <c r="B428" i="9"/>
  <c r="C428" i="9"/>
  <c r="D428" i="9"/>
  <c r="E428" i="9"/>
  <c r="A429" i="9"/>
  <c r="B429" i="9"/>
  <c r="C429" i="9"/>
  <c r="D429" i="9"/>
  <c r="E429" i="9"/>
  <c r="A430" i="9"/>
  <c r="B430" i="9"/>
  <c r="C430" i="9"/>
  <c r="D430" i="9"/>
  <c r="E430" i="9"/>
  <c r="A431" i="9"/>
  <c r="B431" i="9"/>
  <c r="C431" i="9"/>
  <c r="D431" i="9"/>
  <c r="E431" i="9"/>
  <c r="A432" i="9"/>
  <c r="B432" i="9"/>
  <c r="C432" i="9"/>
  <c r="D432" i="9"/>
  <c r="E432" i="9"/>
  <c r="A433" i="9"/>
  <c r="B433" i="9"/>
  <c r="C433" i="9"/>
  <c r="D433" i="9"/>
  <c r="E433" i="9"/>
  <c r="A434" i="9"/>
  <c r="B434" i="9"/>
  <c r="C434" i="9"/>
  <c r="D434" i="9"/>
  <c r="E434" i="9"/>
  <c r="A435" i="9"/>
  <c r="B435" i="9"/>
  <c r="C435" i="9"/>
  <c r="D435" i="9"/>
  <c r="E435" i="9"/>
  <c r="A436" i="9"/>
  <c r="B436" i="9"/>
  <c r="C436" i="9"/>
  <c r="D436" i="9"/>
  <c r="E436" i="9"/>
  <c r="A437" i="9"/>
  <c r="B437" i="9"/>
  <c r="C437" i="9"/>
  <c r="D437" i="9"/>
  <c r="E437" i="9"/>
  <c r="A438" i="9"/>
  <c r="B438" i="9"/>
  <c r="C438" i="9"/>
  <c r="D438" i="9"/>
  <c r="E438" i="9"/>
  <c r="A439" i="9"/>
  <c r="B439" i="9"/>
  <c r="C439" i="9"/>
  <c r="D439" i="9"/>
  <c r="E439" i="9"/>
  <c r="A440" i="9"/>
  <c r="B440" i="9"/>
  <c r="C440" i="9"/>
  <c r="D440" i="9"/>
  <c r="E440" i="9"/>
  <c r="A441" i="9"/>
  <c r="B441" i="9"/>
  <c r="C441" i="9"/>
  <c r="D441" i="9"/>
  <c r="E441" i="9"/>
  <c r="A445" i="9"/>
  <c r="B445" i="9"/>
  <c r="C445" i="9"/>
  <c r="D445" i="9"/>
  <c r="E445" i="9"/>
  <c r="A446" i="9"/>
  <c r="B446" i="9"/>
  <c r="C446" i="9"/>
  <c r="D446" i="9"/>
  <c r="E446" i="9"/>
  <c r="A447" i="9"/>
  <c r="B447" i="9"/>
  <c r="C447" i="9"/>
  <c r="D447" i="9"/>
  <c r="E447" i="9"/>
  <c r="A448" i="9"/>
  <c r="B448" i="9"/>
  <c r="C448" i="9"/>
  <c r="D448" i="9"/>
  <c r="E448" i="9"/>
  <c r="A449" i="9"/>
  <c r="B449" i="9"/>
  <c r="C449" i="9"/>
  <c r="D449" i="9"/>
  <c r="E449" i="9"/>
  <c r="A450" i="9"/>
  <c r="B450" i="9"/>
  <c r="C450" i="9"/>
  <c r="D450" i="9"/>
  <c r="E450" i="9"/>
  <c r="A451" i="9"/>
  <c r="B451" i="9"/>
  <c r="C451" i="9"/>
  <c r="D451" i="9"/>
  <c r="E451" i="9"/>
  <c r="A452" i="9"/>
  <c r="B452" i="9"/>
  <c r="C452" i="9"/>
  <c r="D452" i="9"/>
  <c r="E452" i="9"/>
  <c r="A453" i="9"/>
  <c r="B453" i="9"/>
  <c r="C453" i="9"/>
  <c r="D453" i="9"/>
  <c r="E453" i="9"/>
  <c r="A454" i="9"/>
  <c r="B454" i="9"/>
  <c r="C454" i="9"/>
  <c r="D454" i="9"/>
  <c r="E454" i="9"/>
  <c r="A455" i="9"/>
  <c r="B455" i="9"/>
  <c r="C455" i="9"/>
  <c r="D455" i="9"/>
  <c r="E455" i="9"/>
  <c r="A456" i="9"/>
  <c r="B456" i="9"/>
  <c r="C456" i="9"/>
  <c r="D456" i="9"/>
  <c r="E456" i="9"/>
  <c r="A457" i="9"/>
  <c r="B457" i="9"/>
  <c r="C457" i="9"/>
  <c r="D457" i="9"/>
  <c r="E457" i="9"/>
  <c r="A458" i="9"/>
  <c r="B458" i="9"/>
  <c r="C458" i="9"/>
  <c r="D458" i="9"/>
  <c r="E458" i="9"/>
  <c r="A459" i="9"/>
  <c r="B459" i="9"/>
  <c r="C459" i="9"/>
  <c r="D459" i="9"/>
  <c r="E459" i="9"/>
  <c r="A460" i="9"/>
  <c r="B460" i="9"/>
  <c r="C460" i="9"/>
  <c r="D460" i="9"/>
  <c r="E460" i="9"/>
  <c r="A461" i="9"/>
  <c r="B461" i="9"/>
  <c r="C461" i="9"/>
  <c r="D461" i="9"/>
  <c r="E461" i="9"/>
  <c r="A462" i="9"/>
  <c r="B462" i="9"/>
  <c r="C462" i="9"/>
  <c r="D462" i="9"/>
  <c r="E462" i="9"/>
  <c r="A463" i="9"/>
  <c r="B463" i="9"/>
  <c r="C463" i="9"/>
  <c r="D463" i="9"/>
  <c r="E463" i="9"/>
  <c r="A464" i="9"/>
  <c r="B464" i="9"/>
  <c r="C464" i="9"/>
  <c r="D464" i="9"/>
  <c r="E464" i="9"/>
  <c r="A465" i="9"/>
  <c r="B465" i="9"/>
  <c r="C465" i="9"/>
  <c r="D465" i="9"/>
  <c r="E465" i="9"/>
  <c r="A466" i="9"/>
  <c r="B466" i="9"/>
  <c r="C466" i="9"/>
  <c r="D466" i="9"/>
  <c r="E466" i="9"/>
  <c r="A467" i="9"/>
  <c r="B467" i="9"/>
  <c r="C467" i="9"/>
  <c r="D467" i="9"/>
  <c r="E467" i="9"/>
  <c r="A468" i="9"/>
  <c r="B468" i="9"/>
  <c r="C468" i="9"/>
  <c r="D468" i="9"/>
  <c r="E468" i="9"/>
  <c r="A469" i="9"/>
  <c r="B469" i="9"/>
  <c r="C469" i="9"/>
  <c r="D469" i="9"/>
  <c r="E469" i="9"/>
  <c r="A470" i="9"/>
  <c r="B470" i="9"/>
  <c r="C470" i="9"/>
  <c r="D470" i="9"/>
  <c r="E470" i="9"/>
  <c r="A471" i="9"/>
  <c r="B471" i="9"/>
  <c r="C471" i="9"/>
  <c r="D471" i="9"/>
  <c r="E471" i="9"/>
  <c r="A472" i="9"/>
  <c r="B472" i="9"/>
  <c r="C472" i="9"/>
  <c r="D472" i="9"/>
  <c r="E472" i="9"/>
  <c r="A473" i="9"/>
  <c r="B473" i="9"/>
  <c r="C473" i="9"/>
  <c r="D473" i="9"/>
  <c r="E473" i="9"/>
  <c r="A474" i="9"/>
  <c r="B474" i="9"/>
  <c r="C474" i="9"/>
  <c r="D474" i="9"/>
  <c r="E474" i="9"/>
  <c r="A475" i="9"/>
  <c r="B475" i="9"/>
  <c r="C475" i="9"/>
  <c r="D475" i="9"/>
  <c r="E475" i="9"/>
  <c r="A476" i="9"/>
  <c r="B476" i="9"/>
  <c r="C476" i="9"/>
  <c r="D476" i="9"/>
  <c r="E476" i="9"/>
  <c r="A477" i="9"/>
  <c r="B477" i="9"/>
  <c r="C477" i="9"/>
  <c r="D477" i="9"/>
  <c r="E477" i="9"/>
  <c r="A478" i="9"/>
  <c r="B478" i="9"/>
  <c r="C478" i="9"/>
  <c r="D478" i="9"/>
  <c r="E478" i="9"/>
  <c r="A479" i="9"/>
  <c r="B479" i="9"/>
  <c r="C479" i="9"/>
  <c r="D479" i="9"/>
  <c r="E479" i="9"/>
  <c r="A480" i="9"/>
  <c r="B480" i="9"/>
  <c r="C480" i="9"/>
  <c r="D480" i="9"/>
  <c r="E480" i="9"/>
  <c r="A481" i="9"/>
  <c r="B481" i="9"/>
  <c r="C481" i="9"/>
  <c r="D481" i="9"/>
  <c r="E481" i="9"/>
  <c r="A482" i="9"/>
  <c r="B482" i="9"/>
  <c r="C482" i="9"/>
  <c r="D482" i="9"/>
  <c r="E482" i="9"/>
  <c r="A483" i="9"/>
  <c r="B483" i="9"/>
  <c r="C483" i="9"/>
  <c r="D483" i="9"/>
  <c r="E483" i="9"/>
  <c r="A484" i="9"/>
  <c r="B484" i="9"/>
  <c r="C484" i="9"/>
  <c r="D484" i="9"/>
  <c r="E484" i="9"/>
  <c r="A485" i="9"/>
  <c r="B485" i="9"/>
  <c r="C485" i="9"/>
  <c r="D485" i="9"/>
  <c r="E485" i="9"/>
  <c r="A486" i="9"/>
  <c r="B486" i="9"/>
  <c r="C486" i="9"/>
  <c r="D486" i="9"/>
  <c r="E486" i="9"/>
  <c r="A487" i="9"/>
  <c r="B487" i="9"/>
  <c r="C487" i="9"/>
  <c r="D487" i="9"/>
  <c r="E487" i="9"/>
  <c r="A488" i="9"/>
  <c r="B488" i="9"/>
  <c r="C488" i="9"/>
  <c r="D488" i="9"/>
  <c r="E488" i="9"/>
  <c r="A489" i="9"/>
  <c r="B489" i="9"/>
  <c r="C489" i="9"/>
  <c r="D489" i="9"/>
  <c r="E489" i="9"/>
  <c r="A490" i="9"/>
  <c r="B490" i="9"/>
  <c r="C490" i="9"/>
  <c r="D490" i="9"/>
  <c r="E490" i="9"/>
  <c r="A491" i="9"/>
  <c r="B491" i="9"/>
  <c r="C491" i="9"/>
  <c r="D491" i="9"/>
  <c r="E491" i="9"/>
  <c r="A492" i="9"/>
  <c r="B492" i="9"/>
  <c r="C492" i="9"/>
  <c r="D492" i="9"/>
  <c r="E492" i="9"/>
  <c r="A493" i="9"/>
  <c r="B493" i="9"/>
  <c r="C493" i="9"/>
  <c r="D493" i="9"/>
  <c r="E493" i="9"/>
  <c r="A494" i="9"/>
  <c r="B494" i="9"/>
  <c r="C494" i="9"/>
  <c r="D494" i="9"/>
  <c r="E494" i="9"/>
  <c r="A495" i="9"/>
  <c r="B495" i="9"/>
  <c r="C495" i="9"/>
  <c r="D495" i="9"/>
  <c r="E495" i="9"/>
  <c r="A496" i="9"/>
  <c r="B496" i="9"/>
  <c r="C496" i="9"/>
  <c r="D496" i="9"/>
  <c r="E496" i="9"/>
  <c r="A497" i="9"/>
  <c r="B497" i="9"/>
  <c r="C497" i="9"/>
  <c r="D497" i="9"/>
  <c r="E497" i="9"/>
  <c r="A498" i="9"/>
  <c r="B498" i="9"/>
  <c r="C498" i="9"/>
  <c r="D498" i="9"/>
  <c r="E498" i="9"/>
  <c r="A499" i="9"/>
  <c r="B499" i="9"/>
  <c r="C499" i="9"/>
  <c r="D499" i="9"/>
  <c r="E499" i="9"/>
  <c r="A500" i="9"/>
  <c r="B500" i="9"/>
  <c r="C500" i="9"/>
  <c r="D500" i="9"/>
  <c r="E500" i="9"/>
  <c r="A501" i="9"/>
  <c r="B501" i="9"/>
  <c r="C501" i="9"/>
  <c r="D501" i="9"/>
  <c r="E501" i="9"/>
  <c r="A502" i="9"/>
  <c r="B502" i="9"/>
  <c r="C502" i="9"/>
  <c r="D502" i="9"/>
  <c r="E502" i="9"/>
  <c r="A503" i="9"/>
  <c r="B503" i="9"/>
  <c r="C503" i="9"/>
  <c r="D503" i="9"/>
  <c r="E503" i="9"/>
  <c r="A504" i="9"/>
  <c r="B504" i="9"/>
  <c r="C504" i="9"/>
  <c r="D504" i="9"/>
  <c r="E504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<sst xmlns="http://schemas.openxmlformats.org/spreadsheetml/2006/main" count="3384" uniqueCount="1160">
  <si>
    <t>Catalogue (les colonnes C à J sont des colonnes techniques masquées, utilisées par les formules)</t>
  </si>
  <si>
    <t>Famille</t>
  </si>
  <si>
    <t>Finition</t>
  </si>
  <si>
    <t>DN1</t>
  </si>
  <si>
    <t>DN2</t>
  </si>
  <si>
    <t>Sous-type</t>
  </si>
  <si>
    <t>Temperature</t>
  </si>
  <si>
    <t>K</t>
  </si>
  <si>
    <t>Reponse</t>
  </si>
  <si>
    <t>Fournisseur</t>
  </si>
  <si>
    <t>1ère occ. fournisseur</t>
  </si>
  <si>
    <t>TUBESLGA040</t>
  </si>
  <si>
    <t>TUBE GALVA EN 10255 SL DN40X2.9</t>
  </si>
  <si>
    <t>TUBE</t>
  </si>
  <si>
    <t>GALVA</t>
  </si>
  <si>
    <t>SL</t>
  </si>
  <si>
    <t>TCRI / ATELIER</t>
  </si>
  <si>
    <t>TUBESLGA050</t>
  </si>
  <si>
    <t>TUBE GALVA EN 10255 SL DN50X3.2</t>
  </si>
  <si>
    <t>TUBESLGA065</t>
  </si>
  <si>
    <t>TUBE GALVA EN 10255 SL DN65X3.2</t>
  </si>
  <si>
    <t>TUBESLGA080</t>
  </si>
  <si>
    <t>TUBE GALVA EN 10255 SL DN80X3.2</t>
  </si>
  <si>
    <t>TUBETSSGA025</t>
  </si>
  <si>
    <t>TUBE GALVA EN 10255 TSS DN 25X3.2</t>
  </si>
  <si>
    <t>TUBETSSGA032</t>
  </si>
  <si>
    <t>TUBE GALVA EN 10255 TSS DN 32X3.2</t>
  </si>
  <si>
    <t>TUBETSSGA040</t>
  </si>
  <si>
    <t>TUBE GALVA EN 10255 TSS DN 40X3.2</t>
  </si>
  <si>
    <t>TSS</t>
  </si>
  <si>
    <t>TUBETSSGA050</t>
  </si>
  <si>
    <t>TUBE GALVA EN 10255 TSS DN 50X3.6</t>
  </si>
  <si>
    <t>TUBETSSNO025</t>
  </si>
  <si>
    <t>TUBE NOIR EN 10255 TSS DN 25X3.2</t>
  </si>
  <si>
    <t>NOIR</t>
  </si>
  <si>
    <t>TUBETSSNO032</t>
  </si>
  <si>
    <t>TUBE NOIR EN 10255 TSS DN 32X3.2</t>
  </si>
  <si>
    <t>TUBETSSNO040</t>
  </si>
  <si>
    <t>TUBE NOIR EN 10255 TSS DN 40X3.2</t>
  </si>
  <si>
    <t>TUBETSSNO050</t>
  </si>
  <si>
    <t>TUBE NOIR EN 10255 TSS DN 50X3.6</t>
  </si>
  <si>
    <t>TUBESLGA100</t>
  </si>
  <si>
    <t>TUBE GALVA EN 10255 SL DN100X3.6</t>
  </si>
  <si>
    <t>TUBESLGA125</t>
  </si>
  <si>
    <t>TUBE GALVA EN 10217 SL DN125X3.6</t>
  </si>
  <si>
    <t>TUBESLGA150</t>
  </si>
  <si>
    <t>TUBE GALVA EN 10217 SL DN150 X 4.5</t>
  </si>
  <si>
    <t>TUBE10217NO065</t>
  </si>
  <si>
    <t>TUBE NOIR EN 10217 DN 65X2.6</t>
  </si>
  <si>
    <t>TUBE10217NO080</t>
  </si>
  <si>
    <t>TUBE NOIR EN 10217 DN 80X2.9</t>
  </si>
  <si>
    <t>TUBE10217NO100</t>
  </si>
  <si>
    <t>TUBE NOIR EN 10217 DN 100X3.2</t>
  </si>
  <si>
    <t>TUBE10217NO125</t>
  </si>
  <si>
    <t>TUBE NOIR EN 10217 DN 125X3.6</t>
  </si>
  <si>
    <t>TUBE10217NO150</t>
  </si>
  <si>
    <t>TUBE NOIR EN 10217 DN 150X4</t>
  </si>
  <si>
    <t>COURA90GA032</t>
  </si>
  <si>
    <t>COUDE 90° RAINURE GALVA DN32</t>
  </si>
  <si>
    <t>COUDE90</t>
  </si>
  <si>
    <t>PICON / PACK</t>
  </si>
  <si>
    <t>COURA90GA040</t>
  </si>
  <si>
    <t>COUDE 90° RAINURE GALVA DN40</t>
  </si>
  <si>
    <t>COURA90GA050</t>
  </si>
  <si>
    <t>COUDE 90° RAINURE GALVA DN50</t>
  </si>
  <si>
    <t>COURA90GA065</t>
  </si>
  <si>
    <t>COUDE 90° RAINURE GALVA DN65</t>
  </si>
  <si>
    <t>COURA90GA080</t>
  </si>
  <si>
    <t>COUDE 90° RAINURE GALVA DN80</t>
  </si>
  <si>
    <t>COURA90GA100</t>
  </si>
  <si>
    <t>COUDE 90° RAINURE GALVA DN100</t>
  </si>
  <si>
    <t>COURA90GA125</t>
  </si>
  <si>
    <t>COUDE 90° RAINURE GALVA DN125</t>
  </si>
  <si>
    <t>COURA90GA150</t>
  </si>
  <si>
    <t>COUDE 90° RAINURE GALVA DN150</t>
  </si>
  <si>
    <t>COURA90RO032</t>
  </si>
  <si>
    <t>COUDE 90° RAINURE ROUGE DN32</t>
  </si>
  <si>
    <t>ROUGE</t>
  </si>
  <si>
    <t>COURA90RO040</t>
  </si>
  <si>
    <t>COUDE 90° RAINURE ROUGE DN40</t>
  </si>
  <si>
    <t>COURA90RO050</t>
  </si>
  <si>
    <t>COUDE 90° RAINURE ROUGE DN50</t>
  </si>
  <si>
    <t>COURA90RO065</t>
  </si>
  <si>
    <t>COUDE 90° RAINURE ROUGE DN65</t>
  </si>
  <si>
    <t>COURA90RO080</t>
  </si>
  <si>
    <t>COUDE 90° RAINURE ROUGE DN80</t>
  </si>
  <si>
    <t>COURA90RO100</t>
  </si>
  <si>
    <t>COUDE 90° RAINURE ROUGE DN100</t>
  </si>
  <si>
    <t>COURA90RO125</t>
  </si>
  <si>
    <t>COUDE 90° RAINURE ROUGE DN125</t>
  </si>
  <si>
    <t>COURA90RO150</t>
  </si>
  <si>
    <t>COUDE 90° RAINURE ROUGE DN150</t>
  </si>
  <si>
    <t>COURA90BL032</t>
  </si>
  <si>
    <t>COUDE 90° RAINURE BLANC DN 32</t>
  </si>
  <si>
    <t>BLANC</t>
  </si>
  <si>
    <t>COURA90BL040</t>
  </si>
  <si>
    <t>COUDE 90° RAINURE BLANC DN 40</t>
  </si>
  <si>
    <t>COURA90BL050</t>
  </si>
  <si>
    <t>COUDE 90° RAINURE BLANC DN 50</t>
  </si>
  <si>
    <t>COURA90BL065</t>
  </si>
  <si>
    <t>COUDE 90° RAINURE BLANC DN 65</t>
  </si>
  <si>
    <t>COURA90BL080</t>
  </si>
  <si>
    <t>COUDE 90° RAINURE BLANC DN 80</t>
  </si>
  <si>
    <t>COURA90BL100</t>
  </si>
  <si>
    <t>COUDE 90° RAINURE BLANC DN100</t>
  </si>
  <si>
    <t>COURA90BL125</t>
  </si>
  <si>
    <t>COUDE 90° RAINURE BLANC DN125</t>
  </si>
  <si>
    <t>COURA90BL150</t>
  </si>
  <si>
    <t>COUDE 90° RAINURE BLANC DN150</t>
  </si>
  <si>
    <t>TESEGRAGA032</t>
  </si>
  <si>
    <t>TES RAINURE GALVA DN32</t>
  </si>
  <si>
    <t>TES</t>
  </si>
  <si>
    <t>RAINURE</t>
  </si>
  <si>
    <t>TESEGRAGA040</t>
  </si>
  <si>
    <t>TES RAINURE GALVA DN40</t>
  </si>
  <si>
    <t>TESEGRAGA050</t>
  </si>
  <si>
    <t>TES RAINURE GALVA DN50</t>
  </si>
  <si>
    <t>TESEGRAGA065</t>
  </si>
  <si>
    <t>TES RAINURE GALVA DN65</t>
  </si>
  <si>
    <t>TESEGRAGA080</t>
  </si>
  <si>
    <t>TES RAINURE GALVA DN80</t>
  </si>
  <si>
    <t>TESEGRAGA100</t>
  </si>
  <si>
    <t>TES RAINURE GALVA DN100</t>
  </si>
  <si>
    <t>TESEGRAGA125</t>
  </si>
  <si>
    <t>TES RAINURE GALVA DN125</t>
  </si>
  <si>
    <t>TESEGRAGA150</t>
  </si>
  <si>
    <t>TES RAINURE GALVA DN150</t>
  </si>
  <si>
    <t>TESEGRARO032</t>
  </si>
  <si>
    <t>TES RAINURE ROUGE DN32</t>
  </si>
  <si>
    <t>TESEGRARO040</t>
  </si>
  <si>
    <t>TES RAINURE ROUGE DN40</t>
  </si>
  <si>
    <t>TESEGRARO050</t>
  </si>
  <si>
    <t>TES RAINURE ROUGE DN50</t>
  </si>
  <si>
    <t>TESEGRARO065</t>
  </si>
  <si>
    <t>TES RAINURE ROUGE DN65</t>
  </si>
  <si>
    <t>TESEGRARO080</t>
  </si>
  <si>
    <t>TES RAINURE ROUGE DN80</t>
  </si>
  <si>
    <t>TESEGRARO100</t>
  </si>
  <si>
    <t>TES RAINURE ROUGE DN100</t>
  </si>
  <si>
    <t>TESEGRARO108</t>
  </si>
  <si>
    <t>TES RAINURE ROUGE DN108</t>
  </si>
  <si>
    <t>TESEGRARO125</t>
  </si>
  <si>
    <t>TES RAINURE ROUGE DN125</t>
  </si>
  <si>
    <t>TESEGRARO150</t>
  </si>
  <si>
    <t>TES RAINURE ROUGE DN150</t>
  </si>
  <si>
    <t>TESEGRABL032</t>
  </si>
  <si>
    <t>TES RAINURE BLANC DN32</t>
  </si>
  <si>
    <t>TESEGRABL040</t>
  </si>
  <si>
    <t>TES RAINURE BLANC DN40</t>
  </si>
  <si>
    <t>TESEGRABL050</t>
  </si>
  <si>
    <t>TES RAINURE BLANC DN50</t>
  </si>
  <si>
    <t>TESEGRABL065</t>
  </si>
  <si>
    <t>TES RAINURE BLANC DN65</t>
  </si>
  <si>
    <t>TESEGRABL080</t>
  </si>
  <si>
    <t>TES RAINURE BLANC DN80</t>
  </si>
  <si>
    <t>TESEGRABL100</t>
  </si>
  <si>
    <t>TES RAINURE BLANC DN100</t>
  </si>
  <si>
    <t>TESEGRABL125</t>
  </si>
  <si>
    <t>TES RAINURE BLANC DN125</t>
  </si>
  <si>
    <t>TESEGRABL150</t>
  </si>
  <si>
    <t>TES RAINURE BLANC DN150</t>
  </si>
  <si>
    <t>RACCORAGA032</t>
  </si>
  <si>
    <t>RACCORD RAINURE GALVA DN32</t>
  </si>
  <si>
    <t>RACCORD</t>
  </si>
  <si>
    <t>RACCORAGA040</t>
  </si>
  <si>
    <t>RACCORD RAINURE GALVA DN40</t>
  </si>
  <si>
    <t>RACCORAGA050</t>
  </si>
  <si>
    <t>RACCORD RAINURE GALVA DN50</t>
  </si>
  <si>
    <t>RACCORAGA065</t>
  </si>
  <si>
    <t>RACCORD RAINURE GALVA DN65</t>
  </si>
  <si>
    <t>RACCORAGA080</t>
  </si>
  <si>
    <t>RACCORD RAINURE GALVA DN80</t>
  </si>
  <si>
    <t>RACCORAGA100</t>
  </si>
  <si>
    <t>RACCORD RAINURE GALVA DN100</t>
  </si>
  <si>
    <t>RACCORAGA125</t>
  </si>
  <si>
    <t>RACCORD RAINURE GALVA DN125</t>
  </si>
  <si>
    <t>RACCORAGA150</t>
  </si>
  <si>
    <t>RACCORD RAINURE GALVA DN150</t>
  </si>
  <si>
    <t>RACCORABL032</t>
  </si>
  <si>
    <t>RACCORD RAINURE BLANC DN32</t>
  </si>
  <si>
    <t>RACCORABL040</t>
  </si>
  <si>
    <t>RACCORD RAINURE BLANC DN40</t>
  </si>
  <si>
    <t>RACCORABL050</t>
  </si>
  <si>
    <t>RACCORD RAINURE BLANC DN50</t>
  </si>
  <si>
    <t>RACCORABL065</t>
  </si>
  <si>
    <t>RACCORD RAINURE BLANC DN65</t>
  </si>
  <si>
    <t>RACCORABL080</t>
  </si>
  <si>
    <t>RACCORD RAINURE BLANC DN80</t>
  </si>
  <si>
    <t>RACCORABL100</t>
  </si>
  <si>
    <t>RACCORD RAINURE BLANC DN100</t>
  </si>
  <si>
    <t>RACCORABL125</t>
  </si>
  <si>
    <t>RACCORD RAINURE BLANC DN125</t>
  </si>
  <si>
    <t>RACCORABL150</t>
  </si>
  <si>
    <t>RACCORD RAINURE BLANC DN150</t>
  </si>
  <si>
    <t>RACCORARO032</t>
  </si>
  <si>
    <t>RACCORD RAINURE ROUGE DN32</t>
  </si>
  <si>
    <t>RACCORARO040</t>
  </si>
  <si>
    <t>RACCORD RAINURE ROUGE DN40</t>
  </si>
  <si>
    <t>RACCORARO050</t>
  </si>
  <si>
    <t>RACCORD RAINURE ROUGE DN50</t>
  </si>
  <si>
    <t>RACCORARO065</t>
  </si>
  <si>
    <t>RACCORD RAINURE ROUGE DN65</t>
  </si>
  <si>
    <t>RACCORARO080</t>
  </si>
  <si>
    <t>RACCORD RAINURE ROUGE DN80</t>
  </si>
  <si>
    <t>RACCORARO100</t>
  </si>
  <si>
    <t>RACCORD RAINURE ROUGE DN100</t>
  </si>
  <si>
    <t>RACCORARO125</t>
  </si>
  <si>
    <t>RACCORD RAINURE ROUGE DN125</t>
  </si>
  <si>
    <t>RACCORARO150</t>
  </si>
  <si>
    <t>RACCORD RAINURE ROUGE DN150</t>
  </si>
  <si>
    <t>CPCRAGA05032</t>
  </si>
  <si>
    <t>COLLIER PRISE EN CHARGE RA GA DN50X32</t>
  </si>
  <si>
    <t>CPC</t>
  </si>
  <si>
    <t>CPCRAGA05040</t>
  </si>
  <si>
    <t>COLLIER PRISE EN CHARGE RA GA DN50X40</t>
  </si>
  <si>
    <t>CPCRAGA06525</t>
  </si>
  <si>
    <t>COLLIER PRISE EN CHARGE RA GA DN65X25</t>
  </si>
  <si>
    <t>CPCRAGA06532</t>
  </si>
  <si>
    <t>COLLIER PRISE EN CHARGE RA GA DN65X32</t>
  </si>
  <si>
    <t>CPCRAGA06540</t>
  </si>
  <si>
    <t>COLLIER PRISE EN CHARGE RA GA DN65X40</t>
  </si>
  <si>
    <t>CPCRAGA06550</t>
  </si>
  <si>
    <t>COLLIER PRISE EN CHARGE RA GA DN65X50</t>
  </si>
  <si>
    <t>CPCRAGA08032</t>
  </si>
  <si>
    <t>COLLIER PRISE EN CHARGE RA GA DN80X32</t>
  </si>
  <si>
    <t>CPCRAGA08040</t>
  </si>
  <si>
    <t>COLLIER PRISE EN CHARGE RA GA DN80X40</t>
  </si>
  <si>
    <t>CPCRAGA08050</t>
  </si>
  <si>
    <t>COLLIER PRISE EN CHARGE RA GA DN80X50</t>
  </si>
  <si>
    <t>CPCRAGA08065</t>
  </si>
  <si>
    <t>COLLIER PRISE EN CHARGE RA GA DN80X65</t>
  </si>
  <si>
    <t>CPCRAGA10032</t>
  </si>
  <si>
    <t>COLLIER PRISE EN CHARGE RA GA DN100X32</t>
  </si>
  <si>
    <t>CPCRAGA10040</t>
  </si>
  <si>
    <t>COLLIER PRISE EN CHARGE RA GA DN100X40</t>
  </si>
  <si>
    <t>CPCRAGA10050</t>
  </si>
  <si>
    <t>COLLIER PRISE EN CHARGE RA GA DN100X50</t>
  </si>
  <si>
    <t>CPCRAGA10065</t>
  </si>
  <si>
    <t>COLLIER PRISE EN CHARGE RA GA DN100X65</t>
  </si>
  <si>
    <t>CPCRAGA10080</t>
  </si>
  <si>
    <t>COLLIER PRISE EN CHARGE RA GA DN100X80</t>
  </si>
  <si>
    <t>CPCRAGA12532</t>
  </si>
  <si>
    <t>COLLIER PRISE EN CHARGE RA GA DN125X32</t>
  </si>
  <si>
    <t>CPCRAGA12540</t>
  </si>
  <si>
    <t>COLLIER PRISE EN CHARGE RA GA DN125X40</t>
  </si>
  <si>
    <t>CPCRAGA12550</t>
  </si>
  <si>
    <t>COLLIER PRISE EN CHARGE RA GA DN125X50</t>
  </si>
  <si>
    <t>CPCRAGA12565</t>
  </si>
  <si>
    <t>COLLIER PRISE EN CHARGE RA GA DN125X65</t>
  </si>
  <si>
    <t>CPCRAGA12580</t>
  </si>
  <si>
    <t>COLLIER PRISE EN CHARGE RA GA DN125X80</t>
  </si>
  <si>
    <t>CPCRAGA150032</t>
  </si>
  <si>
    <t>COLLIER PRISE EN CHARGE RA GA DN150X32</t>
  </si>
  <si>
    <t>CPCRAGA150040</t>
  </si>
  <si>
    <t>COLLIER PRISE EN CHARGE RA GA DN150X40</t>
  </si>
  <si>
    <t>CPCRAGA150050</t>
  </si>
  <si>
    <t>COLLIER PRISE EN CHARGE RA GA DN150X50</t>
  </si>
  <si>
    <t>CPCRAGA150065</t>
  </si>
  <si>
    <t>COLLIER PRISE EN CHARGE RA GA DN150X65</t>
  </si>
  <si>
    <t>CPCRAGA150080</t>
  </si>
  <si>
    <t>COLLIER PRISE EN CHARGE RA GA DN150X80</t>
  </si>
  <si>
    <t>CPCRAGA150100</t>
  </si>
  <si>
    <t>COLLIER PRISE EN CHARGE RA GA DN150X100</t>
  </si>
  <si>
    <t>CPCRAGA200065</t>
  </si>
  <si>
    <t>COLLIER PRISE EN CHARGE RA GA DN200X65</t>
  </si>
  <si>
    <t>CPCRAGA200080</t>
  </si>
  <si>
    <t>COLLIER PRISE EN CHARGE RA GA DN200X80</t>
  </si>
  <si>
    <t>CPCRAGA200100</t>
  </si>
  <si>
    <t>COLLIER PRISE EN CHARGE RA GA DN200X100</t>
  </si>
  <si>
    <t>CPCRARO05032</t>
  </si>
  <si>
    <t>COLLIER PRISE EN CHARGE RA RO DN50X32</t>
  </si>
  <si>
    <t>CPCRARO05040</t>
  </si>
  <si>
    <t>COLLIER PRISE EN CHARGE RA RO DN50X40</t>
  </si>
  <si>
    <t>CPCRARO06532</t>
  </si>
  <si>
    <t>COLLIER PRISE EN CHARGE RA RO DN65X32</t>
  </si>
  <si>
    <t>CPCRARO06540</t>
  </si>
  <si>
    <t>COLLIER PRISE EN CHARGE RA RO DN65X40</t>
  </si>
  <si>
    <t>CPCRARO06550</t>
  </si>
  <si>
    <t>COLLIER PRISE EN CHARGE RA RO DN65X50</t>
  </si>
  <si>
    <t>CPCRARO08032</t>
  </si>
  <si>
    <t>COLLIER PRISE EN CHARGE RA RO DN80X32</t>
  </si>
  <si>
    <t>CPCRARO08040</t>
  </si>
  <si>
    <t>COLLIER PRISE EN CHARGE RA RO DN80x40</t>
  </si>
  <si>
    <t>CPCRARO08050</t>
  </si>
  <si>
    <t>COLLIER PRISE EN CHARGE RA RO DN80X50</t>
  </si>
  <si>
    <t>CPCRARO10032</t>
  </si>
  <si>
    <t>COLLIER PRISE EN CHARGE RA RO DN100X32</t>
  </si>
  <si>
    <t>CPCRARO10040</t>
  </si>
  <si>
    <t>COLLIER PRISE EN CHARGE RA RO DN100X40</t>
  </si>
  <si>
    <t>CPCRARO10050</t>
  </si>
  <si>
    <t>COLLIER PRISE EN CHARGE RA RO DN100X50</t>
  </si>
  <si>
    <t>CPCRARO10065</t>
  </si>
  <si>
    <t>COLLIER PRISE EN CHARGE RA RO DN100X65</t>
  </si>
  <si>
    <t>CPCRARO10080</t>
  </si>
  <si>
    <t>COLLIER PRISE EN CHARGE RA RO DN100X80</t>
  </si>
  <si>
    <t>CPCRARO12532</t>
  </si>
  <si>
    <t>COLLIER PRISE EN CHARGE RA RO DN125X32</t>
  </si>
  <si>
    <t>CPCRARO12540</t>
  </si>
  <si>
    <t>COLLIER PRISE EN CHARGE RA RO DN125X40</t>
  </si>
  <si>
    <t>CPCRARO12550</t>
  </si>
  <si>
    <t>COLLIER PRISE EN CHARGE RA RO DN125X50</t>
  </si>
  <si>
    <t>CPCRARO12565</t>
  </si>
  <si>
    <t>COLLIER PRISE EN CHARGE RA RO DN125X65</t>
  </si>
  <si>
    <t>CPCRARO12580</t>
  </si>
  <si>
    <t>COLLIER PRISE EN CHARGE RA RO DN125X80</t>
  </si>
  <si>
    <t>CPCRARO150032</t>
  </si>
  <si>
    <t>COLLIER PRISE EN CHARGE RA RO DN150X32</t>
  </si>
  <si>
    <t>CPCRARO150040</t>
  </si>
  <si>
    <t>COLLIER PRISE EN CHARGE RA RO DN150X40</t>
  </si>
  <si>
    <t>CPCRARO150050</t>
  </si>
  <si>
    <t>COLLIER PRISE EN CHARGE RA RO DN150X50</t>
  </si>
  <si>
    <t>CPCRARO150065</t>
  </si>
  <si>
    <t>COLLIER PRISE EN CHARGE RA RO DN150X65</t>
  </si>
  <si>
    <t>CPCRARO150080</t>
  </si>
  <si>
    <t>COLLIER PRISE EN CHARGE RA RO DN150X80</t>
  </si>
  <si>
    <t>CPCRARO150100</t>
  </si>
  <si>
    <t>COLLIER PRISE EN CHARGE RA RO DN150X100</t>
  </si>
  <si>
    <t>CPCRARO200050</t>
  </si>
  <si>
    <t>COLLIER PRISE EN CHARGE RA RO DN200x50</t>
  </si>
  <si>
    <t>CPCRARO200065</t>
  </si>
  <si>
    <t>COLLIER PRISE EN CHARGE RA RO DN200X65</t>
  </si>
  <si>
    <t>CPCRARO200080</t>
  </si>
  <si>
    <t>COLLIER PRISE EN CHARGE RA RO DN200X80</t>
  </si>
  <si>
    <t>CPCRARO200100</t>
  </si>
  <si>
    <t>COLLIER PRISE EN CHARGE RA RO DN200X100</t>
  </si>
  <si>
    <t>CPCTAGA02515</t>
  </si>
  <si>
    <t>COLLIER PRISE EN CHARGE TA GA DN25X15</t>
  </si>
  <si>
    <t>TARAUDE</t>
  </si>
  <si>
    <t>CPCTAGA02520</t>
  </si>
  <si>
    <t>COLLIER PRISE EN CHARGE TA GA DN25X20</t>
  </si>
  <si>
    <t>CPCTAGA02525</t>
  </si>
  <si>
    <t>COLLIER PRISE EN CHARGE TA GA DN25X25</t>
  </si>
  <si>
    <t>CPCTAGA03215</t>
  </si>
  <si>
    <t>COLLIER PRISE EN CHARGE TA GA DN32X15</t>
  </si>
  <si>
    <t>CPCTAGA03220</t>
  </si>
  <si>
    <t>COLLIER PRISE EN CHARGE TA GA DN32X20</t>
  </si>
  <si>
    <t>CPCTAGA03225</t>
  </si>
  <si>
    <t>COLLIER PRISE EN CHARGE TA GA DN32X25</t>
  </si>
  <si>
    <t>CPCTAGA04015</t>
  </si>
  <si>
    <t>COLLIER PRISE EN CHARGE TA GA DN40X15</t>
  </si>
  <si>
    <t>CPCTAGA04020</t>
  </si>
  <si>
    <t>COLLIER PRISE EN CHARGE TA GA DN40X20</t>
  </si>
  <si>
    <t>CPCTAGA04025</t>
  </si>
  <si>
    <t>COLLIER PRISE EN CHARGE TA GA DN40X25</t>
  </si>
  <si>
    <t>CPCTAGA05015</t>
  </si>
  <si>
    <t>COLLIER PRISE EN CHARGE TA GA DN50X15</t>
  </si>
  <si>
    <t>CPCTAGA05020</t>
  </si>
  <si>
    <t>COLLIER PRISE EN CHARGE TA GA DN50X20</t>
  </si>
  <si>
    <t>CPCTAGA05025</t>
  </si>
  <si>
    <t>COLLIER PRISE EN CHARGE TA GA DN50X25</t>
  </si>
  <si>
    <t>CPCTAGA05032</t>
  </si>
  <si>
    <t>COLLIER PRISE EN CHARGE TA GA DN50X32</t>
  </si>
  <si>
    <t>CPCTAGA05040</t>
  </si>
  <si>
    <t>COLLIER PRISE EN CHARGE TA GA DN50X40</t>
  </si>
  <si>
    <t>CPCTAGA06515</t>
  </si>
  <si>
    <t>COLLIER PRISE EN CHARGE TA GA DN65X15</t>
  </si>
  <si>
    <t>CPCTAGA06520</t>
  </si>
  <si>
    <t>COLLIER PRISE EN CHARGE TA GA DN65X20</t>
  </si>
  <si>
    <t>CPCTAGA06525</t>
  </si>
  <si>
    <t>COLLIER PRISE EN CHARGE TA GA DN65X25</t>
  </si>
  <si>
    <t>CPCTAGA06532</t>
  </si>
  <si>
    <t>COLLIER PRISE EN CHARGE TA GA DN65X32</t>
  </si>
  <si>
    <t>CPCTAGA06540</t>
  </si>
  <si>
    <t>COLLIER PRISE EN CHARGE TA GA DN65X40</t>
  </si>
  <si>
    <t>CPCTAGA06550</t>
  </si>
  <si>
    <t>COLLIER PRISE EN CHARGE TA GA DN65X50</t>
  </si>
  <si>
    <t>CPCTARO02515</t>
  </si>
  <si>
    <t>COLLIER PRISE EN CHARGE TA RO DN25X15</t>
  </si>
  <si>
    <t>CPCTARO02525</t>
  </si>
  <si>
    <t>COLLIER PRISE EN CHARGE TA RO DN25X25</t>
  </si>
  <si>
    <t>CPCTARO03215</t>
  </si>
  <si>
    <t>COLLIER PRISE EN CHARGE TA RO DN32X15</t>
  </si>
  <si>
    <t>CPCTARO03220</t>
  </si>
  <si>
    <t>COLLIER PRISE EN CHARGE TA RO DN32X20</t>
  </si>
  <si>
    <t>CPCTARO03225</t>
  </si>
  <si>
    <t>COLLIER PRISE EN CHARGE TA RO DN32X25</t>
  </si>
  <si>
    <t>CPCTARO04015</t>
  </si>
  <si>
    <t>COLLIER PRISE EN CHARGE TA RO DN40X15</t>
  </si>
  <si>
    <t>CPCTARO04020</t>
  </si>
  <si>
    <t>COLLIER PRISE EN CHARGE TA RO DN40X20</t>
  </si>
  <si>
    <t>CPCTARO04025</t>
  </si>
  <si>
    <t>COLLIER PRISE EN CHARGE TA RO DN40X25</t>
  </si>
  <si>
    <t>CPCTARO05015</t>
  </si>
  <si>
    <t>COLLIER PRISE EN CHARGE TA RO DN50X15</t>
  </si>
  <si>
    <t>CPCTARO05020</t>
  </si>
  <si>
    <t>COLLIER PRISE EN CHARGE TA RO DN50X20</t>
  </si>
  <si>
    <t>CPCTARO05025</t>
  </si>
  <si>
    <t>COLLIER PRISE EN CHARGE TA RO DN50X25</t>
  </si>
  <si>
    <t>CPCTARO05032</t>
  </si>
  <si>
    <t>COLLIER PRISE EN CHARGE TA RO DN50X32</t>
  </si>
  <si>
    <t>CPCTARO05040</t>
  </si>
  <si>
    <t>COLLIER PRISE EN CHARGE TA RO DN50X40</t>
  </si>
  <si>
    <t>CPCTARO06515</t>
  </si>
  <si>
    <t>COLLIER PRISE EN CHARGE TA RO DN65X15</t>
  </si>
  <si>
    <t>CPCTARO06520</t>
  </si>
  <si>
    <t>COLLIER PRISE EN CHARGE TA RO DN65X20</t>
  </si>
  <si>
    <t>CPCTARO06525</t>
  </si>
  <si>
    <t>COLLIER PRISE EN CHARGE TA RO DN65X25</t>
  </si>
  <si>
    <t>CPCTARO06532</t>
  </si>
  <si>
    <t>COLLIER PRISE EN CHARGE TA RO DN65X32</t>
  </si>
  <si>
    <t>CPCTARO06540</t>
  </si>
  <si>
    <t>COLLIER PRISE EN CHARGE TA RO DN65X40</t>
  </si>
  <si>
    <t>CPCTARO06550</t>
  </si>
  <si>
    <t>COLLIER PRISE EN CHARGE TA RO DN65X50</t>
  </si>
  <si>
    <t>COUVI90FFGA025</t>
  </si>
  <si>
    <t>COUDE 90°VISSER FF GALVA DN25</t>
  </si>
  <si>
    <t>COUVI90MFGA025</t>
  </si>
  <si>
    <t>COUDE 90°VISSER MF GALVA DN25</t>
  </si>
  <si>
    <t>MANCHFFGA025</t>
  </si>
  <si>
    <t>MANCHON A VISSER FF GALVA DN25</t>
  </si>
  <si>
    <t>TESEGFFGA025</t>
  </si>
  <si>
    <t>TES EGAL A VISSER FF GALVA DN25</t>
  </si>
  <si>
    <t>VISSER</t>
  </si>
  <si>
    <t>TESEGFFGA040</t>
  </si>
  <si>
    <t>TES EGAL A VISSER FF GALVA DN40</t>
  </si>
  <si>
    <t>BOUCHVIMGA025</t>
  </si>
  <si>
    <t>BOUCHON VISSER M GALVA DN25</t>
  </si>
  <si>
    <t>BOUCHON</t>
  </si>
  <si>
    <t>BOUCHVIMGA032</t>
  </si>
  <si>
    <t>BOUCHON VISSER M GALVA DN32</t>
  </si>
  <si>
    <t>BOUCHVIMGA040</t>
  </si>
  <si>
    <t>BOUCHON VISSER M GALVA DN40</t>
  </si>
  <si>
    <t>BOUCHVIMGA050</t>
  </si>
  <si>
    <t>BOUCHON VISSER M GALVA DN50</t>
  </si>
  <si>
    <t>FONDRAPLBL032</t>
  </si>
  <si>
    <t>FOND PLEIN RAINURE BLANC DN32</t>
  </si>
  <si>
    <t>FOND</t>
  </si>
  <si>
    <t>FONDRAPLBL040</t>
  </si>
  <si>
    <t>FOND PLEIN RAINURE BLANC DN40</t>
  </si>
  <si>
    <t>FONDRAPLBL050</t>
  </si>
  <si>
    <t>FOND PLEIN RAINURE BLANC DN50</t>
  </si>
  <si>
    <t>FONDRAPLBL065</t>
  </si>
  <si>
    <t>FOND PLEIN RAINURE BLANC DN65</t>
  </si>
  <si>
    <t>FONDRAPLBL080</t>
  </si>
  <si>
    <t>FOND PLEIN RAINURE BLANC DN80</t>
  </si>
  <si>
    <t>FONDRAPLGA032</t>
  </si>
  <si>
    <t>FOND PLEIN RAINURE GALVA DN32</t>
  </si>
  <si>
    <t>FONDRAPLGA040</t>
  </si>
  <si>
    <t>FOND PLEIN RAINURE GALVA DN40</t>
  </si>
  <si>
    <t>FONDRAPLGA050</t>
  </si>
  <si>
    <t>FOND PLEIN RAINURE GALVA DN50</t>
  </si>
  <si>
    <t>FONDRAPLGA065</t>
  </si>
  <si>
    <t>FOND PLEIN RAINURE GALVA DN65</t>
  </si>
  <si>
    <t>FONDRAPLGA080</t>
  </si>
  <si>
    <t>FOND PLEIN RAINURE GALVA DN80</t>
  </si>
  <si>
    <t>FONDRAPLRO032</t>
  </si>
  <si>
    <t>FOND PLEIN RAINURE ROUGE DN32</t>
  </si>
  <si>
    <t>FONDRAPLRO040</t>
  </si>
  <si>
    <t>FOND PLEIN RAINURE ROUGE DN40</t>
  </si>
  <si>
    <t>FONDRAPLRO050</t>
  </si>
  <si>
    <t>FOND PLEIN RAINURE ROUGE DN50</t>
  </si>
  <si>
    <t>FONDRAPLRO065</t>
  </si>
  <si>
    <t>FOND PLEIN RAINURE ROUGE DN65</t>
  </si>
  <si>
    <t>FONDRAPLRO080</t>
  </si>
  <si>
    <t>FOND PLEIN RAINURE ROUGE DN80</t>
  </si>
  <si>
    <t>COLLIERPOIRE025</t>
  </si>
  <si>
    <t>COLLIER POIRE DN25</t>
  </si>
  <si>
    <t>COLLIERPOIRE</t>
  </si>
  <si>
    <t>FIXE</t>
  </si>
  <si>
    <t>COLLIERPOIRE032</t>
  </si>
  <si>
    <t>COLLIER POIRE DN32</t>
  </si>
  <si>
    <t>COLLIERPOIRE040</t>
  </si>
  <si>
    <t>COLLIER POIRE DN40</t>
  </si>
  <si>
    <t>COLLIERPOIRE050</t>
  </si>
  <si>
    <t>COLLIER POIRE DN50</t>
  </si>
  <si>
    <t>COLLIERPOIRE065</t>
  </si>
  <si>
    <t>COLLIER POIRE DN65</t>
  </si>
  <si>
    <t>COLLIERPOIRE080</t>
  </si>
  <si>
    <t>COLLIER POIRE DN80</t>
  </si>
  <si>
    <t>COLLIERPOIRE100</t>
  </si>
  <si>
    <t>COLLIER POIRE DN100</t>
  </si>
  <si>
    <t>COLLIERPOIRE125</t>
  </si>
  <si>
    <t>COLLIER POIRE DN125</t>
  </si>
  <si>
    <t>COLLIERPOIRE150</t>
  </si>
  <si>
    <t>COLLIER POIRE DN150</t>
  </si>
  <si>
    <t>COLLIERINDUSTRI025</t>
  </si>
  <si>
    <t>COLLIER INDUSTRIEL DN25</t>
  </si>
  <si>
    <t>COLLIERINDUS</t>
  </si>
  <si>
    <t>COLLIERINDUSTRI032</t>
  </si>
  <si>
    <t>COLLIER INDUSTRIEL DN32</t>
  </si>
  <si>
    <t>COLLIERINDUSTRI040</t>
  </si>
  <si>
    <t>COLLIER INDUSTRIEL DN40</t>
  </si>
  <si>
    <t>COLLIERINDUSTRI050</t>
  </si>
  <si>
    <t>COLLIER INDUSTRIEL DN50</t>
  </si>
  <si>
    <t>COLLIERINDUSTRI065</t>
  </si>
  <si>
    <t>COLLIER INDUSTRIEL DN65</t>
  </si>
  <si>
    <t>COLLIERINDUSTRI080</t>
  </si>
  <si>
    <t>COLLIER INDUSTRIEL DN80</t>
  </si>
  <si>
    <t>COLLIERINDUSTRI100</t>
  </si>
  <si>
    <t>COLLIER INDUSTRIEL DN100</t>
  </si>
  <si>
    <t>COLLIERINDUSTRI125</t>
  </si>
  <si>
    <t>COLLIER INDUSTRIEL DN125</t>
  </si>
  <si>
    <t>COLLIERINDUSTRI150</t>
  </si>
  <si>
    <t>COLLIER INDUSTRIEL DN150</t>
  </si>
  <si>
    <t>ETRIERRAGA025</t>
  </si>
  <si>
    <t>ETRIERS RALLONGES GALVA M10 DN25</t>
  </si>
  <si>
    <t>ETRIER</t>
  </si>
  <si>
    <t>ETRIERRAGA032</t>
  </si>
  <si>
    <t>ETRIERS RALLONGES GALVA M10 DN32</t>
  </si>
  <si>
    <t>ETRIERRAGA040</t>
  </si>
  <si>
    <t>ETRIERS RALLONGES GALVA M10 DN40</t>
  </si>
  <si>
    <t>ETRIERRAGA050</t>
  </si>
  <si>
    <t>ETRIERS RALLONGES GALVA M10 DN50</t>
  </si>
  <si>
    <t>ETRIERRAGA065</t>
  </si>
  <si>
    <t>ETRIERS RALLONGES GALVA M10 DN65</t>
  </si>
  <si>
    <t>ETRIERRAGA080</t>
  </si>
  <si>
    <t>ETRIERS RALLONGES GALVA M10 DN80</t>
  </si>
  <si>
    <t>ETRIERRAGA100</t>
  </si>
  <si>
    <t>ETRIERS RALLONGES GALVA M10 DN100</t>
  </si>
  <si>
    <t>ETRIERRAGA125</t>
  </si>
  <si>
    <t>ETRIERS RALLONGES GALVA M12 DN125</t>
  </si>
  <si>
    <t>ETRIERRAGA200</t>
  </si>
  <si>
    <t>ETRIERS RALLONGES GALVA M12 DN200</t>
  </si>
  <si>
    <t>CHEVISPITMM10</t>
  </si>
  <si>
    <t>CHEVILLE SPIT FIX MALEM 10/65 BTE50</t>
  </si>
  <si>
    <t>CHEVISPITMM12</t>
  </si>
  <si>
    <t>CHEVILLE SPIT FIX MALEM 12/80/5 BTE 25</t>
  </si>
  <si>
    <t>CHEVISPITFM10</t>
  </si>
  <si>
    <t>CHEVILLE SPIT GRIP FEMELLE M 10 BTE 100</t>
  </si>
  <si>
    <t>CHEVISPITPRIMAM10</t>
  </si>
  <si>
    <t>CHEVILLE SPIT PRIMA M10 BTE25</t>
  </si>
  <si>
    <t>CHEVISPITPRIMAM12</t>
  </si>
  <si>
    <t>CHEVILLE SPIT PRIMA M12 BTE 25</t>
  </si>
  <si>
    <t>CONSOLEUNISTR1000</t>
  </si>
  <si>
    <t>CONSOLE UNISTRUT GALVA LG 1000</t>
  </si>
  <si>
    <t>CONSOLEUNISTR300LA</t>
  </si>
  <si>
    <t>CONSOLE UNISTRUT GALVA LG 300 LATERALE</t>
  </si>
  <si>
    <t>CONSOLEUNISTR450LA</t>
  </si>
  <si>
    <t>CONSOLE UNISTRUT GALVA LG 450 LATERALE</t>
  </si>
  <si>
    <t>CONSOLEUNISTRGA300</t>
  </si>
  <si>
    <t>CONSOLE UNISTRUT GALVA LG 300</t>
  </si>
  <si>
    <t>CONSOLEUNISTRGA450</t>
  </si>
  <si>
    <t>CONSOLE UNISTRUT GALVA LG 450</t>
  </si>
  <si>
    <t>CONSOLEUNISTRGA500</t>
  </si>
  <si>
    <t>CONSOLE UNISTRUT GALVA LG 500</t>
  </si>
  <si>
    <t>CONSOLEUNISTRGA150</t>
  </si>
  <si>
    <t>CONSOLE UNISTRUT GALVA LG 150</t>
  </si>
  <si>
    <t>CRAPAUDSIM11</t>
  </si>
  <si>
    <t>CRAPAUD M11</t>
  </si>
  <si>
    <t>CRAPAUDSIM13</t>
  </si>
  <si>
    <t>CRAPAUD M13</t>
  </si>
  <si>
    <t>ECROUGA10</t>
  </si>
  <si>
    <t>ECROU GALVA M10</t>
  </si>
  <si>
    <t>ECROUGA12</t>
  </si>
  <si>
    <t>ECROU GALVA M12</t>
  </si>
  <si>
    <t>EQU50X50GA11</t>
  </si>
  <si>
    <t>EQUERRE GRINELLEGALVA 50X50 M11</t>
  </si>
  <si>
    <t>EQU50X50GA13</t>
  </si>
  <si>
    <t>EQUERRE GRINELLEGALVA 50X50 M13</t>
  </si>
  <si>
    <t>FERAGRIP</t>
  </si>
  <si>
    <t>FERAGRIP M10 POUR RAIL 41/41</t>
  </si>
  <si>
    <t>PROLONGTIFEFILGA10</t>
  </si>
  <si>
    <t>PROLONGATEUR TIGE FILETEE GALVA M10</t>
  </si>
  <si>
    <t>PROLONGTIFEFILGA12</t>
  </si>
  <si>
    <t>PROLONGATEUR TIGE FILETEE GALVA M12</t>
  </si>
  <si>
    <t>RAIL41213M</t>
  </si>
  <si>
    <t>RAIL 41X21 EN LONGUEUR DE 3M</t>
  </si>
  <si>
    <t>RAIL41413M</t>
  </si>
  <si>
    <t>RAIL 41X41 EN LONGUEUR DE 3M</t>
  </si>
  <si>
    <t>RAIL41613M</t>
  </si>
  <si>
    <t>RAIL 41X61 EN LONGUEUR DE 3M</t>
  </si>
  <si>
    <t>FERAGRIP4162/82GAC</t>
  </si>
  <si>
    <t>FERAGRIP M10 41/62 41/82 GALVA A CHAUD</t>
  </si>
  <si>
    <t>RONDELLEM10</t>
  </si>
  <si>
    <t>RONDELLE M10</t>
  </si>
  <si>
    <t>RONDELLEM12</t>
  </si>
  <si>
    <t>RONDELLE M12</t>
  </si>
  <si>
    <t>TECNERGA11</t>
  </si>
  <si>
    <t>TECNER GALVA M11</t>
  </si>
  <si>
    <t>TECNERGA11LARGE</t>
  </si>
  <si>
    <t>TECNER GALVA M11 LARGE</t>
  </si>
  <si>
    <t>TECNERGA13</t>
  </si>
  <si>
    <t>TECNER GALVA M13</t>
  </si>
  <si>
    <t>TIGEFILETEEGA1M10</t>
  </si>
  <si>
    <t>TIGE FILETEE GALVA LG 1M M10</t>
  </si>
  <si>
    <t>TIGEFILETEEGA1M12</t>
  </si>
  <si>
    <t>TIGE FILETEE GALVA LG 1M M12</t>
  </si>
  <si>
    <t>TIGEFILETEEGA2M10</t>
  </si>
  <si>
    <t>TIGE FILETEE GALVA LG 2M M10</t>
  </si>
  <si>
    <t>TIGEFILETEEGA2M12</t>
  </si>
  <si>
    <t>TIGE FILETEE GALVA LG 2M M12</t>
  </si>
  <si>
    <t>TIGEFILETEEGA3M10</t>
  </si>
  <si>
    <t>TIGE FILETEE GALVA LG 3M M10</t>
  </si>
  <si>
    <t>TIGEFILETEEGA3M12</t>
  </si>
  <si>
    <t>TIGE FILETEE GALVA LG 3M M12</t>
  </si>
  <si>
    <t>BOULOFEGA10050</t>
  </si>
  <si>
    <t>BOULON FILET ENTIER GALVA 10X50</t>
  </si>
  <si>
    <t>BOULOFEGA12050</t>
  </si>
  <si>
    <t>BOULON FILET ENTIER GALVA 12X50</t>
  </si>
  <si>
    <t>FONDRAVIBL065</t>
  </si>
  <si>
    <t>FOND RA BLANC DN65 VIDANGE</t>
  </si>
  <si>
    <t>FONDRAVIBL080</t>
  </si>
  <si>
    <t>FOND RA BLANC DN80 VIDANGE</t>
  </si>
  <si>
    <t>FONDRAVIBL100</t>
  </si>
  <si>
    <t>FOND RA BLANC DN100 VIDANGE</t>
  </si>
  <si>
    <t>FONDRAVIBL125</t>
  </si>
  <si>
    <t>FOND RA BLANC DN125 VIDANGE</t>
  </si>
  <si>
    <t>FONDRAVIBL150</t>
  </si>
  <si>
    <t>FOND RA BLANC DN150 VIDANGE</t>
  </si>
  <si>
    <t>FONDRAVIGA050</t>
  </si>
  <si>
    <t>FOND RA GALVA DN50 VIDANGE</t>
  </si>
  <si>
    <t>FONDRAVIGA05040</t>
  </si>
  <si>
    <t>FOND RA GALVA DN50 VIDANGE DN40</t>
  </si>
  <si>
    <t>FONDRAVIGA065</t>
  </si>
  <si>
    <t>FOND RA GALVA DN65 VIDANGE</t>
  </si>
  <si>
    <t>FONDRAVIGA080</t>
  </si>
  <si>
    <t>FOND RA GALVA DN80 VIDANGE</t>
  </si>
  <si>
    <t>FONDRAVIGA100</t>
  </si>
  <si>
    <t>FOND RA GALVA DN100 VIDANGE</t>
  </si>
  <si>
    <t>FONDRAVIGA125</t>
  </si>
  <si>
    <t>FOND RA GALVA DN125 VIDANGE</t>
  </si>
  <si>
    <t>FONDRAVIGA150</t>
  </si>
  <si>
    <t>FOND RA GALVA DN150 VIDANGE</t>
  </si>
  <si>
    <t>FONDRAVIRO05040</t>
  </si>
  <si>
    <t>FOND RA ROUGE DN50 VIDANGE DN40</t>
  </si>
  <si>
    <t>FONDRAVIRO065</t>
  </si>
  <si>
    <t>FOND RA ROUGE DN65 VIDANGE</t>
  </si>
  <si>
    <t>FONDRAVIRO080</t>
  </si>
  <si>
    <t>FOND RA ROUGE DN80 VIDANGE</t>
  </si>
  <si>
    <t>FONDRAVIRO100</t>
  </si>
  <si>
    <t>FOND RA ROUGE DN100 VIDANGE</t>
  </si>
  <si>
    <t>FONDRAVIRO125</t>
  </si>
  <si>
    <t>FOND RA ROUGE DN125 VIDANGE</t>
  </si>
  <si>
    <t>FONDRAVIRO150</t>
  </si>
  <si>
    <t>FOND RA ROUGE DN150 VIDANGE</t>
  </si>
  <si>
    <t>VANBSFFLA025P25</t>
  </si>
  <si>
    <t>VANNE BS 1/4 FF LAITON DN25 PN25</t>
  </si>
  <si>
    <t>VANBSFFLA032P25</t>
  </si>
  <si>
    <t>VANNE BS 1/4 FF LAITON DN32 PN25</t>
  </si>
  <si>
    <t>VANBSFFLA040P25</t>
  </si>
  <si>
    <t>VANNE BS 1/4 FF LAITON DN40 PN25</t>
  </si>
  <si>
    <t>VANBSMFLA040P25</t>
  </si>
  <si>
    <t>VANNE BS 1/4 MF LAITON DN40 PN25</t>
  </si>
  <si>
    <t>VANBSMFLA050P25</t>
  </si>
  <si>
    <t>VANNE BS 1/4 MF LAITON DN50 PN25</t>
  </si>
  <si>
    <t>REDUCFFGA2515</t>
  </si>
  <si>
    <t>REDUC VISSER FF GALVA DN25X15 1''X1/2''</t>
  </si>
  <si>
    <t>REDUC</t>
  </si>
  <si>
    <t>FF</t>
  </si>
  <si>
    <t>REDUCFFGA2520</t>
  </si>
  <si>
    <t>REDUC VISSER FF GALVA DN25X20 1''3/4''</t>
  </si>
  <si>
    <t>REDUCMFGA2515</t>
  </si>
  <si>
    <t>REDUC VISSER MF GALVA DN25X15 1''X1/2''</t>
  </si>
  <si>
    <t>MF</t>
  </si>
  <si>
    <t>REDUCMFGA2520</t>
  </si>
  <si>
    <t>REDUC VISSER MF GALVA DN25X20 1''X3/4''</t>
  </si>
  <si>
    <t>REDUCRABL05040</t>
  </si>
  <si>
    <t>REDUC RAINURE BLANC DN50X40</t>
  </si>
  <si>
    <t>REDUCRABL06550</t>
  </si>
  <si>
    <t>REDUC RAINURE BLANC DN065X50</t>
  </si>
  <si>
    <t>REDUCRABL08050</t>
  </si>
  <si>
    <t>REDUC RAINURE BLANC DN080X50</t>
  </si>
  <si>
    <t>REDUCRABL08065</t>
  </si>
  <si>
    <t>REDUC RAINURE BLANC DN080X65</t>
  </si>
  <si>
    <t>REDUCRABL10050</t>
  </si>
  <si>
    <t>REDUC RAINURE BLANC DN100X50</t>
  </si>
  <si>
    <t>REDUCRABL10065</t>
  </si>
  <si>
    <t>REDUC RAINURE BLANC DN100X65</t>
  </si>
  <si>
    <t>REDUCRABL10080</t>
  </si>
  <si>
    <t>REDUC RAINURE BLANC DN100X80</t>
  </si>
  <si>
    <t>REDUCRABL125100</t>
  </si>
  <si>
    <t>REDUC RAINURE BLANC DN125X100</t>
  </si>
  <si>
    <t>REDUCRABL12580</t>
  </si>
  <si>
    <t>REDUC RAINURE BLANC DN125X80</t>
  </si>
  <si>
    <t>REDUCRABL150100</t>
  </si>
  <si>
    <t>REDUC RAINURE BLANC DN150X100</t>
  </si>
  <si>
    <t>REDUCRABL150125</t>
  </si>
  <si>
    <t>REDUC RAINURE BLANC DN150X125</t>
  </si>
  <si>
    <t>REDUCRABL15080</t>
  </si>
  <si>
    <t>REDUC RAINURE BLANC DN150X80</t>
  </si>
  <si>
    <t>REDUCRAGA03225</t>
  </si>
  <si>
    <t>REDUC RAINURE GALVA DN32X25</t>
  </si>
  <si>
    <t>REDUCRAGA04025</t>
  </si>
  <si>
    <t>REDUC RAINURE GALVA DN40X25</t>
  </si>
  <si>
    <t>REDUCRAGA04032</t>
  </si>
  <si>
    <t>REDUC RAINURE GALVA DN40X32</t>
  </si>
  <si>
    <t>REDUCRAGA05025</t>
  </si>
  <si>
    <t>REDUC RAINURE GALVA DN50X25</t>
  </si>
  <si>
    <t>REDUCRAGA05032</t>
  </si>
  <si>
    <t>REDUC RAINURE GALVA DN50X32</t>
  </si>
  <si>
    <t>REDUCRAGA05040</t>
  </si>
  <si>
    <t>REDUC RAINURE GALVA DN50X40</t>
  </si>
  <si>
    <t>REDUCRAGA06525</t>
  </si>
  <si>
    <t>REDUC RAINURE GALVA DN65X25</t>
  </si>
  <si>
    <t>REDUCRAGA06532</t>
  </si>
  <si>
    <t>REDUC RAINURE GALVA DN65X32</t>
  </si>
  <si>
    <t>REDUCRAGA06540</t>
  </si>
  <si>
    <t>REDUC RAINURE GALVA DN65X40</t>
  </si>
  <si>
    <t>REDUCRAGA06550</t>
  </si>
  <si>
    <t>REDUC RAINURE GALVA DN65X50</t>
  </si>
  <si>
    <t>REDUCRAGA08032</t>
  </si>
  <si>
    <t>REDUC RAINURE GALVA DN80X32</t>
  </si>
  <si>
    <t>REDUCRAGA08040</t>
  </si>
  <si>
    <t>REDUC RAINURE GALVA DN80X40</t>
  </si>
  <si>
    <t>REDUCRAGA08050</t>
  </si>
  <si>
    <t>REDUC RAINURE GALVA DN80X50</t>
  </si>
  <si>
    <t>REDUCRAGA08065</t>
  </si>
  <si>
    <t>REDUC RAINURE GALVA DN80X65</t>
  </si>
  <si>
    <t>REDUCRAGA10050</t>
  </si>
  <si>
    <t>REDUC RAINURE GALVA DN100X50</t>
  </si>
  <si>
    <t>REDUCRAGA10065</t>
  </si>
  <si>
    <t>REDUC RAINURE GALVA DN100X65</t>
  </si>
  <si>
    <t>REDUCRAGA10080</t>
  </si>
  <si>
    <t>REDUC RAINURE GALVA DN100X80</t>
  </si>
  <si>
    <t>REDUCRAGA114108</t>
  </si>
  <si>
    <t>REDUC RAINURE GALVA 114/108</t>
  </si>
  <si>
    <t>REDUCRAGA125050</t>
  </si>
  <si>
    <t>REDUC RAINURE GALVA DN125X50</t>
  </si>
  <si>
    <t>REDUCRAGA125065</t>
  </si>
  <si>
    <t>REDUC RAINURE GALVA DN125X65</t>
  </si>
  <si>
    <t>REDUCRAGA125080</t>
  </si>
  <si>
    <t>REDUC RAINURE GALVA DN125X80</t>
  </si>
  <si>
    <t>REDUCRAGA125100</t>
  </si>
  <si>
    <t>REDUC RAINURE GALVA DN125X100</t>
  </si>
  <si>
    <t>REDUCRAGA150050</t>
  </si>
  <si>
    <t>REDUC RAINURE GALVA DN150X50</t>
  </si>
  <si>
    <t>REDUCRAGA150065</t>
  </si>
  <si>
    <t>REDUC RAINURE GALVA DN150X65</t>
  </si>
  <si>
    <t>REDUCRAGA150080</t>
  </si>
  <si>
    <t>REDUC RAINURE GALVA DN150X80</t>
  </si>
  <si>
    <t>REDUCRAGA150100</t>
  </si>
  <si>
    <t>REDUC RAINURE GALVA DN150X100</t>
  </si>
  <si>
    <t>REDUCRAGA150125</t>
  </si>
  <si>
    <t>REDUC RAINURE GALVA DN150X125</t>
  </si>
  <si>
    <t>REDUCRARO04032</t>
  </si>
  <si>
    <t>REDUC RAINURE ROUGE DN40X32</t>
  </si>
  <si>
    <t>REDUCRARO05032</t>
  </si>
  <si>
    <t>REDUC RAINURE ROUGE DN50X32</t>
  </si>
  <si>
    <t>REDUCRARO05040</t>
  </si>
  <si>
    <t>REDUC RAINURE ROUGE DN50X40</t>
  </si>
  <si>
    <t>REDUCRARO06532</t>
  </si>
  <si>
    <t>REDUC RAINURE ROUGE DN65X32</t>
  </si>
  <si>
    <t>REDUCRARO06540</t>
  </si>
  <si>
    <t>REDUC RAINURE ROUGE DN65X40</t>
  </si>
  <si>
    <t>REDUCRARO06550</t>
  </si>
  <si>
    <t>REDUC RAINURE ROUGE DN65X50</t>
  </si>
  <si>
    <t>REDUCRARO08032</t>
  </si>
  <si>
    <t>REDUC RAINURE ROUGE DN80X32</t>
  </si>
  <si>
    <t>REDUCRARO08040</t>
  </si>
  <si>
    <t>REDUC RAINURE ROUGE DN80X40</t>
  </si>
  <si>
    <t>REDUCRARO08050</t>
  </si>
  <si>
    <t>REDUC RAINURE ROUGE DN80X50</t>
  </si>
  <si>
    <t>REDUCRARO08065</t>
  </si>
  <si>
    <t>REDUC RAINURE ROUGE DN80X65</t>
  </si>
  <si>
    <t>REDUCRARO10050</t>
  </si>
  <si>
    <t>REDUC RAINURE ROUGE DN100X50</t>
  </si>
  <si>
    <t>REDUCRARO10065</t>
  </si>
  <si>
    <t>REDUC RAINURE ROUGE DN100X65</t>
  </si>
  <si>
    <t>REDUCRARO10080</t>
  </si>
  <si>
    <t>REDUC RAINURE ROUGE DN100X80</t>
  </si>
  <si>
    <t>REDUCRARO125050</t>
  </si>
  <si>
    <t>REDUC RAINURE ROUGE DN125X50</t>
  </si>
  <si>
    <t>REDUCRARO125065</t>
  </si>
  <si>
    <t>REDUC RAINURE ROUGE DN125X65</t>
  </si>
  <si>
    <t>REDUCRARO125080</t>
  </si>
  <si>
    <t>REDUC RAINURE ROUGE DN125X80</t>
  </si>
  <si>
    <t>REDUCRARO125100</t>
  </si>
  <si>
    <t>REDUC RAINURE ROUGE DN125X100</t>
  </si>
  <si>
    <t>REDUCRARO150065</t>
  </si>
  <si>
    <t>REDUC RAINURE ROUGE DN150X65</t>
  </si>
  <si>
    <t>REDUCRARO150080</t>
  </si>
  <si>
    <t>REDUC RAINURE ROUGE DN150X80</t>
  </si>
  <si>
    <t>REDUCRARO150100</t>
  </si>
  <si>
    <t>REDUC RAINURE ROUGE DN150X100</t>
  </si>
  <si>
    <t>REDUCRARO150125</t>
  </si>
  <si>
    <t>REDUC RAINURE ROUGE DN150X125</t>
  </si>
  <si>
    <t>REDUCRARO15050</t>
  </si>
  <si>
    <t>REDUC RAINURE ROUGE DN150X50</t>
  </si>
  <si>
    <t>TYCO / ROLLAND</t>
  </si>
  <si>
    <t>SSU15BR068K080RR</t>
  </si>
  <si>
    <t>SSU DN15 BRONZE 68° K80 REPONSE RAPIDE</t>
  </si>
  <si>
    <t>TETE</t>
  </si>
  <si>
    <t>BRONZE</t>
  </si>
  <si>
    <t>SSU</t>
  </si>
  <si>
    <t>RAPIDE</t>
  </si>
  <si>
    <t>SSU15BR068K080RS</t>
  </si>
  <si>
    <t>SSU DN15 BRONZE 68° K80 REPONSE STAND</t>
  </si>
  <si>
    <t>STANDARD</t>
  </si>
  <si>
    <t>SSU15BR068K115RR</t>
  </si>
  <si>
    <t>SSU DN15 BRONZE 68° K115 REPONSE RAPIDE</t>
  </si>
  <si>
    <t>SSU15BR093K080RS</t>
  </si>
  <si>
    <t>SSU DN15 BRONZE 93° K80 REPONSE STAND</t>
  </si>
  <si>
    <t>SSU15BR093K115RR</t>
  </si>
  <si>
    <t>SSU DN15 BRONZE 93° K115 REPONSE RAPID</t>
  </si>
  <si>
    <t>SSU15BR141K080RR</t>
  </si>
  <si>
    <t>SSU DN15 BRONZE 141° K80 REPONSE RAPIDE</t>
  </si>
  <si>
    <t>SSU15CH068K080RR</t>
  </si>
  <si>
    <t>SSU DN15 CHROME 68° K80 REPONSE RAPIDE</t>
  </si>
  <si>
    <t>CHROME</t>
  </si>
  <si>
    <t>SSU15CH068K080RS</t>
  </si>
  <si>
    <t>SSU DN15 CHROME 68° K80 REPONSE STAND</t>
  </si>
  <si>
    <t>SSU15CH093K080RR</t>
  </si>
  <si>
    <t>SSU DN15 CHROME 93° K80 REPONSE RAPIDE</t>
  </si>
  <si>
    <t>SSU15CH093K080RS</t>
  </si>
  <si>
    <t>SSU DN15 CHROME 93° K80 REPONSE STAND</t>
  </si>
  <si>
    <t>SSU20BR068K115RR</t>
  </si>
  <si>
    <t>SSU DN20 BRONZE 68° K115 REPONSE RAPIDE</t>
  </si>
  <si>
    <t>SSU20BR068K115RS</t>
  </si>
  <si>
    <t>SSU DN20 BRONZE 68° K115 REPONSE STANDAR</t>
  </si>
  <si>
    <t>SSU20BR093K115RR</t>
  </si>
  <si>
    <t>SSU DN20 BRONZE 93° K115 REPONSE RAPIDE</t>
  </si>
  <si>
    <t>SSU20BR093K115RS</t>
  </si>
  <si>
    <t>SSU DN20 BRONZE 93° K115 REPONSE STANDAR</t>
  </si>
  <si>
    <t>SSU20CH068K115RR</t>
  </si>
  <si>
    <t>SSU DN20 CHROME 68° K115 REPONSE RAPIDE</t>
  </si>
  <si>
    <t>SSP15BL068K080RR</t>
  </si>
  <si>
    <t>SSP DN15 BLANCHE 68° K80 REPONSE RAPIDE</t>
  </si>
  <si>
    <t>BLANCHE</t>
  </si>
  <si>
    <t>SSP</t>
  </si>
  <si>
    <t>SSP15BL068K080RS</t>
  </si>
  <si>
    <t>SSP DN15 BLANCHE 68° K80 REPONSE STAND</t>
  </si>
  <si>
    <t>SSP15BL093K080RR</t>
  </si>
  <si>
    <t>SSP DN15 BLANCHE 93° K80 REPONSE RAPIDE</t>
  </si>
  <si>
    <t>SSP15BR068K080RR</t>
  </si>
  <si>
    <t>SSP DN15 BRONZE 68° K80 REPONSE RAPIDE</t>
  </si>
  <si>
    <t>SSP15BR068K080RS</t>
  </si>
  <si>
    <t>SSP DN15 BRONZE 68° K80 REPONSE STAND</t>
  </si>
  <si>
    <t>SSP15CH068K080RR</t>
  </si>
  <si>
    <t>SSP DN15 CHROME 68° K80 REPONSE RAPIDE</t>
  </si>
  <si>
    <t>SSP15CH068K080RS</t>
  </si>
  <si>
    <t>SSP DN15 CHROME 68° K80 REPONSE STAND</t>
  </si>
  <si>
    <t>SSP15CH093K080RR</t>
  </si>
  <si>
    <t>SSP DN15 CHROME 93° K80 REPONSE RAPIDE</t>
  </si>
  <si>
    <t>SSP15CH093K080RS</t>
  </si>
  <si>
    <t>SSP DN15 CHROME 93° K80 REPONSE STAND</t>
  </si>
  <si>
    <t>SSP15CH141K080RR</t>
  </si>
  <si>
    <t>SSP DN15 CHROME141° K80 REPONSE RAPIDE</t>
  </si>
  <si>
    <t>SSP20CH068K115RR</t>
  </si>
  <si>
    <t>SSP DN20 CHROME 68° K115 REPONSE RAPIDE</t>
  </si>
  <si>
    <t>ROSACE1PBL15</t>
  </si>
  <si>
    <t>ROSACE 1 PIECES BLANCHE DN15</t>
  </si>
  <si>
    <t>ROSACE1P</t>
  </si>
  <si>
    <t>ROSACE1PBL20</t>
  </si>
  <si>
    <t>ROSACE 1 PIECES BLANCHE DN20</t>
  </si>
  <si>
    <t>ROSACE1PCHR15</t>
  </si>
  <si>
    <t>ROSACE1PCHR20</t>
  </si>
  <si>
    <t>ROSACE 1 PIECES CHROME DN20</t>
  </si>
  <si>
    <t>ROSACEAJ2PBA15</t>
  </si>
  <si>
    <t>ROSACE AJUSTABLES 2 PIECES BLANCHE DN15</t>
  </si>
  <si>
    <t>ROSACE2P</t>
  </si>
  <si>
    <t>ROSACEAJ2PBA20</t>
  </si>
  <si>
    <t>ROSACE AJUSTABLES 2 PIECES BLANCHE DN20</t>
  </si>
  <si>
    <t>ROSACEAJ2PCH15</t>
  </si>
  <si>
    <t>ROSACE AJUSTABLES 2 PIECES CHROMEE DN15</t>
  </si>
  <si>
    <t>ROSACEAJ2PCH20</t>
  </si>
  <si>
    <t>ROSACE AJUSTABLES 2 PIECES CHROMEE DN20</t>
  </si>
  <si>
    <t>ROSACEAJ2PNO15</t>
  </si>
  <si>
    <t>ROSACE AJUSTABLE 2 PIECES NOIR DN15</t>
  </si>
  <si>
    <t>NOIRE</t>
  </si>
  <si>
    <t>ROSACEAJ2PNO20</t>
  </si>
  <si>
    <t>ROSACE AJUSTABLE 2 PIECES NOIR DN20</t>
  </si>
  <si>
    <t>CHANDELLEDN20</t>
  </si>
  <si>
    <t>CHANDELLE REGLABLE MF GRANDE DN25X20</t>
  </si>
  <si>
    <t>CHANDELLEGRANDEFF</t>
  </si>
  <si>
    <t>CHANDELLE REGLABLE FF GRANDE DN25X15</t>
  </si>
  <si>
    <t>CHANDELLEPETITEFF</t>
  </si>
  <si>
    <t>CHANDELLE REGLABLE FF PETITE DN25X15</t>
  </si>
  <si>
    <t>CHANDELLEPETITEFM</t>
  </si>
  <si>
    <t>CHANDELLE REGLABLE MF PETITE DN25/15</t>
  </si>
  <si>
    <t>CHANDELLEPETITEMF</t>
  </si>
  <si>
    <t>CHANDELLE REGLABLE MF PETITE DN25X20</t>
  </si>
  <si>
    <t>SUPPORTCHANDELINOX</t>
  </si>
  <si>
    <t>SUPPORT CHANDELLE DN25 INOX</t>
  </si>
  <si>
    <t>FLEXI820MF15251521</t>
  </si>
  <si>
    <t xml:space="preserve"> FLEXIBLE MF LG 1540 25/15 APSAD</t>
  </si>
  <si>
    <t>FLEXIMF12202027APS</t>
  </si>
  <si>
    <t xml:space="preserve"> FLEXIBLE MF LG 1220 25/20 APSAD</t>
  </si>
  <si>
    <t>FLEXKITLABO1220</t>
  </si>
  <si>
    <t>KIT FLEXIBLE LABO LG 1220 DN15 APSAD</t>
  </si>
  <si>
    <t>FLEXKITLABO1520</t>
  </si>
  <si>
    <t>KIT FLEXIBLE LABO LG 1520 DN 15</t>
  </si>
  <si>
    <t>FLEXKITPLACO1520</t>
  </si>
  <si>
    <t>KIT FLEXIBLE PLACO LG 1520 DN15 APSAD</t>
  </si>
  <si>
    <t>GLYCOL MONO-25</t>
  </si>
  <si>
    <t>GLYCOL MONOPROPYLENE -25°</t>
  </si>
  <si>
    <t>GRAISSEGRUVLOCK</t>
  </si>
  <si>
    <t>GRAISSE GRUVLOCK RACCORD RAINURE 1 KG</t>
  </si>
  <si>
    <t>JOINTPORTEMANO</t>
  </si>
  <si>
    <t>JOINT PORTE MANO</t>
  </si>
  <si>
    <t>KOLMAT360</t>
  </si>
  <si>
    <t>KOLMAT POT DE 360ML</t>
  </si>
  <si>
    <t>MOUSSECOUPEFEU750</t>
  </si>
  <si>
    <t>MOUSSE COUPE FEU</t>
  </si>
  <si>
    <t>PEINTBOMGALVA360</t>
  </si>
  <si>
    <t>PEINTURE BOMBE GALVA BRILLANT</t>
  </si>
  <si>
    <t>ATELIER</t>
  </si>
  <si>
    <t>TEFLON</t>
  </si>
  <si>
    <t>OEILLETGAM10</t>
  </si>
  <si>
    <t>OEILLET GALVA M10</t>
  </si>
  <si>
    <t>OEILLETGAM12</t>
  </si>
  <si>
    <t>OEILLET GALVA M12</t>
  </si>
  <si>
    <t>FILASSE200</t>
  </si>
  <si>
    <t>FILASSE POUPEE DE 200 GR</t>
  </si>
  <si>
    <t>PANIEPROTEC015</t>
  </si>
  <si>
    <t>PANIER PROTECTION TETES SPK DN15 DN20</t>
  </si>
  <si>
    <t>PEINT3000EPOXY</t>
  </si>
  <si>
    <t>PEINTURE RAL 3000 RETOUCHE EPOXY</t>
  </si>
  <si>
    <t>PEINT9002EPOXY</t>
  </si>
  <si>
    <t>PEINTURE BLANCHE 9002 RETOUCHE EPOXY</t>
  </si>
  <si>
    <t>PEINT9005NOIREPOXY</t>
  </si>
  <si>
    <t>PEINTURE 9005 NOIR RETOUCHE EPOXY</t>
  </si>
  <si>
    <t>VANSPMFLA15MA</t>
  </si>
  <si>
    <t>ROBINET PORTE MANO DN15</t>
  </si>
  <si>
    <t>SCELLEPLASTIQUEAAI</t>
  </si>
  <si>
    <t>SCELLES PLASTIQUE ROUGE N° AAI</t>
  </si>
  <si>
    <t>MANOAAI1+3</t>
  </si>
  <si>
    <t>MANOMETRE -1 A +3 BARS LOGO AAI</t>
  </si>
  <si>
    <t>MANOAAI16</t>
  </si>
  <si>
    <t>MANOMETRE 16 BARS LOGO AAI</t>
  </si>
  <si>
    <t>RIATPDN25-30M</t>
  </si>
  <si>
    <t>RIA TOURNANT PIVOTANT DN25-30M</t>
  </si>
  <si>
    <t>MATINCENDIE</t>
  </si>
  <si>
    <t>RIATPDN32-30M</t>
  </si>
  <si>
    <t>RIA TOURNANT PIVOTANT DN33-30M</t>
  </si>
  <si>
    <t>RIAPOTEAU</t>
  </si>
  <si>
    <t>POTEAU POUR RIA TOURNANT PIVOTANT</t>
  </si>
  <si>
    <t>COUGR90VIMFGA015</t>
  </si>
  <si>
    <t>COUDE 90°VISSER MF GALVA GRANDRAYON DN15</t>
  </si>
  <si>
    <t>COUPGUARD</t>
  </si>
  <si>
    <t>COUPELLE GUARD-2-SCREW DIAM. 150</t>
  </si>
  <si>
    <t>TIREFONDGA1060</t>
  </si>
  <si>
    <t>TIRE FONDS GALVA 10X60MM</t>
  </si>
  <si>
    <t>TIREFONDGA1260</t>
  </si>
  <si>
    <t>TIRE FONDS GALVA12X60</t>
  </si>
  <si>
    <t>REDUCMFGA4025</t>
  </si>
  <si>
    <t>REDUC VISSER MF GALVA DN40X25 1''1/2X1''</t>
  </si>
  <si>
    <t>VANPARA050CFC</t>
  </si>
  <si>
    <t>VANNE PAPIL CFC RAINURE DN50</t>
  </si>
  <si>
    <t>VANPAP</t>
  </si>
  <si>
    <t>VANPARA065CFC</t>
  </si>
  <si>
    <t>VANNE PAPIL CFC RAINURE DN65</t>
  </si>
  <si>
    <t>VANPARA080CFC</t>
  </si>
  <si>
    <t>VANNE PAPIL CFC RAINURE DN80</t>
  </si>
  <si>
    <t>CLAPETBATTANT050</t>
  </si>
  <si>
    <t>CLAPET BATTANT RAINURE DN50</t>
  </si>
  <si>
    <t>CLAPET</t>
  </si>
  <si>
    <t>CLAPETBATTANT065</t>
  </si>
  <si>
    <t>CLAPET BATTANT RAINURE DN65</t>
  </si>
  <si>
    <t>CLAPETBATTANT080</t>
  </si>
  <si>
    <t>CLAPET BATTANT RAINURE DN80</t>
  </si>
  <si>
    <t>FILTRETAMISDN50B</t>
  </si>
  <si>
    <t>FILTRE A TAMIS DN 50 BRIDE/BRIDE</t>
  </si>
  <si>
    <t>FILTRE</t>
  </si>
  <si>
    <t>BRIDE</t>
  </si>
  <si>
    <t>FILTRETAMISDN65</t>
  </si>
  <si>
    <t>FILTRE A TAMIS DN65 BRIDE/BRIDE</t>
  </si>
  <si>
    <t>FILTRETAMISDN80</t>
  </si>
  <si>
    <t>FILTRE A TAMIS DN 80</t>
  </si>
  <si>
    <t>RACCOUNFFGA025</t>
  </si>
  <si>
    <t>RACCORD UNION VISSER FF GALVA DN25</t>
  </si>
  <si>
    <t>AUTO_COLLIERPOIRE</t>
  </si>
  <si>
    <t>COLLIER POIRE (DN automatique = DN du tube)</t>
  </si>
  <si>
    <t>AUTO_COLLIERINDUS</t>
  </si>
  <si>
    <t>COLLIER INDUSTRIEL (DN automatique = DN du tube)</t>
  </si>
  <si>
    <t>AUTO_ETRIER</t>
  </si>
  <si>
    <t>ETRIER RALLONGE (DN automatique = DN du tube)</t>
  </si>
  <si>
    <t>Cases jaunes = à saisir  |  RAL Raccord/RAL Tube : mettre "X" sous l'option choisie  |  Feuille SPK uniquement</t>
  </si>
  <si>
    <t>MATRICE MATERIEL SPRINKLER APSAD</t>
  </si>
  <si>
    <t>RAL Raccord</t>
  </si>
  <si>
    <t>Rouge</t>
  </si>
  <si>
    <t>Blanc</t>
  </si>
  <si>
    <t>Galva</t>
  </si>
  <si>
    <t>RAL Tube</t>
  </si>
  <si>
    <t>Noir</t>
  </si>
  <si>
    <t>Collecteur</t>
  </si>
  <si>
    <t>N°1</t>
  </si>
  <si>
    <t>N°2</t>
  </si>
  <si>
    <t>N°3</t>
  </si>
  <si>
    <t>N°4</t>
  </si>
  <si>
    <t>ROBINETTERIE</t>
  </si>
  <si>
    <t>DN tube</t>
  </si>
  <si>
    <t>Longueur totale (m)</t>
  </si>
  <si>
    <t>Nbr coudes 90°</t>
  </si>
  <si>
    <t>DN Collecteur (piquage)</t>
  </si>
  <si>
    <t>Type piquage (Rainuré/Taraudé)</t>
  </si>
  <si>
    <t>SUPPORTAGE</t>
  </si>
  <si>
    <t>N°1 - Groupe</t>
  </si>
  <si>
    <t>Equerre / Poire / Boulon</t>
  </si>
  <si>
    <t>N°1 - Nb supports</t>
  </si>
  <si>
    <t>N°2 - Groupe</t>
  </si>
  <si>
    <t xml:space="preserve">Tecner / Industriel </t>
  </si>
  <si>
    <t>N°2 - Nb supports</t>
  </si>
  <si>
    <t>N°3 - Groupe</t>
  </si>
  <si>
    <t>N°3 - Nb supports</t>
  </si>
  <si>
    <t>Antenne</t>
  </si>
  <si>
    <t>DN piquage (collecteur)</t>
  </si>
  <si>
    <t>Nbr antennes</t>
  </si>
  <si>
    <t>Nbr spk total</t>
  </si>
  <si>
    <t>Ecart entre spk (m)</t>
  </si>
  <si>
    <t>SPRINKLER</t>
  </si>
  <si>
    <t>Type de protection</t>
  </si>
  <si>
    <t>DN spk</t>
  </si>
  <si>
    <t>Finition spk</t>
  </si>
  <si>
    <t>Température spk</t>
  </si>
  <si>
    <t>K spk</t>
  </si>
  <si>
    <t>Réponse spk</t>
  </si>
  <si>
    <t>Equerre / Poire / Tirefond</t>
  </si>
  <si>
    <t>Matériel divers</t>
  </si>
  <si>
    <t>Qté</t>
  </si>
  <si>
    <t>Consommables</t>
  </si>
  <si>
    <t>Kolmat (pot 360ml)</t>
  </si>
  <si>
    <t>Filasse (200g)</t>
  </si>
  <si>
    <t>Teflon (rouleau)</t>
  </si>
  <si>
    <t>Graisse Gruvlock (1kg)</t>
  </si>
  <si>
    <t>Peinture Retouche (Kg ou bombe)</t>
  </si>
  <si>
    <t>Peinture (couleur = RAL Tube automatique)</t>
  </si>
  <si>
    <t>Cases jaunes = à saisir  |  Tout en Galva, CPC toujours en rainuré  |  Case grise = non applicable</t>
  </si>
  <si>
    <t>MATRICE MATERIEL RIA APSAD</t>
  </si>
  <si>
    <t>Boucle</t>
  </si>
  <si>
    <t>Longueur (m)</t>
  </si>
  <si>
    <t>Coudes 90°</t>
  </si>
  <si>
    <t>Nbre départs (réduction depuis la boucle précédente)</t>
  </si>
  <si>
    <t>RIA</t>
  </si>
  <si>
    <t>RIA 33/30</t>
  </si>
  <si>
    <t>RIA 25/30</t>
  </si>
  <si>
    <t>Accessoires</t>
  </si>
  <si>
    <t>(une seule colonne, sur tube DN de la Boucle N°1)</t>
  </si>
  <si>
    <t>FAVO</t>
  </si>
  <si>
    <t>DEFAVO</t>
  </si>
  <si>
    <t>Poteau RIA tournant</t>
  </si>
  <si>
    <t>Vanne papillon (DN Boucle N°1)</t>
  </si>
  <si>
    <t>Clapet anti-retour (DN Boucle N°1)</t>
  </si>
  <si>
    <t>Filtre (DN Boucle N°1)</t>
  </si>
  <si>
    <t>Teflon</t>
  </si>
  <si>
    <t>Peinture (Bombe Galva automatique)</t>
  </si>
  <si>
    <t>Origine</t>
  </si>
  <si>
    <t>Code article</t>
  </si>
  <si>
    <t>Désignation</t>
  </si>
  <si>
    <t>Quantité</t>
  </si>
  <si>
    <t>Unité</t>
  </si>
  <si>
    <t>Qté totale (code)</t>
  </si>
  <si>
    <t>1ère occurrence</t>
  </si>
  <si>
    <t>Collecteur 1</t>
  </si>
  <si>
    <t>ml</t>
  </si>
  <si>
    <t>pce</t>
  </si>
  <si>
    <t>Collecteur 1 - Support 1</t>
  </si>
  <si>
    <t>pce/m</t>
  </si>
  <si>
    <t>Collecteur 1 - Support 2</t>
  </si>
  <si>
    <t>Collecteur 2</t>
  </si>
  <si>
    <t>Collecteur 2 - Support 1</t>
  </si>
  <si>
    <t>Collecteur 2 - Support 2</t>
  </si>
  <si>
    <t>Collecteur 3</t>
  </si>
  <si>
    <t>Collecteur 3 - Support 1</t>
  </si>
  <si>
    <t>Collecteur 3 - Support 2</t>
  </si>
  <si>
    <t>Antenne 1</t>
  </si>
  <si>
    <t>Antenne 1 - fin de ligne</t>
  </si>
  <si>
    <t>Antenne 1 - fin de ligne (fond)</t>
  </si>
  <si>
    <t>Toiture 1</t>
  </si>
  <si>
    <t>TB Placo 1</t>
  </si>
  <si>
    <t>TB Faux plaf 1</t>
  </si>
  <si>
    <t>TB Labo 1</t>
  </si>
  <si>
    <t>Tête sprinkler 1</t>
  </si>
  <si>
    <t>Antenne 1 - Support 1</t>
  </si>
  <si>
    <t>Antenne 1 - Support 2</t>
  </si>
  <si>
    <t>Antenne 2</t>
  </si>
  <si>
    <t>Antenne 2 - fin de ligne</t>
  </si>
  <si>
    <t>Antenne 2 - fin de ligne (fond)</t>
  </si>
  <si>
    <t>Toiture 2</t>
  </si>
  <si>
    <t>TB Placo 2</t>
  </si>
  <si>
    <t>TB Faux plaf 2</t>
  </si>
  <si>
    <t>TB Labo 2</t>
  </si>
  <si>
    <t>Tête sprinkler 2</t>
  </si>
  <si>
    <t>Antenne 2 - Support 1</t>
  </si>
  <si>
    <t>Antenne 2 - Support 2</t>
  </si>
  <si>
    <t>Antenne 3</t>
  </si>
  <si>
    <t>Antenne 3 - fin de ligne</t>
  </si>
  <si>
    <t>Antenne 3 - fin de ligne (fond)</t>
  </si>
  <si>
    <t>Toiture 3</t>
  </si>
  <si>
    <t>TB Placo 3</t>
  </si>
  <si>
    <t>TB Faux plaf 3</t>
  </si>
  <si>
    <t>TB Labo 3</t>
  </si>
  <si>
    <t>Tête sprinkler 3</t>
  </si>
  <si>
    <t>Antenne 3 - Support 1</t>
  </si>
  <si>
    <t>Antenne 3 - Support 2</t>
  </si>
  <si>
    <t>Consommable</t>
  </si>
  <si>
    <t>pot</t>
  </si>
  <si>
    <t>unité</t>
  </si>
  <si>
    <t>kg</t>
  </si>
  <si>
    <t>Matériel divers 1</t>
  </si>
  <si>
    <t>Matériel divers 2</t>
  </si>
  <si>
    <t>Matériel divers 3</t>
  </si>
  <si>
    <t>Matériel divers 4</t>
  </si>
  <si>
    <t>Matériel divers 5</t>
  </si>
  <si>
    <t>Matériel divers 6</t>
  </si>
  <si>
    <t>Matériel divers 7</t>
  </si>
  <si>
    <t>Matériel divers 8</t>
  </si>
  <si>
    <t>Matériel divers 9</t>
  </si>
  <si>
    <t>Matériel divers 10</t>
  </si>
  <si>
    <t>Collecteur 4</t>
  </si>
  <si>
    <t>Collecteur 1 - Support 3</t>
  </si>
  <si>
    <t>Collecteur 2 - Support 3</t>
  </si>
  <si>
    <t>Collecteur 3 - Support 3</t>
  </si>
  <si>
    <t>Collecteur 4 - Support 3</t>
  </si>
  <si>
    <t>Antenne 4</t>
  </si>
  <si>
    <t>Antenne 4 - fin de ligne</t>
  </si>
  <si>
    <t>Antenne 4 - fin de ligne (fond)</t>
  </si>
  <si>
    <t>Toiture 4</t>
  </si>
  <si>
    <t>TB Placo 4</t>
  </si>
  <si>
    <t>TB Faux plaf 4</t>
  </si>
  <si>
    <t>TB Labo 4</t>
  </si>
  <si>
    <t>Tête sprinkler 4</t>
  </si>
  <si>
    <t>Antenne 1 - Support 3</t>
  </si>
  <si>
    <t>Antenne 2 - Support 3</t>
  </si>
  <si>
    <t>Antenne 3 - Support 3</t>
  </si>
  <si>
    <t>Antenne 4 - Support 3</t>
  </si>
  <si>
    <t>Boucle 1</t>
  </si>
  <si>
    <t>Boucle 1 - Support 1</t>
  </si>
  <si>
    <t>Boucle 1 - Support 2</t>
  </si>
  <si>
    <t>Boucle 1 - Support 3</t>
  </si>
  <si>
    <t>Boucle 2</t>
  </si>
  <si>
    <t>Boucle 2 - départ</t>
  </si>
  <si>
    <t>Boucle 2 - Support 1</t>
  </si>
  <si>
    <t>Boucle 2 - Support 2</t>
  </si>
  <si>
    <t>Boucle 2 - Support 3</t>
  </si>
  <si>
    <t>Boucle 3</t>
  </si>
  <si>
    <t>Boucle 3 - départ</t>
  </si>
  <si>
    <t>Boucle 3 - Support 1</t>
  </si>
  <si>
    <t>Boucle 3 - Support 2</t>
  </si>
  <si>
    <t>Boucle 3 - Support 3</t>
  </si>
  <si>
    <t>Boucle 4</t>
  </si>
  <si>
    <t>Boucle 4 - départ</t>
  </si>
  <si>
    <t>Boucle 4 - Support 1</t>
  </si>
  <si>
    <t>Boucle 4 - Support 2</t>
  </si>
  <si>
    <t>Boucle 4 - Support 3</t>
  </si>
  <si>
    <t>RIA 33/30 - Boucle 1</t>
  </si>
  <si>
    <t>RIA 25/30 - Boucle 1</t>
  </si>
  <si>
    <t>RIA 33/30 - Boucle 2</t>
  </si>
  <si>
    <t>RIA 25/30 - Boucle 2</t>
  </si>
  <si>
    <t>RIA 33/30 - Boucle 3</t>
  </si>
  <si>
    <t>RIA 25/30 - Boucle 3</t>
  </si>
  <si>
    <t>RIA 33/30 - Boucle 4</t>
  </si>
  <si>
    <t>RIA 25/30 - Boucle 4</t>
  </si>
  <si>
    <t>Accessoires - FAVO</t>
  </si>
  <si>
    <t>Accessoires - DEFAVO</t>
  </si>
  <si>
    <t>Définissez ici vos groupes de supports : nom du groupe + jusqu'à 6 composants (article + quantité par support unitaire, ex: 0,3 pour 0,3 m de tige par support).</t>
  </si>
  <si>
    <t>MATRICE DES GROUPES DE SUPPORTS</t>
  </si>
  <si>
    <t>N°</t>
  </si>
  <si>
    <t>Nom du groupe</t>
  </si>
  <si>
    <t>Composant 1</t>
  </si>
  <si>
    <t>Qté/support 1</t>
  </si>
  <si>
    <t>Composant 2</t>
  </si>
  <si>
    <t>Qté/support 2</t>
  </si>
  <si>
    <t>Composant 3</t>
  </si>
  <si>
    <t>Qté/support 3</t>
  </si>
  <si>
    <t>Composant 4</t>
  </si>
  <si>
    <t>Qté/support 4</t>
  </si>
  <si>
    <t>Composant 5</t>
  </si>
  <si>
    <t>Qté/support 5</t>
  </si>
  <si>
    <t>Composant 6</t>
  </si>
  <si>
    <t>Qté/support 6</t>
  </si>
  <si>
    <t>Tecner / Poire</t>
  </si>
  <si>
    <t>Liste de matériel à commander - SPK + RIA (codes identiques regroupés et additionnés, y compris entre SPK et RIA)</t>
  </si>
  <si>
    <t>Quantité totale</t>
  </si>
  <si>
    <t>Date de livraison</t>
  </si>
  <si>
    <t>Date de livraison (unique, appliquée à toute la commande) :</t>
  </si>
  <si>
    <t>Unités :</t>
  </si>
  <si>
    <t>NORMAL</t>
  </si>
  <si>
    <t>Commande triée par fournisseur (mise à jour automatique - remplissez la colonne Fournisseur dans Catalogue)</t>
  </si>
  <si>
    <t>Date de livraison :</t>
  </si>
  <si>
    <t xml:space="preserve">CHOIX ARTICLE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</si>
</sst>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##"/>
    <numFmt numFmtId="166" formatCode="dd\.mm\.yyyy"/>
    <numFmt numFmtId="167" formatCode="[=0]&quot;&quot;;dd\.mm\.yyyy"/>
  </numFmts>
  <fonts count="29" x14ac:knownFonts="1">
    <font>
      <sz val="11"/>
      <color theme="1"/>
      <name val="Aptos Narrow"/>
      <family val="2"/>
      <charset val="1"/>
    </font>
    <font>
      <i/>
      <sz val="9"/>
      <color rgb="FF808080"/>
      <name val="Arial"/>
      <family val="2"/>
    </font>
    <font>
      <b/>
      <sz val="9"/>
      <name val="Arial"/>
      <family val="2"/>
    </font>
    <font>
      <sz val="11"/>
      <color theme="1"/>
      <name val="Aptos Narrow"/>
      <family val="2"/>
    </font>
    <font>
      <i/>
      <sz val="9"/>
      <color rgb="FF7F7F7F"/>
      <name val="Aptos Narrow"/>
      <family val="2"/>
      <charset val="1"/>
    </font>
    <font>
      <i/>
      <sz val="9"/>
      <color rgb="FF7F7F7F"/>
      <name val="Aptos Narrow"/>
      <family val="2"/>
    </font>
    <font>
      <b/>
      <sz val="18"/>
      <color rgb="FFFFFFFF"/>
      <name val="Aptos Narrow"/>
      <family val="2"/>
    </font>
    <font>
      <sz val="11"/>
      <color rgb="FF000000"/>
      <name val="Aptos Narrow"/>
      <family val="2"/>
    </font>
    <font>
      <b/>
      <sz val="11"/>
      <color theme="0"/>
      <name val="Aptos Narrow"/>
      <family val="2"/>
    </font>
    <font>
      <b/>
      <sz val="11"/>
      <color rgb="FF123A5E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rgb="FF393939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  <charset val="1"/>
    </font>
    <font>
      <sz val="8"/>
      <color theme="1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b/>
      <sz val="11"/>
      <color rgb="FF123A5E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i/>
      <sz val="8"/>
      <color rgb="FF7F7F7F"/>
      <name val="Aptos Narrow"/>
      <family val="2"/>
      <charset val="1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ptos Narrow"/>
      <family val="2"/>
    </font>
    <font>
      <b/>
      <sz val="11"/>
      <color rgb="FF0000FF"/>
      <name val="Aptos Narrow"/>
      <family val="2"/>
    </font>
    <font>
      <sz val="11"/>
      <name val="Aptos Narrow"/>
      <family val="2"/>
    </font>
    <font>
      <b/>
      <sz val="11"/>
      <color rgb="FF0000FF"/>
      <name val="Aptos Narrow"/>
      <family val="2"/>
      <charset val="1"/>
    </font>
    <font>
      <b/>
      <sz val="13"/>
      <color rgb="FFFFFFFF"/>
      <name val="Aptos Narrow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rgb="FFDCEEF8"/>
      </patternFill>
    </fill>
    <fill>
      <patternFill patternType="solid">
        <fgColor rgb="FF123A5E"/>
        <bgColor rgb="FF1F4E78"/>
      </patternFill>
    </fill>
    <fill>
      <patternFill patternType="solid">
        <fgColor rgb="FFFF0000"/>
        <bgColor rgb="FFC00000"/>
      </patternFill>
    </fill>
    <fill>
      <patternFill patternType="solid">
        <fgColor theme="0"/>
        <bgColor rgb="FFFFF2CC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FFF2CC"/>
        <bgColor rgb="FFFFFFFF"/>
      </patternFill>
    </fill>
    <fill>
      <patternFill patternType="solid">
        <fgColor theme="1" tint="0.24948881496627703"/>
        <bgColor rgb="FF393939"/>
      </patternFill>
    </fill>
    <fill>
      <patternFill patternType="solid">
        <fgColor rgb="FFDCEEF8"/>
        <bgColor rgb="FFC1E5F5"/>
      </patternFill>
    </fill>
    <fill>
      <patternFill patternType="solid">
        <fgColor rgb="FF5B6770"/>
        <bgColor rgb="FF7F7F7F"/>
      </patternFill>
    </fill>
    <fill>
      <patternFill patternType="solid">
        <fgColor rgb="FF29ABE2"/>
        <bgColor rgb="FF45B0E1"/>
      </patternFill>
    </fill>
    <fill>
      <patternFill patternType="solid">
        <fgColor rgb="FFC00000"/>
        <bgColor rgb="FFFF0000"/>
      </patternFill>
    </fill>
    <fill>
      <patternFill patternType="solid">
        <fgColor rgb="FF1F4E78"/>
        <bgColor rgb="FF123A5E"/>
      </patternFill>
    </fill>
  </fills>
  <borders count="57">
    <border>
      <left/>
      <right/>
      <top/>
      <bottom/>
      <diagonal/>
    </border>
    <border>
      <left style="thin">
        <color theme="4" tint="0.39939573351237523"/>
      </left>
      <right/>
      <top style="thin">
        <color theme="4" tint="0.39939573351237523"/>
      </top>
      <bottom style="thin">
        <color theme="4" tint="0.39939573351237523"/>
      </bottom>
      <diagonal/>
    </border>
    <border>
      <left/>
      <right/>
      <top style="thin">
        <color theme="4" tint="0.39939573351237523"/>
      </top>
      <bottom style="thin">
        <color theme="4" tint="0.3993957335123752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rgb="FFD9D9D9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 style="thin">
        <color theme="0" tint="-0.14999847407452621"/>
      </left>
      <right style="thin">
        <color rgb="FFD9D9D9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 style="medium">
        <color theme="0" tint="-0.14999847407452621"/>
      </left>
      <right/>
      <top/>
      <bottom style="thin">
        <color rgb="FFD9D9D9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 style="medium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theme="0" tint="-0.14999847407452621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theme="0" tint="-0.14999847407452621"/>
      </right>
      <top/>
      <bottom style="thin">
        <color rgb="FFD9D9D9"/>
      </bottom>
      <diagonal/>
    </border>
    <border>
      <left/>
      <right style="thin">
        <color theme="0" tint="-0.14999847407452621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medium">
        <color theme="0" tint="-0.14999847407452621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23A5E"/>
      </top>
      <bottom/>
      <diagonal/>
    </border>
    <border>
      <left style="medium">
        <color theme="0" tint="-0.14999847407452621"/>
      </left>
      <right style="thin">
        <color rgb="FFD9D9D9"/>
      </right>
      <top style="thin">
        <color rgb="FFD9D9D9"/>
      </top>
      <bottom/>
      <diagonal/>
    </border>
    <border>
      <left style="medium">
        <color auto="1"/>
      </left>
      <right/>
      <top/>
      <bottom style="thin">
        <color rgb="FFD9D9D9"/>
      </bottom>
      <diagonal/>
    </border>
    <border>
      <left style="medium">
        <color theme="0" tint="-0.14999847407452621"/>
      </left>
      <right style="thin">
        <color rgb="FFD9D9D9"/>
      </right>
      <top style="thin">
        <color rgb="FFD9D9D9"/>
      </top>
      <bottom style="medium">
        <color theme="0" tint="-0.14999847407452621"/>
      </bottom>
      <diagonal/>
    </border>
    <border>
      <left style="thin">
        <color rgb="FFD9D9D9"/>
      </left>
      <right/>
      <top style="thin">
        <color rgb="FFD9D9D9"/>
      </top>
      <bottom style="medium">
        <color theme="0" tint="-0.14999847407452621"/>
      </bottom>
      <diagonal/>
    </border>
    <border>
      <left style="thin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 style="thin">
        <color theme="0" tint="-0.14999847407452621"/>
      </bottom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 style="thin">
        <color theme="0" tint="-0.14999847407452621"/>
      </bottom>
      <diagonal/>
    </border>
    <border>
      <left style="medium">
        <color theme="0" tint="-0.14999847407452621"/>
      </left>
      <right style="thin">
        <color rgb="FFD9D9D9"/>
      </right>
      <top/>
      <bottom style="thin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medium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medium">
        <color theme="0" tint="-0.14999847407452621"/>
      </left>
      <right style="hair">
        <color rgb="FFD9D9D9"/>
      </right>
      <top style="medium">
        <color theme="0" tint="-0.14999847407452621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medium">
        <color theme="0" tint="-0.14999847407452621"/>
      </top>
      <bottom style="hair">
        <color rgb="FFD9D9D9"/>
      </bottom>
      <diagonal/>
    </border>
    <border>
      <left style="hair">
        <color rgb="FFD9D9D9"/>
      </left>
      <right style="medium">
        <color theme="0" tint="-0.14999847407452621"/>
      </right>
      <top style="medium">
        <color theme="0" tint="-0.14999847407452621"/>
      </top>
      <bottom style="hair">
        <color rgb="FFD9D9D9"/>
      </bottom>
      <diagonal/>
    </border>
    <border>
      <left style="medium">
        <color theme="0" tint="-0.14999847407452621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medium">
        <color theme="0" tint="-0.14999847407452621"/>
      </right>
      <top style="hair">
        <color rgb="FFD9D9D9"/>
      </top>
      <bottom style="hair">
        <color rgb="FFD9D9D9"/>
      </bottom>
      <diagonal/>
    </border>
    <border>
      <left style="medium">
        <color rgb="FF123A5E"/>
      </left>
      <right style="medium">
        <color rgb="FF123A5E"/>
      </right>
      <top style="medium">
        <color rgb="FF123A5E"/>
      </top>
      <bottom style="medium">
        <color rgb="FF123A5E"/>
      </bottom>
      <diagonal/>
    </border>
    <border>
      <left style="medium">
        <color rgb="FF123A5E"/>
      </left>
      <right/>
      <top style="medium">
        <color rgb="FF123A5E"/>
      </top>
      <bottom/>
      <diagonal/>
    </border>
    <border>
      <left/>
      <right style="medium">
        <color rgb="FF123A5E"/>
      </right>
      <top style="medium">
        <color rgb="FF123A5E"/>
      </top>
      <bottom/>
      <diagonal/>
    </border>
    <border>
      <left style="medium">
        <color rgb="FF123A5E"/>
      </left>
      <right/>
      <top/>
      <bottom/>
      <diagonal/>
    </border>
    <border>
      <left/>
      <right style="medium">
        <color rgb="FF123A5E"/>
      </right>
      <top/>
      <bottom/>
      <diagonal/>
    </border>
    <border>
      <left style="medium">
        <color rgb="FF123A5E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medium">
        <color rgb="FF123A5E"/>
      </right>
      <top style="hair">
        <color rgb="FFD9D9D9"/>
      </top>
      <bottom style="hair">
        <color rgb="FFD9D9D9"/>
      </bottom>
      <diagonal/>
    </border>
    <border>
      <left style="medium">
        <color rgb="FF123A5E"/>
      </left>
      <right style="hair">
        <color rgb="FFD9D9D9"/>
      </right>
      <top style="hair">
        <color rgb="FFD9D9D9"/>
      </top>
      <bottom style="medium">
        <color rgb="FF123A5E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medium">
        <color rgb="FF123A5E"/>
      </bottom>
      <diagonal/>
    </border>
    <border>
      <left style="hair">
        <color rgb="FFD9D9D9"/>
      </left>
      <right style="medium">
        <color rgb="FF123A5E"/>
      </right>
      <top style="hair">
        <color rgb="FFD9D9D9"/>
      </top>
      <bottom style="medium">
        <color rgb="FF123A5E"/>
      </bottom>
      <diagonal/>
    </border>
    <border>
      <left/>
      <right style="medium">
        <color theme="0" tint="-0.14999847407452621"/>
      </right>
      <top style="medium">
        <color rgb="FF123A5E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2" fillId="7" borderId="5" xfId="0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Alignment="1">
      <alignment vertical="center"/>
    </xf>
    <xf numFmtId="0" fontId="12" fillId="7" borderId="9" xfId="0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>
      <alignment vertical="center"/>
    </xf>
    <xf numFmtId="0" fontId="11" fillId="6" borderId="9" xfId="0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7" fillId="0" borderId="12" xfId="0" applyFont="1" applyBorder="1" applyAlignment="1">
      <alignment horizontal="left" vertical="center" indent="1"/>
    </xf>
    <xf numFmtId="0" fontId="13" fillId="3" borderId="13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1" fontId="12" fillId="7" borderId="16" xfId="0" applyNumberFormat="1" applyFont="1" applyFill="1" applyBorder="1" applyAlignment="1" applyProtection="1">
      <alignment horizontal="center" vertical="center"/>
      <protection locked="0"/>
    </xf>
    <xf numFmtId="1" fontId="12" fillId="7" borderId="17" xfId="0" applyNumberFormat="1" applyFont="1" applyFill="1" applyBorder="1" applyAlignment="1" applyProtection="1">
      <alignment horizontal="center" vertical="center"/>
      <protection locked="0"/>
    </xf>
    <xf numFmtId="1" fontId="12" fillId="7" borderId="18" xfId="0" applyNumberFormat="1" applyFont="1" applyFill="1" applyBorder="1" applyAlignment="1" applyProtection="1">
      <alignment horizontal="center" vertical="center"/>
      <protection locked="0"/>
    </xf>
    <xf numFmtId="1" fontId="12" fillId="7" borderId="19" xfId="0" applyNumberFormat="1" applyFont="1" applyFill="1" applyBorder="1" applyAlignment="1" applyProtection="1">
      <alignment horizontal="center" vertical="center"/>
      <protection locked="0"/>
    </xf>
    <xf numFmtId="1" fontId="12" fillId="7" borderId="14" xfId="0" applyNumberFormat="1" applyFont="1" applyFill="1" applyBorder="1" applyAlignment="1" applyProtection="1">
      <alignment horizontal="center" vertical="center"/>
      <protection locked="0"/>
    </xf>
    <xf numFmtId="1" fontId="12" fillId="7" borderId="20" xfId="0" applyNumberFormat="1" applyFont="1" applyFill="1" applyBorder="1" applyAlignment="1" applyProtection="1">
      <alignment horizontal="center" vertical="center"/>
      <protection locked="0"/>
    </xf>
    <xf numFmtId="1" fontId="12" fillId="7" borderId="21" xfId="0" applyNumberFormat="1" applyFont="1" applyFill="1" applyBorder="1" applyAlignment="1" applyProtection="1">
      <alignment horizontal="center" vertical="center"/>
      <protection locked="0"/>
    </xf>
    <xf numFmtId="1" fontId="12" fillId="7" borderId="22" xfId="0" applyNumberFormat="1" applyFont="1" applyFill="1" applyBorder="1" applyAlignment="1" applyProtection="1">
      <alignment horizontal="center" vertical="center"/>
      <protection locked="0"/>
    </xf>
    <xf numFmtId="0" fontId="12" fillId="7" borderId="14" xfId="0" applyFont="1" applyFill="1" applyBorder="1" applyAlignment="1" applyProtection="1">
      <alignment horizontal="center" vertical="center"/>
      <protection locked="0"/>
    </xf>
    <xf numFmtId="0" fontId="12" fillId="7" borderId="21" xfId="0" applyFont="1" applyFill="1" applyBorder="1" applyAlignment="1" applyProtection="1">
      <alignment horizontal="center" vertical="center"/>
      <protection locked="0"/>
    </xf>
    <xf numFmtId="0" fontId="12" fillId="7" borderId="22" xfId="0" applyFont="1" applyFill="1" applyBorder="1" applyAlignment="1" applyProtection="1">
      <alignment horizontal="center" vertical="center"/>
      <protection locked="0"/>
    </xf>
    <xf numFmtId="0" fontId="15" fillId="0" borderId="4" xfId="0" applyFont="1" applyBorder="1" applyAlignment="1">
      <alignment horizontal="left" vertical="center" indent="1"/>
    </xf>
    <xf numFmtId="164" fontId="12" fillId="7" borderId="14" xfId="0" applyNumberFormat="1" applyFont="1" applyFill="1" applyBorder="1" applyAlignment="1" applyProtection="1">
      <alignment horizontal="center" vertical="center"/>
      <protection locked="0"/>
    </xf>
    <xf numFmtId="164" fontId="12" fillId="7" borderId="21" xfId="0" applyNumberFormat="1" applyFont="1" applyFill="1" applyBorder="1" applyAlignment="1" applyProtection="1">
      <alignment horizontal="center" vertical="center"/>
      <protection locked="0"/>
    </xf>
    <xf numFmtId="164" fontId="12" fillId="7" borderId="22" xfId="0" applyNumberFormat="1" applyFont="1" applyFill="1" applyBorder="1" applyAlignment="1" applyProtection="1">
      <alignment horizontal="center" vertical="center"/>
      <protection locked="0"/>
    </xf>
    <xf numFmtId="0" fontId="7" fillId="0" borderId="24" xfId="0" applyFont="1" applyBorder="1" applyAlignment="1">
      <alignment horizontal="left" vertical="center" indent="1"/>
    </xf>
    <xf numFmtId="1" fontId="12" fillId="7" borderId="15" xfId="0" applyNumberFormat="1" applyFont="1" applyFill="1" applyBorder="1" applyAlignment="1" applyProtection="1">
      <alignment horizontal="center" vertical="center"/>
      <protection locked="0"/>
    </xf>
    <xf numFmtId="0" fontId="13" fillId="3" borderId="16" xfId="0" applyFont="1" applyFill="1" applyBorder="1" applyAlignment="1">
      <alignment horizontal="center" vertical="center"/>
    </xf>
    <xf numFmtId="0" fontId="12" fillId="7" borderId="4" xfId="0" applyFont="1" applyFill="1" applyBorder="1" applyAlignment="1" applyProtection="1">
      <alignment horizontal="left" vertical="center" indent="1"/>
      <protection locked="0"/>
    </xf>
    <xf numFmtId="0" fontId="13" fillId="3" borderId="2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5" fillId="0" borderId="26" xfId="0" applyFont="1" applyBorder="1" applyAlignment="1">
      <alignment horizontal="left" vertical="center" indent="1"/>
    </xf>
    <xf numFmtId="1" fontId="12" fillId="7" borderId="27" xfId="0" applyNumberFormat="1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29" xfId="0" applyFont="1" applyBorder="1" applyAlignment="1">
      <alignment vertical="center"/>
    </xf>
    <xf numFmtId="0" fontId="7" fillId="0" borderId="31" xfId="0" applyFont="1" applyBorder="1" applyAlignment="1">
      <alignment horizontal="left" vertical="center" indent="1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18" fillId="9" borderId="16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8" fillId="9" borderId="19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vertical="center"/>
    </xf>
    <xf numFmtId="0" fontId="12" fillId="7" borderId="15" xfId="0" applyFont="1" applyFill="1" applyBorder="1" applyAlignment="1" applyProtection="1">
      <alignment horizontal="center" vertical="center"/>
      <protection locked="0"/>
    </xf>
    <xf numFmtId="0" fontId="20" fillId="0" borderId="7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13" fillId="3" borderId="35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12" fillId="7" borderId="27" xfId="0" applyFont="1" applyFill="1" applyBorder="1" applyAlignment="1" applyProtection="1">
      <alignment horizontal="center" vertical="center"/>
      <protection locked="0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21" fillId="0" borderId="0" xfId="0" applyFont="1"/>
    <xf numFmtId="0" fontId="22" fillId="0" borderId="0" xfId="0" applyFont="1"/>
    <xf numFmtId="1" fontId="21" fillId="0" borderId="0" xfId="0" applyNumberFormat="1" applyFont="1"/>
    <xf numFmtId="165" fontId="21" fillId="0" borderId="0" xfId="0" applyNumberFormat="1" applyFont="1"/>
    <xf numFmtId="0" fontId="23" fillId="13" borderId="0" xfId="0" applyFont="1" applyFill="1"/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/>
    </xf>
    <xf numFmtId="0" fontId="12" fillId="7" borderId="5" xfId="0" applyFont="1" applyFill="1" applyBorder="1" applyAlignment="1" applyProtection="1">
      <alignment horizontal="left" vertical="center" indent="1"/>
      <protection locked="0"/>
    </xf>
    <xf numFmtId="0" fontId="18" fillId="9" borderId="26" xfId="0" applyFont="1" applyFill="1" applyBorder="1" applyAlignment="1">
      <alignment horizontal="center" vertical="center"/>
    </xf>
    <xf numFmtId="0" fontId="12" fillId="7" borderId="37" xfId="0" applyFont="1" applyFill="1" applyBorder="1" applyAlignment="1" applyProtection="1">
      <alignment horizontal="left" vertical="center" indent="1"/>
      <protection locked="0"/>
    </xf>
    <xf numFmtId="0" fontId="12" fillId="7" borderId="37" xfId="0" applyFont="1" applyFill="1" applyBorder="1" applyAlignment="1" applyProtection="1">
      <alignment horizontal="center" vertical="center"/>
      <protection locked="0"/>
    </xf>
    <xf numFmtId="0" fontId="12" fillId="7" borderId="38" xfId="0" applyFont="1" applyFill="1" applyBorder="1" applyAlignment="1" applyProtection="1">
      <alignment horizontal="center" vertical="center"/>
      <protection locked="0"/>
    </xf>
    <xf numFmtId="0" fontId="0" fillId="0" borderId="12" xfId="0" applyBorder="1"/>
    <xf numFmtId="1" fontId="0" fillId="0" borderId="0" xfId="0" applyNumberFormat="1"/>
    <xf numFmtId="166" fontId="0" fillId="0" borderId="8" xfId="0" applyNumberFormat="1" applyBorder="1"/>
    <xf numFmtId="166" fontId="0" fillId="0" borderId="0" xfId="0" applyNumberFormat="1"/>
    <xf numFmtId="166" fontId="5" fillId="0" borderId="0" xfId="0" applyNumberFormat="1" applyFont="1" applyAlignment="1">
      <alignment vertical="center"/>
    </xf>
    <xf numFmtId="0" fontId="24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7" fontId="25" fillId="7" borderId="39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26" fillId="0" borderId="40" xfId="0" applyFont="1" applyBorder="1" applyAlignment="1">
      <alignment vertical="center"/>
    </xf>
    <xf numFmtId="0" fontId="26" fillId="0" borderId="41" xfId="0" applyFont="1" applyBorder="1" applyAlignment="1">
      <alignment vertical="center"/>
    </xf>
    <xf numFmtId="167" fontId="3" fillId="0" borderId="4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26" fillId="0" borderId="43" xfId="0" applyFont="1" applyBorder="1" applyAlignment="1">
      <alignment vertical="center"/>
    </xf>
    <xf numFmtId="0" fontId="26" fillId="0" borderId="44" xfId="0" applyFont="1" applyBorder="1" applyAlignment="1">
      <alignment vertical="center"/>
    </xf>
    <xf numFmtId="167" fontId="3" fillId="0" borderId="45" xfId="0" applyNumberFormat="1" applyFont="1" applyBorder="1" applyAlignment="1">
      <alignment vertical="center"/>
    </xf>
    <xf numFmtId="0" fontId="18" fillId="0" borderId="12" xfId="0" applyFont="1" applyBorder="1" applyAlignment="1">
      <alignment horizontal="right" vertical="center"/>
    </xf>
    <xf numFmtId="0" fontId="27" fillId="7" borderId="46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18" fillId="0" borderId="0" xfId="0" applyFont="1" applyAlignment="1">
      <alignment horizontal="right"/>
    </xf>
    <xf numFmtId="167" fontId="27" fillId="7" borderId="46" xfId="0" applyNumberFormat="1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>
      <alignment horizontal="left"/>
    </xf>
    <xf numFmtId="0" fontId="28" fillId="3" borderId="23" xfId="0" applyFont="1" applyFill="1" applyBorder="1" applyAlignment="1">
      <alignment horizontal="left"/>
    </xf>
    <xf numFmtId="0" fontId="28" fillId="3" borderId="48" xfId="0" applyFont="1" applyFill="1" applyBorder="1" applyAlignment="1">
      <alignment horizontal="left"/>
    </xf>
    <xf numFmtId="0" fontId="18" fillId="9" borderId="49" xfId="0" applyFont="1" applyFill="1" applyBorder="1" applyAlignment="1">
      <alignment horizontal="center"/>
    </xf>
    <xf numFmtId="0" fontId="18" fillId="9" borderId="0" xfId="0" applyFont="1" applyFill="1" applyAlignment="1">
      <alignment horizontal="center"/>
    </xf>
    <xf numFmtId="0" fontId="18" fillId="9" borderId="50" xfId="0" applyFont="1" applyFill="1" applyBorder="1" applyAlignment="1">
      <alignment horizontal="center"/>
    </xf>
    <xf numFmtId="0" fontId="15" fillId="0" borderId="51" xfId="0" applyFont="1" applyBorder="1"/>
    <xf numFmtId="0" fontId="15" fillId="0" borderId="44" xfId="0" applyFont="1" applyBorder="1"/>
    <xf numFmtId="167" fontId="15" fillId="0" borderId="52" xfId="0" applyNumberFormat="1" applyFont="1" applyBorder="1"/>
    <xf numFmtId="0" fontId="27" fillId="7" borderId="46" xfId="0" applyFont="1" applyFill="1" applyBorder="1" applyAlignment="1" applyProtection="1">
      <alignment horizontal="center"/>
      <protection locked="0"/>
    </xf>
    <xf numFmtId="0" fontId="15" fillId="0" borderId="23" xfId="0" applyFont="1" applyBorder="1"/>
    <xf numFmtId="0" fontId="15" fillId="0" borderId="53" xfId="0" applyFont="1" applyBorder="1"/>
    <xf numFmtId="0" fontId="15" fillId="0" borderId="54" xfId="0" applyFont="1" applyBorder="1"/>
    <xf numFmtId="167" fontId="15" fillId="0" borderId="55" xfId="0" applyNumberFormat="1" applyFont="1" applyBorder="1"/>
    <xf numFmtId="0" fontId="15" fillId="0" borderId="0" xfId="0" applyFont="1"/>
    <xf numFmtId="0" fontId="17" fillId="3" borderId="36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textRotation="90"/>
    </xf>
    <xf numFmtId="0" fontId="14" fillId="11" borderId="23" xfId="0" applyFont="1" applyFill="1" applyBorder="1" applyAlignment="1">
      <alignment horizontal="center" vertical="center" textRotation="90"/>
    </xf>
    <xf numFmtId="0" fontId="0" fillId="0" borderId="0" xfId="0"/>
    <xf numFmtId="0" fontId="14" fillId="10" borderId="56" xfId="0" applyFont="1" applyFill="1" applyBorder="1" applyAlignment="1">
      <alignment horizontal="center" vertical="center" textRotation="90"/>
    </xf>
    <xf numFmtId="0" fontId="14" fillId="10" borderId="8" xfId="0" applyFont="1" applyFill="1" applyBorder="1" applyAlignment="1">
      <alignment horizontal="center" vertical="center" textRotation="90"/>
    </xf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4" fillId="10" borderId="23" xfId="0" applyFont="1" applyFill="1" applyBorder="1" applyAlignment="1">
      <alignment horizontal="center" vertical="center" textRotation="90"/>
    </xf>
    <xf numFmtId="0" fontId="17" fillId="12" borderId="8" xfId="0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 textRotation="90"/>
    </xf>
    <xf numFmtId="0" fontId="19" fillId="10" borderId="33" xfId="0" applyFont="1" applyFill="1" applyBorder="1" applyAlignment="1">
      <alignment horizontal="center" vertical="center" textRotation="90"/>
    </xf>
    <xf numFmtId="0" fontId="19" fillId="12" borderId="3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17"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  <dxf>
      <font>
        <i/>
        <color rgb="FFA6A6A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FF2CC"/>
      <rgbColor rgb="FFDC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29ABE2"/>
      <rgbColor rgb="FFC1E5F5"/>
      <rgbColor rgb="FFCCFFCC"/>
      <rgbColor rgb="FFFFFF99"/>
      <rgbColor rgb="FF99CCFF"/>
      <rgbColor rgb="FFFF99CC"/>
      <rgbColor rgb="FFCC99FF"/>
      <rgbColor rgb="FFFFCC99"/>
      <rgbColor rgb="FF3366FF"/>
      <rgbColor rgb="FF45B0E1"/>
      <rgbColor rgb="FF99CC00"/>
      <rgbColor rgb="FFFFCC00"/>
      <rgbColor rgb="FFFF9900"/>
      <rgbColor rgb="FFFF6600"/>
      <rgbColor rgb="FF5B6770"/>
      <rgbColor rgb="FFA6A6A6"/>
      <rgbColor rgb="FF123A5E"/>
      <rgbColor rgb="FF339966"/>
      <rgbColor rgb="FF003300"/>
      <rgbColor rgb="FF404040"/>
      <rgbColor rgb="FF993300"/>
      <rgbColor rgb="FF993366"/>
      <rgbColor rgb="FF1F4E78"/>
      <rgbColor rgb="FF39393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1366920</xdr:colOff>
      <xdr:row>2</xdr:row>
      <xdr:rowOff>46080</xdr:rowOff>
    </xdr:from>
    <xdr:to>
      <xdr:col>10</xdr:col>
      <xdr:colOff>32760</xdr:colOff>
      <xdr:row>7</xdr:row>
      <xdr:rowOff>60840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406080" y="674640"/>
          <a:ext cx="2805840" cy="1024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CBD8E4-D54F-4513-89A9-4773A2C0EDD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b4e2cea-edbe-4eb6-ae0e-020337d13249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2:L455"/>
  <sheetViews>
    <sheetView showGridLines="0" topLeftCell="A401" zoomScaleNormal="100" workbookViewId="0">
      <selection activeCell="H16" sqref="H16"/>
    </sheetView>
  </sheetViews>
  <sheetFormatPr baseColWidth="10" defaultColWidth="10.5703125" defaultRowHeight="15" x14ac:dyDescent="0.25"/>
  <cols>
    <col min="1" max="1" width="22" customWidth="1"/>
    <col min="2" max="2" width="45" customWidth="1"/>
    <col min="3" max="3" width="13" customWidth="1"/>
    <col min="4" max="4" width="17.140625" customWidth="1"/>
    <col min="5" max="5" width="31" customWidth="1"/>
    <col min="6" max="6" width="13" customWidth="1"/>
    <col min="7" max="7" width="14.28515625" customWidth="1"/>
    <col min="8" max="8" width="31.140625" customWidth="1"/>
    <col min="9" max="10" width="13" customWidth="1"/>
    <col min="11" max="11" width="22" customWidth="1"/>
    <col min="12" max="12" width="13" hidden="1" customWidth="1"/>
  </cols>
  <sheetData>
    <row r="2" spans="1:12" x14ac:dyDescent="0.25">
      <c r="A2" s="1" t="s">
        <v>0</v>
      </c>
    </row>
    <row r="3" spans="1:12" x14ac:dyDescent="0.25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</row>
    <row r="4" spans="1:12" x14ac:dyDescent="0.25">
      <c r="A4" s="3" t="s">
        <v>11</v>
      </c>
      <c r="B4" s="4" t="s">
        <v>12</v>
      </c>
      <c r="C4" t="s">
        <v>13</v>
      </c>
      <c r="D4" t="s">
        <v>14</v>
      </c>
      <c r="E4">
        <v>40</v>
      </c>
      <c r="G4" t="s">
        <v>15</v>
      </c>
      <c r="K4" t="s">
        <v>16</v>
      </c>
      <c r="L4">
        <f>IF(K4="",0,IF(COUNTIF($K$4:K4,K4)=1,1,0))</f>
        <v>1</v>
      </c>
    </row>
    <row r="5" spans="1:12" x14ac:dyDescent="0.25">
      <c r="A5" s="5" t="s">
        <v>17</v>
      </c>
      <c r="B5" s="6" t="s">
        <v>18</v>
      </c>
      <c r="C5" t="s">
        <v>13</v>
      </c>
      <c r="D5" t="s">
        <v>14</v>
      </c>
      <c r="E5">
        <v>50</v>
      </c>
      <c r="G5" t="s">
        <v>15</v>
      </c>
      <c r="K5" t="s">
        <v>16</v>
      </c>
      <c r="L5">
        <f>IF(K5="",0,IF(COUNTIF($K$4:K5,K5)=1,1,0))</f>
        <v>0</v>
      </c>
    </row>
    <row r="6" spans="1:12" x14ac:dyDescent="0.25">
      <c r="A6" s="3" t="s">
        <v>19</v>
      </c>
      <c r="B6" s="4" t="s">
        <v>20</v>
      </c>
      <c r="C6" t="s">
        <v>13</v>
      </c>
      <c r="D6" t="s">
        <v>14</v>
      </c>
      <c r="E6">
        <v>65</v>
      </c>
      <c r="K6" t="s">
        <v>16</v>
      </c>
      <c r="L6">
        <f>IF(K6="",0,IF(COUNTIF($K$4:K6,K6)=1,1,0))</f>
        <v>0</v>
      </c>
    </row>
    <row r="7" spans="1:12" x14ac:dyDescent="0.25">
      <c r="A7" s="5" t="s">
        <v>21</v>
      </c>
      <c r="B7" s="6" t="s">
        <v>22</v>
      </c>
      <c r="C7" t="s">
        <v>13</v>
      </c>
      <c r="D7" t="s">
        <v>14</v>
      </c>
      <c r="E7">
        <v>80</v>
      </c>
      <c r="K7" t="s">
        <v>16</v>
      </c>
      <c r="L7">
        <f>IF(K7="",0,IF(COUNTIF($K$4:K7,K7)=1,1,0))</f>
        <v>0</v>
      </c>
    </row>
    <row r="8" spans="1:12" x14ac:dyDescent="0.25">
      <c r="A8" s="3" t="s">
        <v>23</v>
      </c>
      <c r="B8" s="4" t="s">
        <v>24</v>
      </c>
      <c r="C8" t="s">
        <v>13</v>
      </c>
      <c r="D8" t="s">
        <v>14</v>
      </c>
      <c r="E8">
        <v>25</v>
      </c>
      <c r="K8" t="s">
        <v>16</v>
      </c>
      <c r="L8">
        <f>IF(K8="",0,IF(COUNTIF($K$4:K8,K8)=1,1,0))</f>
        <v>0</v>
      </c>
    </row>
    <row r="9" spans="1:12" x14ac:dyDescent="0.25">
      <c r="A9" s="5" t="s">
        <v>25</v>
      </c>
      <c r="B9" s="6" t="s">
        <v>26</v>
      </c>
      <c r="C9" t="s">
        <v>13</v>
      </c>
      <c r="D9" t="s">
        <v>14</v>
      </c>
      <c r="E9">
        <v>32</v>
      </c>
      <c r="K9" t="s">
        <v>16</v>
      </c>
      <c r="L9">
        <f>IF(K9="",0,IF(COUNTIF($K$4:K9,K9)=1,1,0))</f>
        <v>0</v>
      </c>
    </row>
    <row r="10" spans="1:12" x14ac:dyDescent="0.25">
      <c r="A10" s="3" t="s">
        <v>27</v>
      </c>
      <c r="B10" s="4" t="s">
        <v>28</v>
      </c>
      <c r="C10" t="s">
        <v>13</v>
      </c>
      <c r="D10" t="s">
        <v>14</v>
      </c>
      <c r="E10">
        <v>40</v>
      </c>
      <c r="G10" t="s">
        <v>29</v>
      </c>
      <c r="K10" t="s">
        <v>16</v>
      </c>
      <c r="L10">
        <f>IF(K10="",0,IF(COUNTIF($K$4:K10,K10)=1,1,0))</f>
        <v>0</v>
      </c>
    </row>
    <row r="11" spans="1:12" x14ac:dyDescent="0.25">
      <c r="A11" s="5" t="s">
        <v>30</v>
      </c>
      <c r="B11" s="6" t="s">
        <v>31</v>
      </c>
      <c r="C11" t="s">
        <v>13</v>
      </c>
      <c r="D11" t="s">
        <v>14</v>
      </c>
      <c r="E11">
        <v>50</v>
      </c>
      <c r="G11" t="s">
        <v>29</v>
      </c>
      <c r="K11" t="s">
        <v>16</v>
      </c>
      <c r="L11">
        <f>IF(K11="",0,IF(COUNTIF($K$4:K11,K11)=1,1,0))</f>
        <v>0</v>
      </c>
    </row>
    <row r="12" spans="1:12" x14ac:dyDescent="0.25">
      <c r="A12" s="3" t="s">
        <v>32</v>
      </c>
      <c r="B12" s="4" t="s">
        <v>33</v>
      </c>
      <c r="C12" t="s">
        <v>13</v>
      </c>
      <c r="D12" t="s">
        <v>34</v>
      </c>
      <c r="E12">
        <v>25</v>
      </c>
      <c r="K12" t="s">
        <v>16</v>
      </c>
      <c r="L12">
        <f>IF(K12="",0,IF(COUNTIF($K$4:K12,K12)=1,1,0))</f>
        <v>0</v>
      </c>
    </row>
    <row r="13" spans="1:12" x14ac:dyDescent="0.25">
      <c r="A13" s="5" t="s">
        <v>35</v>
      </c>
      <c r="B13" s="6" t="s">
        <v>36</v>
      </c>
      <c r="C13" t="s">
        <v>13</v>
      </c>
      <c r="D13" t="s">
        <v>34</v>
      </c>
      <c r="E13">
        <v>32</v>
      </c>
      <c r="K13" t="s">
        <v>16</v>
      </c>
      <c r="L13">
        <f>IF(K13="",0,IF(COUNTIF($K$4:K13,K13)=1,1,0))</f>
        <v>0</v>
      </c>
    </row>
    <row r="14" spans="1:12" x14ac:dyDescent="0.25">
      <c r="A14" s="3" t="s">
        <v>37</v>
      </c>
      <c r="B14" s="4" t="s">
        <v>38</v>
      </c>
      <c r="C14" t="s">
        <v>13</v>
      </c>
      <c r="D14" t="s">
        <v>34</v>
      </c>
      <c r="E14">
        <v>40</v>
      </c>
      <c r="K14" t="s">
        <v>16</v>
      </c>
      <c r="L14">
        <f>IF(K14="",0,IF(COUNTIF($K$4:K14,K14)=1,1,0))</f>
        <v>0</v>
      </c>
    </row>
    <row r="15" spans="1:12" x14ac:dyDescent="0.25">
      <c r="A15" s="5" t="s">
        <v>39</v>
      </c>
      <c r="B15" s="6" t="s">
        <v>40</v>
      </c>
      <c r="C15" t="s">
        <v>13</v>
      </c>
      <c r="D15" t="s">
        <v>34</v>
      </c>
      <c r="E15">
        <v>50</v>
      </c>
      <c r="K15" t="s">
        <v>16</v>
      </c>
      <c r="L15">
        <f>IF(K15="",0,IF(COUNTIF($K$4:K15,K15)=1,1,0))</f>
        <v>0</v>
      </c>
    </row>
    <row r="16" spans="1:12" x14ac:dyDescent="0.25">
      <c r="A16" s="3" t="s">
        <v>41</v>
      </c>
      <c r="B16" s="4" t="s">
        <v>42</v>
      </c>
      <c r="C16" t="s">
        <v>13</v>
      </c>
      <c r="D16" t="s">
        <v>14</v>
      </c>
      <c r="E16">
        <v>100</v>
      </c>
      <c r="K16" t="s">
        <v>16</v>
      </c>
      <c r="L16">
        <f>IF(K16="",0,IF(COUNTIF($K$4:K16,K16)=1,1,0))</f>
        <v>0</v>
      </c>
    </row>
    <row r="17" spans="1:12" x14ac:dyDescent="0.25">
      <c r="A17" s="5" t="s">
        <v>43</v>
      </c>
      <c r="B17" s="6" t="s">
        <v>44</v>
      </c>
      <c r="C17" t="s">
        <v>13</v>
      </c>
      <c r="D17" t="s">
        <v>14</v>
      </c>
      <c r="E17">
        <v>125</v>
      </c>
      <c r="K17" t="s">
        <v>16</v>
      </c>
      <c r="L17">
        <f>IF(K17="",0,IF(COUNTIF($K$4:K17,K17)=1,1,0))</f>
        <v>0</v>
      </c>
    </row>
    <row r="18" spans="1:12" x14ac:dyDescent="0.25">
      <c r="A18" s="3" t="s">
        <v>45</v>
      </c>
      <c r="B18" s="4" t="s">
        <v>46</v>
      </c>
      <c r="C18" t="s">
        <v>13</v>
      </c>
      <c r="D18" t="s">
        <v>14</v>
      </c>
      <c r="E18">
        <v>150</v>
      </c>
      <c r="K18" t="s">
        <v>16</v>
      </c>
      <c r="L18">
        <f>IF(K18="",0,IF(COUNTIF($K$4:K18,K18)=1,1,0))</f>
        <v>0</v>
      </c>
    </row>
    <row r="19" spans="1:12" x14ac:dyDescent="0.25">
      <c r="A19" s="5" t="s">
        <v>47</v>
      </c>
      <c r="B19" s="6" t="s">
        <v>48</v>
      </c>
      <c r="C19" t="s">
        <v>13</v>
      </c>
      <c r="D19" t="s">
        <v>34</v>
      </c>
      <c r="E19">
        <v>65</v>
      </c>
      <c r="K19" t="s">
        <v>16</v>
      </c>
      <c r="L19">
        <f>IF(K19="",0,IF(COUNTIF($K$4:K19,K19)=1,1,0))</f>
        <v>0</v>
      </c>
    </row>
    <row r="20" spans="1:12" x14ac:dyDescent="0.25">
      <c r="A20" s="3" t="s">
        <v>49</v>
      </c>
      <c r="B20" s="4" t="s">
        <v>50</v>
      </c>
      <c r="C20" t="s">
        <v>13</v>
      </c>
      <c r="D20" t="s">
        <v>34</v>
      </c>
      <c r="E20">
        <v>80</v>
      </c>
      <c r="K20" t="s">
        <v>16</v>
      </c>
      <c r="L20">
        <f>IF(K20="",0,IF(COUNTIF($K$4:K20,K20)=1,1,0))</f>
        <v>0</v>
      </c>
    </row>
    <row r="21" spans="1:12" x14ac:dyDescent="0.25">
      <c r="A21" s="5" t="s">
        <v>51</v>
      </c>
      <c r="B21" s="6" t="s">
        <v>52</v>
      </c>
      <c r="C21" t="s">
        <v>13</v>
      </c>
      <c r="D21" t="s">
        <v>34</v>
      </c>
      <c r="E21">
        <v>100</v>
      </c>
      <c r="K21" t="s">
        <v>16</v>
      </c>
      <c r="L21">
        <f>IF(K21="",0,IF(COUNTIF($K$4:K21,K21)=1,1,0))</f>
        <v>0</v>
      </c>
    </row>
    <row r="22" spans="1:12" x14ac:dyDescent="0.25">
      <c r="A22" s="3" t="s">
        <v>53</v>
      </c>
      <c r="B22" s="4" t="s">
        <v>54</v>
      </c>
      <c r="C22" t="s">
        <v>13</v>
      </c>
      <c r="D22" t="s">
        <v>34</v>
      </c>
      <c r="E22">
        <v>125</v>
      </c>
      <c r="K22" t="s">
        <v>16</v>
      </c>
      <c r="L22">
        <f>IF(K22="",0,IF(COUNTIF($K$4:K22,K22)=1,1,0))</f>
        <v>0</v>
      </c>
    </row>
    <row r="23" spans="1:12" x14ac:dyDescent="0.25">
      <c r="A23" s="5" t="s">
        <v>55</v>
      </c>
      <c r="B23" s="6" t="s">
        <v>56</v>
      </c>
      <c r="C23" t="s">
        <v>13</v>
      </c>
      <c r="D23" t="s">
        <v>34</v>
      </c>
      <c r="E23">
        <v>150</v>
      </c>
      <c r="K23" t="s">
        <v>16</v>
      </c>
      <c r="L23">
        <f>IF(K23="",0,IF(COUNTIF($K$4:K23,K23)=1,1,0))</f>
        <v>0</v>
      </c>
    </row>
    <row r="24" spans="1:12" x14ac:dyDescent="0.25">
      <c r="A24" s="3" t="s">
        <v>57</v>
      </c>
      <c r="B24" s="4" t="s">
        <v>58</v>
      </c>
      <c r="C24" t="s">
        <v>59</v>
      </c>
      <c r="D24" t="s">
        <v>14</v>
      </c>
      <c r="E24">
        <v>32</v>
      </c>
      <c r="K24" t="s">
        <v>60</v>
      </c>
      <c r="L24">
        <f>IF(K24="",0,IF(COUNTIF($K$4:K24,K24)=1,1,0))</f>
        <v>1</v>
      </c>
    </row>
    <row r="25" spans="1:12" x14ac:dyDescent="0.25">
      <c r="A25" s="5" t="s">
        <v>61</v>
      </c>
      <c r="B25" s="6" t="s">
        <v>62</v>
      </c>
      <c r="C25" t="s">
        <v>59</v>
      </c>
      <c r="D25" t="s">
        <v>14</v>
      </c>
      <c r="E25">
        <v>40</v>
      </c>
      <c r="K25" t="s">
        <v>60</v>
      </c>
      <c r="L25">
        <f>IF(K25="",0,IF(COUNTIF($K$4:K25,K25)=1,1,0))</f>
        <v>0</v>
      </c>
    </row>
    <row r="26" spans="1:12" x14ac:dyDescent="0.25">
      <c r="A26" s="3" t="s">
        <v>63</v>
      </c>
      <c r="B26" s="4" t="s">
        <v>64</v>
      </c>
      <c r="C26" t="s">
        <v>59</v>
      </c>
      <c r="D26" t="s">
        <v>14</v>
      </c>
      <c r="E26">
        <v>50</v>
      </c>
      <c r="K26" t="s">
        <v>60</v>
      </c>
      <c r="L26">
        <f>IF(K26="",0,IF(COUNTIF($K$4:K26,K26)=1,1,0))</f>
        <v>0</v>
      </c>
    </row>
    <row r="27" spans="1:12" x14ac:dyDescent="0.25">
      <c r="A27" s="5" t="s">
        <v>65</v>
      </c>
      <c r="B27" s="6" t="s">
        <v>66</v>
      </c>
      <c r="C27" t="s">
        <v>59</v>
      </c>
      <c r="D27" t="s">
        <v>14</v>
      </c>
      <c r="E27">
        <v>65</v>
      </c>
      <c r="K27" t="s">
        <v>60</v>
      </c>
      <c r="L27">
        <f>IF(K27="",0,IF(COUNTIF($K$4:K27,K27)=1,1,0))</f>
        <v>0</v>
      </c>
    </row>
    <row r="28" spans="1:12" x14ac:dyDescent="0.25">
      <c r="A28" s="3" t="s">
        <v>67</v>
      </c>
      <c r="B28" s="4" t="s">
        <v>68</v>
      </c>
      <c r="C28" t="s">
        <v>59</v>
      </c>
      <c r="D28" t="s">
        <v>14</v>
      </c>
      <c r="E28">
        <v>80</v>
      </c>
      <c r="K28" t="s">
        <v>60</v>
      </c>
      <c r="L28">
        <f>IF(K28="",0,IF(COUNTIF($K$4:K28,K28)=1,1,0))</f>
        <v>0</v>
      </c>
    </row>
    <row r="29" spans="1:12" x14ac:dyDescent="0.25">
      <c r="A29" s="5" t="s">
        <v>69</v>
      </c>
      <c r="B29" s="6" t="s">
        <v>70</v>
      </c>
      <c r="C29" t="s">
        <v>59</v>
      </c>
      <c r="D29" t="s">
        <v>14</v>
      </c>
      <c r="E29">
        <v>100</v>
      </c>
      <c r="K29" t="s">
        <v>60</v>
      </c>
      <c r="L29">
        <f>IF(K29="",0,IF(COUNTIF($K$4:K29,K29)=1,1,0))</f>
        <v>0</v>
      </c>
    </row>
    <row r="30" spans="1:12" x14ac:dyDescent="0.25">
      <c r="A30" s="3" t="s">
        <v>71</v>
      </c>
      <c r="B30" s="4" t="s">
        <v>72</v>
      </c>
      <c r="C30" t="s">
        <v>59</v>
      </c>
      <c r="D30" t="s">
        <v>14</v>
      </c>
      <c r="E30">
        <v>125</v>
      </c>
      <c r="K30" t="s">
        <v>60</v>
      </c>
      <c r="L30">
        <f>IF(K30="",0,IF(COUNTIF($K$4:K30,K30)=1,1,0))</f>
        <v>0</v>
      </c>
    </row>
    <row r="31" spans="1:12" x14ac:dyDescent="0.25">
      <c r="A31" s="5" t="s">
        <v>73</v>
      </c>
      <c r="B31" s="6" t="s">
        <v>74</v>
      </c>
      <c r="C31" t="s">
        <v>59</v>
      </c>
      <c r="D31" t="s">
        <v>14</v>
      </c>
      <c r="E31">
        <v>150</v>
      </c>
      <c r="K31" t="s">
        <v>60</v>
      </c>
      <c r="L31">
        <f>IF(K31="",0,IF(COUNTIF($K$4:K31,K31)=1,1,0))</f>
        <v>0</v>
      </c>
    </row>
    <row r="32" spans="1:12" x14ac:dyDescent="0.25">
      <c r="A32" s="3" t="s">
        <v>75</v>
      </c>
      <c r="B32" s="4" t="s">
        <v>76</v>
      </c>
      <c r="C32" t="s">
        <v>59</v>
      </c>
      <c r="D32" t="s">
        <v>77</v>
      </c>
      <c r="E32">
        <v>32</v>
      </c>
      <c r="K32" t="s">
        <v>60</v>
      </c>
      <c r="L32">
        <f>IF(K32="",0,IF(COUNTIF($K$4:K32,K32)=1,1,0))</f>
        <v>0</v>
      </c>
    </row>
    <row r="33" spans="1:12" x14ac:dyDescent="0.25">
      <c r="A33" s="5" t="s">
        <v>78</v>
      </c>
      <c r="B33" s="6" t="s">
        <v>79</v>
      </c>
      <c r="C33" t="s">
        <v>59</v>
      </c>
      <c r="D33" t="s">
        <v>77</v>
      </c>
      <c r="E33">
        <v>40</v>
      </c>
      <c r="K33" t="s">
        <v>60</v>
      </c>
      <c r="L33">
        <f>IF(K33="",0,IF(COUNTIF($K$4:K33,K33)=1,1,0))</f>
        <v>0</v>
      </c>
    </row>
    <row r="34" spans="1:12" x14ac:dyDescent="0.25">
      <c r="A34" s="3" t="s">
        <v>80</v>
      </c>
      <c r="B34" s="4" t="s">
        <v>81</v>
      </c>
      <c r="C34" t="s">
        <v>59</v>
      </c>
      <c r="D34" t="s">
        <v>77</v>
      </c>
      <c r="E34">
        <v>50</v>
      </c>
      <c r="K34" t="s">
        <v>60</v>
      </c>
      <c r="L34">
        <f>IF(K34="",0,IF(COUNTIF($K$4:K34,K34)=1,1,0))</f>
        <v>0</v>
      </c>
    </row>
    <row r="35" spans="1:12" x14ac:dyDescent="0.25">
      <c r="A35" s="5" t="s">
        <v>82</v>
      </c>
      <c r="B35" s="6" t="s">
        <v>83</v>
      </c>
      <c r="C35" t="s">
        <v>59</v>
      </c>
      <c r="D35" t="s">
        <v>77</v>
      </c>
      <c r="E35">
        <v>65</v>
      </c>
      <c r="K35" t="s">
        <v>60</v>
      </c>
      <c r="L35">
        <f>IF(K35="",0,IF(COUNTIF($K$4:K35,K35)=1,1,0))</f>
        <v>0</v>
      </c>
    </row>
    <row r="36" spans="1:12" x14ac:dyDescent="0.25">
      <c r="A36" s="3" t="s">
        <v>84</v>
      </c>
      <c r="B36" s="4" t="s">
        <v>85</v>
      </c>
      <c r="C36" t="s">
        <v>59</v>
      </c>
      <c r="D36" t="s">
        <v>77</v>
      </c>
      <c r="E36">
        <v>80</v>
      </c>
      <c r="K36" t="s">
        <v>60</v>
      </c>
      <c r="L36">
        <f>IF(K36="",0,IF(COUNTIF($K$4:K36,K36)=1,1,0))</f>
        <v>0</v>
      </c>
    </row>
    <row r="37" spans="1:12" x14ac:dyDescent="0.25">
      <c r="A37" s="5" t="s">
        <v>86</v>
      </c>
      <c r="B37" s="6" t="s">
        <v>87</v>
      </c>
      <c r="C37" t="s">
        <v>59</v>
      </c>
      <c r="D37" t="s">
        <v>77</v>
      </c>
      <c r="E37">
        <v>100</v>
      </c>
      <c r="K37" t="s">
        <v>60</v>
      </c>
      <c r="L37">
        <f>IF(K37="",0,IF(COUNTIF($K$4:K37,K37)=1,1,0))</f>
        <v>0</v>
      </c>
    </row>
    <row r="38" spans="1:12" x14ac:dyDescent="0.25">
      <c r="A38" s="3" t="s">
        <v>88</v>
      </c>
      <c r="B38" s="4" t="s">
        <v>89</v>
      </c>
      <c r="C38" t="s">
        <v>59</v>
      </c>
      <c r="D38" t="s">
        <v>77</v>
      </c>
      <c r="E38">
        <v>125</v>
      </c>
      <c r="K38" t="s">
        <v>60</v>
      </c>
      <c r="L38">
        <f>IF(K38="",0,IF(COUNTIF($K$4:K38,K38)=1,1,0))</f>
        <v>0</v>
      </c>
    </row>
    <row r="39" spans="1:12" x14ac:dyDescent="0.25">
      <c r="A39" s="5" t="s">
        <v>90</v>
      </c>
      <c r="B39" s="6" t="s">
        <v>91</v>
      </c>
      <c r="C39" t="s">
        <v>59</v>
      </c>
      <c r="D39" t="s">
        <v>77</v>
      </c>
      <c r="E39">
        <v>150</v>
      </c>
      <c r="K39" t="s">
        <v>60</v>
      </c>
      <c r="L39">
        <f>IF(K39="",0,IF(COUNTIF($K$4:K39,K39)=1,1,0))</f>
        <v>0</v>
      </c>
    </row>
    <row r="40" spans="1:12" x14ac:dyDescent="0.25">
      <c r="A40" s="3" t="s">
        <v>92</v>
      </c>
      <c r="B40" s="4" t="s">
        <v>93</v>
      </c>
      <c r="C40" t="s">
        <v>59</v>
      </c>
      <c r="D40" t="s">
        <v>94</v>
      </c>
      <c r="E40">
        <v>32</v>
      </c>
      <c r="K40" t="s">
        <v>60</v>
      </c>
      <c r="L40">
        <f>IF(K40="",0,IF(COUNTIF($K$4:K40,K40)=1,1,0))</f>
        <v>0</v>
      </c>
    </row>
    <row r="41" spans="1:12" x14ac:dyDescent="0.25">
      <c r="A41" s="5" t="s">
        <v>95</v>
      </c>
      <c r="B41" s="6" t="s">
        <v>96</v>
      </c>
      <c r="C41" t="s">
        <v>59</v>
      </c>
      <c r="D41" t="s">
        <v>94</v>
      </c>
      <c r="E41">
        <v>40</v>
      </c>
      <c r="K41" t="s">
        <v>60</v>
      </c>
      <c r="L41">
        <f>IF(K41="",0,IF(COUNTIF($K$4:K41,K41)=1,1,0))</f>
        <v>0</v>
      </c>
    </row>
    <row r="42" spans="1:12" x14ac:dyDescent="0.25">
      <c r="A42" s="3" t="s">
        <v>97</v>
      </c>
      <c r="B42" s="4" t="s">
        <v>98</v>
      </c>
      <c r="C42" t="s">
        <v>59</v>
      </c>
      <c r="D42" t="s">
        <v>94</v>
      </c>
      <c r="E42">
        <v>50</v>
      </c>
      <c r="K42" t="s">
        <v>60</v>
      </c>
      <c r="L42">
        <f>IF(K42="",0,IF(COUNTIF($K$4:K42,K42)=1,1,0))</f>
        <v>0</v>
      </c>
    </row>
    <row r="43" spans="1:12" x14ac:dyDescent="0.25">
      <c r="A43" s="5" t="s">
        <v>99</v>
      </c>
      <c r="B43" s="6" t="s">
        <v>100</v>
      </c>
      <c r="C43" t="s">
        <v>59</v>
      </c>
      <c r="D43" t="s">
        <v>94</v>
      </c>
      <c r="E43">
        <v>65</v>
      </c>
      <c r="K43" t="s">
        <v>60</v>
      </c>
      <c r="L43">
        <f>IF(K43="",0,IF(COUNTIF($K$4:K43,K43)=1,1,0))</f>
        <v>0</v>
      </c>
    </row>
    <row r="44" spans="1:12" x14ac:dyDescent="0.25">
      <c r="A44" s="3" t="s">
        <v>101</v>
      </c>
      <c r="B44" s="4" t="s">
        <v>102</v>
      </c>
      <c r="C44" t="s">
        <v>59</v>
      </c>
      <c r="D44" t="s">
        <v>94</v>
      </c>
      <c r="E44">
        <v>80</v>
      </c>
      <c r="K44" t="s">
        <v>60</v>
      </c>
      <c r="L44">
        <f>IF(K44="",0,IF(COUNTIF($K$4:K44,K44)=1,1,0))</f>
        <v>0</v>
      </c>
    </row>
    <row r="45" spans="1:12" x14ac:dyDescent="0.25">
      <c r="A45" s="5" t="s">
        <v>103</v>
      </c>
      <c r="B45" s="6" t="s">
        <v>104</v>
      </c>
      <c r="C45" t="s">
        <v>59</v>
      </c>
      <c r="D45" t="s">
        <v>94</v>
      </c>
      <c r="E45">
        <v>100</v>
      </c>
      <c r="K45" t="s">
        <v>60</v>
      </c>
      <c r="L45">
        <f>IF(K45="",0,IF(COUNTIF($K$4:K45,K45)=1,1,0))</f>
        <v>0</v>
      </c>
    </row>
    <row r="46" spans="1:12" x14ac:dyDescent="0.25">
      <c r="A46" s="3" t="s">
        <v>105</v>
      </c>
      <c r="B46" s="4" t="s">
        <v>106</v>
      </c>
      <c r="C46" t="s">
        <v>59</v>
      </c>
      <c r="D46" t="s">
        <v>94</v>
      </c>
      <c r="E46">
        <v>125</v>
      </c>
      <c r="K46" t="s">
        <v>60</v>
      </c>
      <c r="L46">
        <f>IF(K46="",0,IF(COUNTIF($K$4:K46,K46)=1,1,0))</f>
        <v>0</v>
      </c>
    </row>
    <row r="47" spans="1:12" x14ac:dyDescent="0.25">
      <c r="A47" s="5" t="s">
        <v>107</v>
      </c>
      <c r="B47" s="6" t="s">
        <v>108</v>
      </c>
      <c r="C47" t="s">
        <v>59</v>
      </c>
      <c r="D47" t="s">
        <v>94</v>
      </c>
      <c r="E47">
        <v>150</v>
      </c>
      <c r="K47" t="s">
        <v>60</v>
      </c>
      <c r="L47">
        <f>IF(K47="",0,IF(COUNTIF($K$4:K47,K47)=1,1,0))</f>
        <v>0</v>
      </c>
    </row>
    <row r="48" spans="1:12" x14ac:dyDescent="0.25">
      <c r="A48" s="3" t="s">
        <v>109</v>
      </c>
      <c r="B48" s="4" t="s">
        <v>110</v>
      </c>
      <c r="C48" t="s">
        <v>111</v>
      </c>
      <c r="D48" t="s">
        <v>14</v>
      </c>
      <c r="E48">
        <v>32</v>
      </c>
      <c r="G48" t="s">
        <v>112</v>
      </c>
      <c r="K48" t="s">
        <v>60</v>
      </c>
      <c r="L48">
        <f>IF(K48="",0,IF(COUNTIF($K$4:K48,K48)=1,1,0))</f>
        <v>0</v>
      </c>
    </row>
    <row r="49" spans="1:12" x14ac:dyDescent="0.25">
      <c r="A49" s="5" t="s">
        <v>113</v>
      </c>
      <c r="B49" s="6" t="s">
        <v>114</v>
      </c>
      <c r="C49" t="s">
        <v>111</v>
      </c>
      <c r="D49" t="s">
        <v>14</v>
      </c>
      <c r="E49">
        <v>40</v>
      </c>
      <c r="G49" t="s">
        <v>112</v>
      </c>
      <c r="K49" t="s">
        <v>60</v>
      </c>
      <c r="L49">
        <f>IF(K49="",0,IF(COUNTIF($K$4:K49,K49)=1,1,0))</f>
        <v>0</v>
      </c>
    </row>
    <row r="50" spans="1:12" x14ac:dyDescent="0.25">
      <c r="A50" s="3" t="s">
        <v>115</v>
      </c>
      <c r="B50" s="4" t="s">
        <v>116</v>
      </c>
      <c r="C50" t="s">
        <v>111</v>
      </c>
      <c r="D50" t="s">
        <v>14</v>
      </c>
      <c r="E50">
        <v>50</v>
      </c>
      <c r="G50" t="s">
        <v>112</v>
      </c>
      <c r="K50" t="s">
        <v>60</v>
      </c>
      <c r="L50">
        <f>IF(K50="",0,IF(COUNTIF($K$4:K50,K50)=1,1,0))</f>
        <v>0</v>
      </c>
    </row>
    <row r="51" spans="1:12" x14ac:dyDescent="0.25">
      <c r="A51" s="5" t="s">
        <v>117</v>
      </c>
      <c r="B51" s="6" t="s">
        <v>118</v>
      </c>
      <c r="C51" t="s">
        <v>111</v>
      </c>
      <c r="D51" t="s">
        <v>14</v>
      </c>
      <c r="E51">
        <v>65</v>
      </c>
      <c r="G51" t="s">
        <v>112</v>
      </c>
      <c r="K51" t="s">
        <v>60</v>
      </c>
      <c r="L51">
        <f>IF(K51="",0,IF(COUNTIF($K$4:K51,K51)=1,1,0))</f>
        <v>0</v>
      </c>
    </row>
    <row r="52" spans="1:12" x14ac:dyDescent="0.25">
      <c r="A52" s="3" t="s">
        <v>119</v>
      </c>
      <c r="B52" s="4" t="s">
        <v>120</v>
      </c>
      <c r="C52" t="s">
        <v>111</v>
      </c>
      <c r="D52" t="s">
        <v>14</v>
      </c>
      <c r="E52">
        <v>80</v>
      </c>
      <c r="G52" t="s">
        <v>112</v>
      </c>
      <c r="K52" t="s">
        <v>60</v>
      </c>
      <c r="L52">
        <f>IF(K52="",0,IF(COUNTIF($K$4:K52,K52)=1,1,0))</f>
        <v>0</v>
      </c>
    </row>
    <row r="53" spans="1:12" x14ac:dyDescent="0.25">
      <c r="A53" s="5" t="s">
        <v>121</v>
      </c>
      <c r="B53" s="6" t="s">
        <v>122</v>
      </c>
      <c r="C53" t="s">
        <v>111</v>
      </c>
      <c r="D53" t="s">
        <v>14</v>
      </c>
      <c r="E53">
        <v>100</v>
      </c>
      <c r="G53" t="s">
        <v>112</v>
      </c>
      <c r="K53" t="s">
        <v>60</v>
      </c>
      <c r="L53">
        <f>IF(K53="",0,IF(COUNTIF($K$4:K53,K53)=1,1,0))</f>
        <v>0</v>
      </c>
    </row>
    <row r="54" spans="1:12" x14ac:dyDescent="0.25">
      <c r="A54" s="3" t="s">
        <v>123</v>
      </c>
      <c r="B54" s="4" t="s">
        <v>124</v>
      </c>
      <c r="C54" t="s">
        <v>111</v>
      </c>
      <c r="D54" t="s">
        <v>14</v>
      </c>
      <c r="E54">
        <v>125</v>
      </c>
      <c r="G54" t="s">
        <v>112</v>
      </c>
      <c r="K54" t="s">
        <v>60</v>
      </c>
      <c r="L54">
        <f>IF(K54="",0,IF(COUNTIF($K$4:K54,K54)=1,1,0))</f>
        <v>0</v>
      </c>
    </row>
    <row r="55" spans="1:12" x14ac:dyDescent="0.25">
      <c r="A55" s="5" t="s">
        <v>125</v>
      </c>
      <c r="B55" s="6" t="s">
        <v>126</v>
      </c>
      <c r="C55" t="s">
        <v>111</v>
      </c>
      <c r="D55" t="s">
        <v>14</v>
      </c>
      <c r="E55">
        <v>150</v>
      </c>
      <c r="G55" t="s">
        <v>112</v>
      </c>
      <c r="K55" t="s">
        <v>60</v>
      </c>
      <c r="L55">
        <f>IF(K55="",0,IF(COUNTIF($K$4:K55,K55)=1,1,0))</f>
        <v>0</v>
      </c>
    </row>
    <row r="56" spans="1:12" x14ac:dyDescent="0.25">
      <c r="A56" s="3" t="s">
        <v>127</v>
      </c>
      <c r="B56" s="4" t="s">
        <v>128</v>
      </c>
      <c r="C56" t="s">
        <v>111</v>
      </c>
      <c r="D56" t="s">
        <v>77</v>
      </c>
      <c r="E56">
        <v>32</v>
      </c>
      <c r="G56" t="s">
        <v>112</v>
      </c>
      <c r="K56" t="s">
        <v>60</v>
      </c>
      <c r="L56">
        <f>IF(K56="",0,IF(COUNTIF($K$4:K56,K56)=1,1,0))</f>
        <v>0</v>
      </c>
    </row>
    <row r="57" spans="1:12" x14ac:dyDescent="0.25">
      <c r="A57" s="5" t="s">
        <v>129</v>
      </c>
      <c r="B57" s="6" t="s">
        <v>130</v>
      </c>
      <c r="C57" t="s">
        <v>111</v>
      </c>
      <c r="D57" t="s">
        <v>77</v>
      </c>
      <c r="E57">
        <v>40</v>
      </c>
      <c r="G57" t="s">
        <v>112</v>
      </c>
      <c r="K57" t="s">
        <v>60</v>
      </c>
      <c r="L57">
        <f>IF(K57="",0,IF(COUNTIF($K$4:K57,K57)=1,1,0))</f>
        <v>0</v>
      </c>
    </row>
    <row r="58" spans="1:12" x14ac:dyDescent="0.25">
      <c r="A58" s="3" t="s">
        <v>131</v>
      </c>
      <c r="B58" s="4" t="s">
        <v>132</v>
      </c>
      <c r="C58" t="s">
        <v>111</v>
      </c>
      <c r="D58" t="s">
        <v>77</v>
      </c>
      <c r="E58">
        <v>50</v>
      </c>
      <c r="G58" t="s">
        <v>112</v>
      </c>
      <c r="K58" t="s">
        <v>60</v>
      </c>
      <c r="L58">
        <f>IF(K58="",0,IF(COUNTIF($K$4:K58,K58)=1,1,0))</f>
        <v>0</v>
      </c>
    </row>
    <row r="59" spans="1:12" x14ac:dyDescent="0.25">
      <c r="A59" s="5" t="s">
        <v>133</v>
      </c>
      <c r="B59" s="6" t="s">
        <v>134</v>
      </c>
      <c r="C59" t="s">
        <v>111</v>
      </c>
      <c r="D59" t="s">
        <v>77</v>
      </c>
      <c r="E59">
        <v>65</v>
      </c>
      <c r="G59" t="s">
        <v>112</v>
      </c>
      <c r="K59" t="s">
        <v>60</v>
      </c>
      <c r="L59">
        <f>IF(K59="",0,IF(COUNTIF($K$4:K59,K59)=1,1,0))</f>
        <v>0</v>
      </c>
    </row>
    <row r="60" spans="1:12" x14ac:dyDescent="0.25">
      <c r="A60" s="3" t="s">
        <v>135</v>
      </c>
      <c r="B60" s="4" t="s">
        <v>136</v>
      </c>
      <c r="C60" t="s">
        <v>111</v>
      </c>
      <c r="D60" t="s">
        <v>77</v>
      </c>
      <c r="E60">
        <v>80</v>
      </c>
      <c r="G60" t="s">
        <v>112</v>
      </c>
      <c r="K60" t="s">
        <v>60</v>
      </c>
      <c r="L60">
        <f>IF(K60="",0,IF(COUNTIF($K$4:K60,K60)=1,1,0))</f>
        <v>0</v>
      </c>
    </row>
    <row r="61" spans="1:12" x14ac:dyDescent="0.25">
      <c r="A61" s="5" t="s">
        <v>137</v>
      </c>
      <c r="B61" s="6" t="s">
        <v>138</v>
      </c>
      <c r="C61" t="s">
        <v>111</v>
      </c>
      <c r="D61" t="s">
        <v>77</v>
      </c>
      <c r="E61">
        <v>100</v>
      </c>
      <c r="G61" t="s">
        <v>112</v>
      </c>
      <c r="K61" t="s">
        <v>60</v>
      </c>
      <c r="L61">
        <f>IF(K61="",0,IF(COUNTIF($K$4:K61,K61)=1,1,0))</f>
        <v>0</v>
      </c>
    </row>
    <row r="62" spans="1:12" x14ac:dyDescent="0.25">
      <c r="A62" s="3" t="s">
        <v>139</v>
      </c>
      <c r="B62" s="4" t="s">
        <v>140</v>
      </c>
      <c r="C62" t="s">
        <v>111</v>
      </c>
      <c r="D62" t="s">
        <v>77</v>
      </c>
      <c r="E62">
        <v>108</v>
      </c>
      <c r="G62" t="s">
        <v>112</v>
      </c>
      <c r="K62" t="s">
        <v>60</v>
      </c>
      <c r="L62">
        <f>IF(K62="",0,IF(COUNTIF($K$4:K62,K62)=1,1,0))</f>
        <v>0</v>
      </c>
    </row>
    <row r="63" spans="1:12" x14ac:dyDescent="0.25">
      <c r="A63" s="5" t="s">
        <v>141</v>
      </c>
      <c r="B63" s="6" t="s">
        <v>142</v>
      </c>
      <c r="C63" t="s">
        <v>111</v>
      </c>
      <c r="D63" t="s">
        <v>77</v>
      </c>
      <c r="E63">
        <v>125</v>
      </c>
      <c r="G63" t="s">
        <v>112</v>
      </c>
      <c r="K63" t="s">
        <v>60</v>
      </c>
      <c r="L63">
        <f>IF(K63="",0,IF(COUNTIF($K$4:K63,K63)=1,1,0))</f>
        <v>0</v>
      </c>
    </row>
    <row r="64" spans="1:12" x14ac:dyDescent="0.25">
      <c r="A64" s="3" t="s">
        <v>143</v>
      </c>
      <c r="B64" s="4" t="s">
        <v>144</v>
      </c>
      <c r="C64" t="s">
        <v>111</v>
      </c>
      <c r="D64" t="s">
        <v>77</v>
      </c>
      <c r="E64">
        <v>150</v>
      </c>
      <c r="G64" t="s">
        <v>112</v>
      </c>
      <c r="K64" t="s">
        <v>60</v>
      </c>
      <c r="L64">
        <f>IF(K64="",0,IF(COUNTIF($K$4:K64,K64)=1,1,0))</f>
        <v>0</v>
      </c>
    </row>
    <row r="65" spans="1:12" x14ac:dyDescent="0.25">
      <c r="A65" s="5" t="s">
        <v>145</v>
      </c>
      <c r="B65" s="6" t="s">
        <v>146</v>
      </c>
      <c r="C65" t="s">
        <v>111</v>
      </c>
      <c r="D65" t="s">
        <v>94</v>
      </c>
      <c r="E65">
        <v>32</v>
      </c>
      <c r="G65" t="s">
        <v>112</v>
      </c>
      <c r="K65" t="s">
        <v>60</v>
      </c>
      <c r="L65">
        <f>IF(K65="",0,IF(COUNTIF($K$4:K65,K65)=1,1,0))</f>
        <v>0</v>
      </c>
    </row>
    <row r="66" spans="1:12" x14ac:dyDescent="0.25">
      <c r="A66" s="3" t="s">
        <v>147</v>
      </c>
      <c r="B66" s="4" t="s">
        <v>148</v>
      </c>
      <c r="C66" t="s">
        <v>111</v>
      </c>
      <c r="D66" t="s">
        <v>94</v>
      </c>
      <c r="E66">
        <v>40</v>
      </c>
      <c r="G66" t="s">
        <v>112</v>
      </c>
      <c r="K66" t="s">
        <v>60</v>
      </c>
      <c r="L66">
        <f>IF(K66="",0,IF(COUNTIF($K$4:K66,K66)=1,1,0))</f>
        <v>0</v>
      </c>
    </row>
    <row r="67" spans="1:12" x14ac:dyDescent="0.25">
      <c r="A67" s="5" t="s">
        <v>149</v>
      </c>
      <c r="B67" s="6" t="s">
        <v>150</v>
      </c>
      <c r="C67" t="s">
        <v>111</v>
      </c>
      <c r="D67" t="s">
        <v>94</v>
      </c>
      <c r="E67">
        <v>50</v>
      </c>
      <c r="G67" t="s">
        <v>112</v>
      </c>
      <c r="K67" t="s">
        <v>60</v>
      </c>
      <c r="L67">
        <f>IF(K67="",0,IF(COUNTIF($K$4:K67,K67)=1,1,0))</f>
        <v>0</v>
      </c>
    </row>
    <row r="68" spans="1:12" x14ac:dyDescent="0.25">
      <c r="A68" s="3" t="s">
        <v>151</v>
      </c>
      <c r="B68" s="4" t="s">
        <v>152</v>
      </c>
      <c r="C68" t="s">
        <v>111</v>
      </c>
      <c r="D68" t="s">
        <v>94</v>
      </c>
      <c r="E68">
        <v>65</v>
      </c>
      <c r="G68" t="s">
        <v>112</v>
      </c>
      <c r="K68" t="s">
        <v>60</v>
      </c>
      <c r="L68">
        <f>IF(K68="",0,IF(COUNTIF($K$4:K68,K68)=1,1,0))</f>
        <v>0</v>
      </c>
    </row>
    <row r="69" spans="1:12" x14ac:dyDescent="0.25">
      <c r="A69" s="5" t="s">
        <v>153</v>
      </c>
      <c r="B69" s="6" t="s">
        <v>154</v>
      </c>
      <c r="C69" t="s">
        <v>111</v>
      </c>
      <c r="D69" t="s">
        <v>94</v>
      </c>
      <c r="E69">
        <v>80</v>
      </c>
      <c r="G69" t="s">
        <v>112</v>
      </c>
      <c r="K69" t="s">
        <v>60</v>
      </c>
      <c r="L69">
        <f>IF(K69="",0,IF(COUNTIF($K$4:K69,K69)=1,1,0))</f>
        <v>0</v>
      </c>
    </row>
    <row r="70" spans="1:12" x14ac:dyDescent="0.25">
      <c r="A70" s="3" t="s">
        <v>155</v>
      </c>
      <c r="B70" s="4" t="s">
        <v>156</v>
      </c>
      <c r="C70" t="s">
        <v>111</v>
      </c>
      <c r="D70" t="s">
        <v>94</v>
      </c>
      <c r="E70">
        <v>100</v>
      </c>
      <c r="G70" t="s">
        <v>112</v>
      </c>
      <c r="K70" t="s">
        <v>60</v>
      </c>
      <c r="L70">
        <f>IF(K70="",0,IF(COUNTIF($K$4:K70,K70)=1,1,0))</f>
        <v>0</v>
      </c>
    </row>
    <row r="71" spans="1:12" x14ac:dyDescent="0.25">
      <c r="A71" s="5" t="s">
        <v>157</v>
      </c>
      <c r="B71" s="6" t="s">
        <v>158</v>
      </c>
      <c r="C71" t="s">
        <v>111</v>
      </c>
      <c r="D71" t="s">
        <v>94</v>
      </c>
      <c r="E71">
        <v>125</v>
      </c>
      <c r="G71" t="s">
        <v>112</v>
      </c>
      <c r="K71" t="s">
        <v>60</v>
      </c>
      <c r="L71">
        <f>IF(K71="",0,IF(COUNTIF($K$4:K71,K71)=1,1,0))</f>
        <v>0</v>
      </c>
    </row>
    <row r="72" spans="1:12" x14ac:dyDescent="0.25">
      <c r="A72" s="3" t="s">
        <v>159</v>
      </c>
      <c r="B72" s="4" t="s">
        <v>160</v>
      </c>
      <c r="C72" t="s">
        <v>111</v>
      </c>
      <c r="D72" t="s">
        <v>94</v>
      </c>
      <c r="E72">
        <v>150</v>
      </c>
      <c r="G72" t="s">
        <v>112</v>
      </c>
      <c r="K72" t="s">
        <v>60</v>
      </c>
      <c r="L72">
        <f>IF(K72="",0,IF(COUNTIF($K$4:K72,K72)=1,1,0))</f>
        <v>0</v>
      </c>
    </row>
    <row r="73" spans="1:12" x14ac:dyDescent="0.25">
      <c r="A73" s="5" t="s">
        <v>161</v>
      </c>
      <c r="B73" s="6" t="s">
        <v>162</v>
      </c>
      <c r="C73" t="s">
        <v>163</v>
      </c>
      <c r="D73" t="s">
        <v>14</v>
      </c>
      <c r="E73">
        <v>32</v>
      </c>
      <c r="K73" t="s">
        <v>60</v>
      </c>
      <c r="L73">
        <f>IF(K73="",0,IF(COUNTIF($K$4:K73,K73)=1,1,0))</f>
        <v>0</v>
      </c>
    </row>
    <row r="74" spans="1:12" x14ac:dyDescent="0.25">
      <c r="A74" s="3" t="s">
        <v>164</v>
      </c>
      <c r="B74" s="4" t="s">
        <v>165</v>
      </c>
      <c r="C74" t="s">
        <v>163</v>
      </c>
      <c r="D74" t="s">
        <v>14</v>
      </c>
      <c r="E74">
        <v>40</v>
      </c>
      <c r="K74" t="s">
        <v>60</v>
      </c>
      <c r="L74">
        <f>IF(K74="",0,IF(COUNTIF($K$4:K74,K74)=1,1,0))</f>
        <v>0</v>
      </c>
    </row>
    <row r="75" spans="1:12" x14ac:dyDescent="0.25">
      <c r="A75" s="5" t="s">
        <v>166</v>
      </c>
      <c r="B75" s="6" t="s">
        <v>167</v>
      </c>
      <c r="C75" t="s">
        <v>163</v>
      </c>
      <c r="D75" t="s">
        <v>14</v>
      </c>
      <c r="E75">
        <v>50</v>
      </c>
      <c r="K75" t="s">
        <v>60</v>
      </c>
      <c r="L75">
        <f>IF(K75="",0,IF(COUNTIF($K$4:K75,K75)=1,1,0))</f>
        <v>0</v>
      </c>
    </row>
    <row r="76" spans="1:12" x14ac:dyDescent="0.25">
      <c r="A76" s="3" t="s">
        <v>168</v>
      </c>
      <c r="B76" s="4" t="s">
        <v>169</v>
      </c>
      <c r="C76" t="s">
        <v>163</v>
      </c>
      <c r="D76" t="s">
        <v>14</v>
      </c>
      <c r="E76">
        <v>65</v>
      </c>
      <c r="K76" t="s">
        <v>60</v>
      </c>
      <c r="L76">
        <f>IF(K76="",0,IF(COUNTIF($K$4:K76,K76)=1,1,0))</f>
        <v>0</v>
      </c>
    </row>
    <row r="77" spans="1:12" x14ac:dyDescent="0.25">
      <c r="A77" s="5" t="s">
        <v>170</v>
      </c>
      <c r="B77" s="6" t="s">
        <v>171</v>
      </c>
      <c r="C77" t="s">
        <v>163</v>
      </c>
      <c r="D77" t="s">
        <v>14</v>
      </c>
      <c r="E77">
        <v>80</v>
      </c>
      <c r="K77" t="s">
        <v>60</v>
      </c>
      <c r="L77">
        <f>IF(K77="",0,IF(COUNTIF($K$4:K77,K77)=1,1,0))</f>
        <v>0</v>
      </c>
    </row>
    <row r="78" spans="1:12" x14ac:dyDescent="0.25">
      <c r="A78" s="3" t="s">
        <v>172</v>
      </c>
      <c r="B78" s="4" t="s">
        <v>173</v>
      </c>
      <c r="C78" t="s">
        <v>163</v>
      </c>
      <c r="D78" t="s">
        <v>14</v>
      </c>
      <c r="E78">
        <v>100</v>
      </c>
      <c r="K78" t="s">
        <v>60</v>
      </c>
      <c r="L78">
        <f>IF(K78="",0,IF(COUNTIF($K$4:K78,K78)=1,1,0))</f>
        <v>0</v>
      </c>
    </row>
    <row r="79" spans="1:12" x14ac:dyDescent="0.25">
      <c r="A79" s="5" t="s">
        <v>174</v>
      </c>
      <c r="B79" s="6" t="s">
        <v>175</v>
      </c>
      <c r="C79" t="s">
        <v>163</v>
      </c>
      <c r="D79" t="s">
        <v>14</v>
      </c>
      <c r="E79">
        <v>125</v>
      </c>
      <c r="K79" t="s">
        <v>60</v>
      </c>
      <c r="L79">
        <f>IF(K79="",0,IF(COUNTIF($K$4:K79,K79)=1,1,0))</f>
        <v>0</v>
      </c>
    </row>
    <row r="80" spans="1:12" x14ac:dyDescent="0.25">
      <c r="A80" s="3" t="s">
        <v>176</v>
      </c>
      <c r="B80" s="4" t="s">
        <v>177</v>
      </c>
      <c r="C80" t="s">
        <v>163</v>
      </c>
      <c r="D80" t="s">
        <v>14</v>
      </c>
      <c r="E80">
        <v>150</v>
      </c>
      <c r="K80" t="s">
        <v>60</v>
      </c>
      <c r="L80">
        <f>IF(K80="",0,IF(COUNTIF($K$4:K80,K80)=1,1,0))</f>
        <v>0</v>
      </c>
    </row>
    <row r="81" spans="1:12" x14ac:dyDescent="0.25">
      <c r="A81" s="5" t="s">
        <v>178</v>
      </c>
      <c r="B81" s="6" t="s">
        <v>179</v>
      </c>
      <c r="C81" t="s">
        <v>163</v>
      </c>
      <c r="D81" t="s">
        <v>94</v>
      </c>
      <c r="E81">
        <v>32</v>
      </c>
      <c r="K81" t="s">
        <v>60</v>
      </c>
      <c r="L81">
        <f>IF(K81="",0,IF(COUNTIF($K$4:K81,K81)=1,1,0))</f>
        <v>0</v>
      </c>
    </row>
    <row r="82" spans="1:12" x14ac:dyDescent="0.25">
      <c r="A82" s="3" t="s">
        <v>180</v>
      </c>
      <c r="B82" s="4" t="s">
        <v>181</v>
      </c>
      <c r="C82" t="s">
        <v>163</v>
      </c>
      <c r="D82" t="s">
        <v>94</v>
      </c>
      <c r="E82">
        <v>40</v>
      </c>
      <c r="K82" t="s">
        <v>60</v>
      </c>
      <c r="L82">
        <f>IF(K82="",0,IF(COUNTIF($K$4:K82,K82)=1,1,0))</f>
        <v>0</v>
      </c>
    </row>
    <row r="83" spans="1:12" x14ac:dyDescent="0.25">
      <c r="A83" s="5" t="s">
        <v>182</v>
      </c>
      <c r="B83" s="6" t="s">
        <v>183</v>
      </c>
      <c r="C83" t="s">
        <v>163</v>
      </c>
      <c r="D83" t="s">
        <v>94</v>
      </c>
      <c r="E83">
        <v>50</v>
      </c>
      <c r="K83" t="s">
        <v>60</v>
      </c>
      <c r="L83">
        <f>IF(K83="",0,IF(COUNTIF($K$4:K83,K83)=1,1,0))</f>
        <v>0</v>
      </c>
    </row>
    <row r="84" spans="1:12" x14ac:dyDescent="0.25">
      <c r="A84" s="3" t="s">
        <v>184</v>
      </c>
      <c r="B84" s="4" t="s">
        <v>185</v>
      </c>
      <c r="C84" t="s">
        <v>163</v>
      </c>
      <c r="D84" t="s">
        <v>94</v>
      </c>
      <c r="E84">
        <v>65</v>
      </c>
      <c r="K84" t="s">
        <v>60</v>
      </c>
      <c r="L84">
        <f>IF(K84="",0,IF(COUNTIF($K$4:K84,K84)=1,1,0))</f>
        <v>0</v>
      </c>
    </row>
    <row r="85" spans="1:12" x14ac:dyDescent="0.25">
      <c r="A85" s="5" t="s">
        <v>186</v>
      </c>
      <c r="B85" s="6" t="s">
        <v>187</v>
      </c>
      <c r="C85" t="s">
        <v>163</v>
      </c>
      <c r="D85" t="s">
        <v>94</v>
      </c>
      <c r="E85">
        <v>80</v>
      </c>
      <c r="K85" t="s">
        <v>60</v>
      </c>
      <c r="L85">
        <f>IF(K85="",0,IF(COUNTIF($K$4:K85,K85)=1,1,0))</f>
        <v>0</v>
      </c>
    </row>
    <row r="86" spans="1:12" x14ac:dyDescent="0.25">
      <c r="A86" s="3" t="s">
        <v>188</v>
      </c>
      <c r="B86" s="4" t="s">
        <v>189</v>
      </c>
      <c r="C86" t="s">
        <v>163</v>
      </c>
      <c r="D86" t="s">
        <v>94</v>
      </c>
      <c r="E86">
        <v>100</v>
      </c>
      <c r="K86" t="s">
        <v>60</v>
      </c>
      <c r="L86">
        <f>IF(K86="",0,IF(COUNTIF($K$4:K86,K86)=1,1,0))</f>
        <v>0</v>
      </c>
    </row>
    <row r="87" spans="1:12" x14ac:dyDescent="0.25">
      <c r="A87" s="5" t="s">
        <v>190</v>
      </c>
      <c r="B87" s="6" t="s">
        <v>191</v>
      </c>
      <c r="C87" t="s">
        <v>163</v>
      </c>
      <c r="D87" t="s">
        <v>94</v>
      </c>
      <c r="E87">
        <v>125</v>
      </c>
      <c r="K87" t="s">
        <v>60</v>
      </c>
      <c r="L87">
        <f>IF(K87="",0,IF(COUNTIF($K$4:K87,K87)=1,1,0))</f>
        <v>0</v>
      </c>
    </row>
    <row r="88" spans="1:12" x14ac:dyDescent="0.25">
      <c r="A88" s="3" t="s">
        <v>192</v>
      </c>
      <c r="B88" s="4" t="s">
        <v>193</v>
      </c>
      <c r="C88" t="s">
        <v>163</v>
      </c>
      <c r="D88" t="s">
        <v>94</v>
      </c>
      <c r="E88">
        <v>150</v>
      </c>
      <c r="K88" t="s">
        <v>60</v>
      </c>
      <c r="L88">
        <f>IF(K88="",0,IF(COUNTIF($K$4:K88,K88)=1,1,0))</f>
        <v>0</v>
      </c>
    </row>
    <row r="89" spans="1:12" x14ac:dyDescent="0.25">
      <c r="A89" s="5" t="s">
        <v>194</v>
      </c>
      <c r="B89" s="6" t="s">
        <v>195</v>
      </c>
      <c r="C89" t="s">
        <v>163</v>
      </c>
      <c r="D89" t="s">
        <v>77</v>
      </c>
      <c r="E89">
        <v>32</v>
      </c>
      <c r="K89" t="s">
        <v>60</v>
      </c>
      <c r="L89">
        <f>IF(K89="",0,IF(COUNTIF($K$4:K89,K89)=1,1,0))</f>
        <v>0</v>
      </c>
    </row>
    <row r="90" spans="1:12" x14ac:dyDescent="0.25">
      <c r="A90" s="3" t="s">
        <v>196</v>
      </c>
      <c r="B90" s="4" t="s">
        <v>197</v>
      </c>
      <c r="C90" t="s">
        <v>163</v>
      </c>
      <c r="D90" t="s">
        <v>77</v>
      </c>
      <c r="E90">
        <v>40</v>
      </c>
      <c r="K90" t="s">
        <v>60</v>
      </c>
      <c r="L90">
        <f>IF(K90="",0,IF(COUNTIF($K$4:K90,K90)=1,1,0))</f>
        <v>0</v>
      </c>
    </row>
    <row r="91" spans="1:12" x14ac:dyDescent="0.25">
      <c r="A91" s="5" t="s">
        <v>198</v>
      </c>
      <c r="B91" s="6" t="s">
        <v>199</v>
      </c>
      <c r="C91" t="s">
        <v>163</v>
      </c>
      <c r="D91" t="s">
        <v>77</v>
      </c>
      <c r="E91">
        <v>50</v>
      </c>
      <c r="K91" t="s">
        <v>60</v>
      </c>
      <c r="L91">
        <f>IF(K91="",0,IF(COUNTIF($K$4:K91,K91)=1,1,0))</f>
        <v>0</v>
      </c>
    </row>
    <row r="92" spans="1:12" x14ac:dyDescent="0.25">
      <c r="A92" s="3" t="s">
        <v>200</v>
      </c>
      <c r="B92" s="4" t="s">
        <v>201</v>
      </c>
      <c r="C92" t="s">
        <v>163</v>
      </c>
      <c r="D92" t="s">
        <v>77</v>
      </c>
      <c r="E92">
        <v>65</v>
      </c>
      <c r="K92" t="s">
        <v>60</v>
      </c>
      <c r="L92">
        <f>IF(K92="",0,IF(COUNTIF($K$4:K92,K92)=1,1,0))</f>
        <v>0</v>
      </c>
    </row>
    <row r="93" spans="1:12" x14ac:dyDescent="0.25">
      <c r="A93" s="5" t="s">
        <v>202</v>
      </c>
      <c r="B93" s="6" t="s">
        <v>203</v>
      </c>
      <c r="C93" t="s">
        <v>163</v>
      </c>
      <c r="D93" t="s">
        <v>77</v>
      </c>
      <c r="E93">
        <v>80</v>
      </c>
      <c r="K93" t="s">
        <v>60</v>
      </c>
      <c r="L93">
        <f>IF(K93="",0,IF(COUNTIF($K$4:K93,K93)=1,1,0))</f>
        <v>0</v>
      </c>
    </row>
    <row r="94" spans="1:12" x14ac:dyDescent="0.25">
      <c r="A94" s="3" t="s">
        <v>204</v>
      </c>
      <c r="B94" s="4" t="s">
        <v>205</v>
      </c>
      <c r="C94" t="s">
        <v>163</v>
      </c>
      <c r="D94" t="s">
        <v>77</v>
      </c>
      <c r="E94">
        <v>100</v>
      </c>
      <c r="K94" t="s">
        <v>60</v>
      </c>
      <c r="L94">
        <f>IF(K94="",0,IF(COUNTIF($K$4:K94,K94)=1,1,0))</f>
        <v>0</v>
      </c>
    </row>
    <row r="95" spans="1:12" x14ac:dyDescent="0.25">
      <c r="A95" s="5" t="s">
        <v>206</v>
      </c>
      <c r="B95" s="6" t="s">
        <v>207</v>
      </c>
      <c r="C95" t="s">
        <v>163</v>
      </c>
      <c r="D95" t="s">
        <v>77</v>
      </c>
      <c r="E95">
        <v>125</v>
      </c>
      <c r="K95" t="s">
        <v>60</v>
      </c>
      <c r="L95">
        <f>IF(K95="",0,IF(COUNTIF($K$4:K95,K95)=1,1,0))</f>
        <v>0</v>
      </c>
    </row>
    <row r="96" spans="1:12" x14ac:dyDescent="0.25">
      <c r="A96" s="3" t="s">
        <v>208</v>
      </c>
      <c r="B96" s="4" t="s">
        <v>209</v>
      </c>
      <c r="C96" t="s">
        <v>163</v>
      </c>
      <c r="D96" t="s">
        <v>77</v>
      </c>
      <c r="E96">
        <v>150</v>
      </c>
      <c r="K96" t="s">
        <v>60</v>
      </c>
      <c r="L96">
        <f>IF(K96="",0,IF(COUNTIF($K$4:K96,K96)=1,1,0))</f>
        <v>0</v>
      </c>
    </row>
    <row r="97" spans="1:12" x14ac:dyDescent="0.25">
      <c r="A97" s="5" t="s">
        <v>210</v>
      </c>
      <c r="B97" s="6" t="s">
        <v>211</v>
      </c>
      <c r="C97" t="s">
        <v>212</v>
      </c>
      <c r="D97" t="s">
        <v>14</v>
      </c>
      <c r="E97">
        <v>50</v>
      </c>
      <c r="F97">
        <v>32</v>
      </c>
      <c r="G97" t="s">
        <v>112</v>
      </c>
      <c r="K97" t="s">
        <v>60</v>
      </c>
      <c r="L97">
        <f>IF(K97="",0,IF(COUNTIF($K$4:K97,K97)=1,1,0))</f>
        <v>0</v>
      </c>
    </row>
    <row r="98" spans="1:12" x14ac:dyDescent="0.25">
      <c r="A98" s="3" t="s">
        <v>213</v>
      </c>
      <c r="B98" s="4" t="s">
        <v>214</v>
      </c>
      <c r="C98" t="s">
        <v>212</v>
      </c>
      <c r="D98" t="s">
        <v>14</v>
      </c>
      <c r="E98">
        <v>50</v>
      </c>
      <c r="F98">
        <v>40</v>
      </c>
      <c r="G98" t="s">
        <v>112</v>
      </c>
      <c r="K98" t="s">
        <v>60</v>
      </c>
      <c r="L98">
        <f>IF(K98="",0,IF(COUNTIF($K$4:K98,K98)=1,1,0))</f>
        <v>0</v>
      </c>
    </row>
    <row r="99" spans="1:12" x14ac:dyDescent="0.25">
      <c r="A99" s="5" t="s">
        <v>215</v>
      </c>
      <c r="B99" s="6" t="s">
        <v>216</v>
      </c>
      <c r="C99" t="s">
        <v>212</v>
      </c>
      <c r="D99" t="s">
        <v>14</v>
      </c>
      <c r="E99">
        <v>65</v>
      </c>
      <c r="F99">
        <v>25</v>
      </c>
      <c r="G99" t="s">
        <v>112</v>
      </c>
      <c r="K99" t="s">
        <v>60</v>
      </c>
      <c r="L99">
        <f>IF(K99="",0,IF(COUNTIF($K$4:K99,K99)=1,1,0))</f>
        <v>0</v>
      </c>
    </row>
    <row r="100" spans="1:12" x14ac:dyDescent="0.25">
      <c r="A100" s="3" t="s">
        <v>217</v>
      </c>
      <c r="B100" s="4" t="s">
        <v>218</v>
      </c>
      <c r="C100" t="s">
        <v>212</v>
      </c>
      <c r="D100" t="s">
        <v>14</v>
      </c>
      <c r="E100">
        <v>65</v>
      </c>
      <c r="F100">
        <v>32</v>
      </c>
      <c r="G100" t="s">
        <v>112</v>
      </c>
      <c r="K100" t="s">
        <v>60</v>
      </c>
      <c r="L100">
        <f>IF(K100="",0,IF(COUNTIF($K$4:K100,K100)=1,1,0))</f>
        <v>0</v>
      </c>
    </row>
    <row r="101" spans="1:12" x14ac:dyDescent="0.25">
      <c r="A101" s="5" t="s">
        <v>219</v>
      </c>
      <c r="B101" s="6" t="s">
        <v>220</v>
      </c>
      <c r="C101" t="s">
        <v>212</v>
      </c>
      <c r="D101" t="s">
        <v>14</v>
      </c>
      <c r="E101">
        <v>65</v>
      </c>
      <c r="F101">
        <v>40</v>
      </c>
      <c r="G101" t="s">
        <v>112</v>
      </c>
      <c r="K101" t="s">
        <v>60</v>
      </c>
      <c r="L101">
        <f>IF(K101="",0,IF(COUNTIF($K$4:K101,K101)=1,1,0))</f>
        <v>0</v>
      </c>
    </row>
    <row r="102" spans="1:12" x14ac:dyDescent="0.25">
      <c r="A102" s="3" t="s">
        <v>221</v>
      </c>
      <c r="B102" s="4" t="s">
        <v>222</v>
      </c>
      <c r="C102" t="s">
        <v>212</v>
      </c>
      <c r="D102" t="s">
        <v>14</v>
      </c>
      <c r="E102">
        <v>65</v>
      </c>
      <c r="F102">
        <v>50</v>
      </c>
      <c r="G102" t="s">
        <v>112</v>
      </c>
      <c r="K102" t="s">
        <v>60</v>
      </c>
      <c r="L102">
        <f>IF(K102="",0,IF(COUNTIF($K$4:K102,K102)=1,1,0))</f>
        <v>0</v>
      </c>
    </row>
    <row r="103" spans="1:12" x14ac:dyDescent="0.25">
      <c r="A103" s="5" t="s">
        <v>223</v>
      </c>
      <c r="B103" s="6" t="s">
        <v>224</v>
      </c>
      <c r="C103" t="s">
        <v>212</v>
      </c>
      <c r="D103" t="s">
        <v>14</v>
      </c>
      <c r="E103">
        <v>80</v>
      </c>
      <c r="F103">
        <v>32</v>
      </c>
      <c r="G103" t="s">
        <v>112</v>
      </c>
      <c r="K103" t="s">
        <v>60</v>
      </c>
      <c r="L103">
        <f>IF(K103="",0,IF(COUNTIF($K$4:K103,K103)=1,1,0))</f>
        <v>0</v>
      </c>
    </row>
    <row r="104" spans="1:12" x14ac:dyDescent="0.25">
      <c r="A104" s="3" t="s">
        <v>225</v>
      </c>
      <c r="B104" s="4" t="s">
        <v>226</v>
      </c>
      <c r="C104" t="s">
        <v>212</v>
      </c>
      <c r="D104" t="s">
        <v>14</v>
      </c>
      <c r="E104">
        <v>80</v>
      </c>
      <c r="F104">
        <v>40</v>
      </c>
      <c r="G104" t="s">
        <v>112</v>
      </c>
      <c r="K104" t="s">
        <v>60</v>
      </c>
      <c r="L104">
        <f>IF(K104="",0,IF(COUNTIF($K$4:K104,K104)=1,1,0))</f>
        <v>0</v>
      </c>
    </row>
    <row r="105" spans="1:12" x14ac:dyDescent="0.25">
      <c r="A105" s="5" t="s">
        <v>227</v>
      </c>
      <c r="B105" s="6" t="s">
        <v>228</v>
      </c>
      <c r="C105" t="s">
        <v>212</v>
      </c>
      <c r="D105" t="s">
        <v>14</v>
      </c>
      <c r="E105">
        <v>80</v>
      </c>
      <c r="F105">
        <v>50</v>
      </c>
      <c r="G105" t="s">
        <v>112</v>
      </c>
      <c r="K105" t="s">
        <v>60</v>
      </c>
      <c r="L105">
        <f>IF(K105="",0,IF(COUNTIF($K$4:K105,K105)=1,1,0))</f>
        <v>0</v>
      </c>
    </row>
    <row r="106" spans="1:12" x14ac:dyDescent="0.25">
      <c r="A106" s="3" t="s">
        <v>229</v>
      </c>
      <c r="B106" s="4" t="s">
        <v>230</v>
      </c>
      <c r="C106" t="s">
        <v>212</v>
      </c>
      <c r="D106" t="s">
        <v>14</v>
      </c>
      <c r="E106">
        <v>80</v>
      </c>
      <c r="F106">
        <v>65</v>
      </c>
      <c r="G106" t="s">
        <v>112</v>
      </c>
      <c r="K106" t="s">
        <v>60</v>
      </c>
      <c r="L106">
        <f>IF(K106="",0,IF(COUNTIF($K$4:K106,K106)=1,1,0))</f>
        <v>0</v>
      </c>
    </row>
    <row r="107" spans="1:12" x14ac:dyDescent="0.25">
      <c r="A107" s="5" t="s">
        <v>231</v>
      </c>
      <c r="B107" s="6" t="s">
        <v>232</v>
      </c>
      <c r="C107" t="s">
        <v>212</v>
      </c>
      <c r="D107" t="s">
        <v>14</v>
      </c>
      <c r="E107">
        <v>100</v>
      </c>
      <c r="F107">
        <v>32</v>
      </c>
      <c r="G107" t="s">
        <v>112</v>
      </c>
      <c r="K107" t="s">
        <v>60</v>
      </c>
      <c r="L107">
        <f>IF(K107="",0,IF(COUNTIF($K$4:K107,K107)=1,1,0))</f>
        <v>0</v>
      </c>
    </row>
    <row r="108" spans="1:12" x14ac:dyDescent="0.25">
      <c r="A108" s="3" t="s">
        <v>233</v>
      </c>
      <c r="B108" s="4" t="s">
        <v>234</v>
      </c>
      <c r="C108" t="s">
        <v>212</v>
      </c>
      <c r="D108" t="s">
        <v>14</v>
      </c>
      <c r="E108">
        <v>100</v>
      </c>
      <c r="F108">
        <v>40</v>
      </c>
      <c r="G108" t="s">
        <v>112</v>
      </c>
      <c r="K108" t="s">
        <v>60</v>
      </c>
      <c r="L108">
        <f>IF(K108="",0,IF(COUNTIF($K$4:K108,K108)=1,1,0))</f>
        <v>0</v>
      </c>
    </row>
    <row r="109" spans="1:12" x14ac:dyDescent="0.25">
      <c r="A109" s="5" t="s">
        <v>235</v>
      </c>
      <c r="B109" s="6" t="s">
        <v>236</v>
      </c>
      <c r="C109" t="s">
        <v>212</v>
      </c>
      <c r="D109" t="s">
        <v>14</v>
      </c>
      <c r="E109">
        <v>100</v>
      </c>
      <c r="F109">
        <v>50</v>
      </c>
      <c r="G109" t="s">
        <v>112</v>
      </c>
      <c r="K109" t="s">
        <v>60</v>
      </c>
      <c r="L109">
        <f>IF(K109="",0,IF(COUNTIF($K$4:K109,K109)=1,1,0))</f>
        <v>0</v>
      </c>
    </row>
    <row r="110" spans="1:12" x14ac:dyDescent="0.25">
      <c r="A110" s="3" t="s">
        <v>237</v>
      </c>
      <c r="B110" s="4" t="s">
        <v>238</v>
      </c>
      <c r="C110" t="s">
        <v>212</v>
      </c>
      <c r="D110" t="s">
        <v>14</v>
      </c>
      <c r="E110">
        <v>100</v>
      </c>
      <c r="F110">
        <v>65</v>
      </c>
      <c r="G110" t="s">
        <v>112</v>
      </c>
      <c r="K110" t="s">
        <v>60</v>
      </c>
      <c r="L110">
        <f>IF(K110="",0,IF(COUNTIF($K$4:K110,K110)=1,1,0))</f>
        <v>0</v>
      </c>
    </row>
    <row r="111" spans="1:12" x14ac:dyDescent="0.25">
      <c r="A111" s="5" t="s">
        <v>239</v>
      </c>
      <c r="B111" s="6" t="s">
        <v>240</v>
      </c>
      <c r="C111" t="s">
        <v>212</v>
      </c>
      <c r="D111" t="s">
        <v>14</v>
      </c>
      <c r="E111">
        <v>100</v>
      </c>
      <c r="F111">
        <v>80</v>
      </c>
      <c r="G111" t="s">
        <v>112</v>
      </c>
      <c r="K111" t="s">
        <v>60</v>
      </c>
      <c r="L111">
        <f>IF(K111="",0,IF(COUNTIF($K$4:K111,K111)=1,1,0))</f>
        <v>0</v>
      </c>
    </row>
    <row r="112" spans="1:12" x14ac:dyDescent="0.25">
      <c r="A112" s="3" t="s">
        <v>241</v>
      </c>
      <c r="B112" s="4" t="s">
        <v>242</v>
      </c>
      <c r="C112" t="s">
        <v>212</v>
      </c>
      <c r="D112" t="s">
        <v>14</v>
      </c>
      <c r="E112">
        <v>125</v>
      </c>
      <c r="F112">
        <v>32</v>
      </c>
      <c r="G112" t="s">
        <v>112</v>
      </c>
      <c r="K112" t="s">
        <v>60</v>
      </c>
      <c r="L112">
        <f>IF(K112="",0,IF(COUNTIF($K$4:K112,K112)=1,1,0))</f>
        <v>0</v>
      </c>
    </row>
    <row r="113" spans="1:12" x14ac:dyDescent="0.25">
      <c r="A113" s="5" t="s">
        <v>243</v>
      </c>
      <c r="B113" s="6" t="s">
        <v>244</v>
      </c>
      <c r="C113" t="s">
        <v>212</v>
      </c>
      <c r="D113" t="s">
        <v>14</v>
      </c>
      <c r="E113">
        <v>125</v>
      </c>
      <c r="F113">
        <v>40</v>
      </c>
      <c r="G113" t="s">
        <v>112</v>
      </c>
      <c r="K113" t="s">
        <v>60</v>
      </c>
      <c r="L113">
        <f>IF(K113="",0,IF(COUNTIF($K$4:K113,K113)=1,1,0))</f>
        <v>0</v>
      </c>
    </row>
    <row r="114" spans="1:12" x14ac:dyDescent="0.25">
      <c r="A114" s="3" t="s">
        <v>245</v>
      </c>
      <c r="B114" s="4" t="s">
        <v>246</v>
      </c>
      <c r="C114" t="s">
        <v>212</v>
      </c>
      <c r="D114" t="s">
        <v>14</v>
      </c>
      <c r="E114">
        <v>125</v>
      </c>
      <c r="F114">
        <v>50</v>
      </c>
      <c r="G114" t="s">
        <v>112</v>
      </c>
      <c r="K114" t="s">
        <v>60</v>
      </c>
      <c r="L114">
        <f>IF(K114="",0,IF(COUNTIF($K$4:K114,K114)=1,1,0))</f>
        <v>0</v>
      </c>
    </row>
    <row r="115" spans="1:12" x14ac:dyDescent="0.25">
      <c r="A115" s="5" t="s">
        <v>247</v>
      </c>
      <c r="B115" s="6" t="s">
        <v>248</v>
      </c>
      <c r="C115" t="s">
        <v>212</v>
      </c>
      <c r="D115" t="s">
        <v>14</v>
      </c>
      <c r="E115">
        <v>125</v>
      </c>
      <c r="F115">
        <v>65</v>
      </c>
      <c r="G115" t="s">
        <v>112</v>
      </c>
      <c r="K115" t="s">
        <v>60</v>
      </c>
      <c r="L115">
        <f>IF(K115="",0,IF(COUNTIF($K$4:K115,K115)=1,1,0))</f>
        <v>0</v>
      </c>
    </row>
    <row r="116" spans="1:12" x14ac:dyDescent="0.25">
      <c r="A116" s="3" t="s">
        <v>249</v>
      </c>
      <c r="B116" s="4" t="s">
        <v>250</v>
      </c>
      <c r="C116" t="s">
        <v>212</v>
      </c>
      <c r="D116" t="s">
        <v>14</v>
      </c>
      <c r="E116">
        <v>125</v>
      </c>
      <c r="F116">
        <v>80</v>
      </c>
      <c r="G116" t="s">
        <v>112</v>
      </c>
      <c r="K116" t="s">
        <v>60</v>
      </c>
      <c r="L116">
        <f>IF(K116="",0,IF(COUNTIF($K$4:K116,K116)=1,1,0))</f>
        <v>0</v>
      </c>
    </row>
    <row r="117" spans="1:12" x14ac:dyDescent="0.25">
      <c r="A117" s="5" t="s">
        <v>251</v>
      </c>
      <c r="B117" s="6" t="s">
        <v>252</v>
      </c>
      <c r="C117" t="s">
        <v>212</v>
      </c>
      <c r="D117" t="s">
        <v>14</v>
      </c>
      <c r="E117">
        <v>150</v>
      </c>
      <c r="F117">
        <v>32</v>
      </c>
      <c r="G117" t="s">
        <v>112</v>
      </c>
      <c r="K117" t="s">
        <v>60</v>
      </c>
      <c r="L117">
        <f>IF(K117="",0,IF(COUNTIF($K$4:K117,K117)=1,1,0))</f>
        <v>0</v>
      </c>
    </row>
    <row r="118" spans="1:12" x14ac:dyDescent="0.25">
      <c r="A118" s="3" t="s">
        <v>253</v>
      </c>
      <c r="B118" s="4" t="s">
        <v>254</v>
      </c>
      <c r="C118" t="s">
        <v>212</v>
      </c>
      <c r="D118" t="s">
        <v>14</v>
      </c>
      <c r="E118">
        <v>150</v>
      </c>
      <c r="F118">
        <v>40</v>
      </c>
      <c r="G118" t="s">
        <v>112</v>
      </c>
      <c r="K118" t="s">
        <v>60</v>
      </c>
      <c r="L118">
        <f>IF(K118="",0,IF(COUNTIF($K$4:K118,K118)=1,1,0))</f>
        <v>0</v>
      </c>
    </row>
    <row r="119" spans="1:12" x14ac:dyDescent="0.25">
      <c r="A119" s="5" t="s">
        <v>255</v>
      </c>
      <c r="B119" s="6" t="s">
        <v>256</v>
      </c>
      <c r="C119" t="s">
        <v>212</v>
      </c>
      <c r="D119" t="s">
        <v>14</v>
      </c>
      <c r="E119">
        <v>150</v>
      </c>
      <c r="F119">
        <v>50</v>
      </c>
      <c r="G119" t="s">
        <v>112</v>
      </c>
      <c r="K119" t="s">
        <v>60</v>
      </c>
      <c r="L119">
        <f>IF(K119="",0,IF(COUNTIF($K$4:K119,K119)=1,1,0))</f>
        <v>0</v>
      </c>
    </row>
    <row r="120" spans="1:12" x14ac:dyDescent="0.25">
      <c r="A120" s="3" t="s">
        <v>257</v>
      </c>
      <c r="B120" s="4" t="s">
        <v>258</v>
      </c>
      <c r="C120" t="s">
        <v>212</v>
      </c>
      <c r="D120" t="s">
        <v>14</v>
      </c>
      <c r="E120">
        <v>150</v>
      </c>
      <c r="F120">
        <v>65</v>
      </c>
      <c r="G120" t="s">
        <v>112</v>
      </c>
      <c r="K120" t="s">
        <v>60</v>
      </c>
      <c r="L120">
        <f>IF(K120="",0,IF(COUNTIF($K$4:K120,K120)=1,1,0))</f>
        <v>0</v>
      </c>
    </row>
    <row r="121" spans="1:12" x14ac:dyDescent="0.25">
      <c r="A121" s="5" t="s">
        <v>259</v>
      </c>
      <c r="B121" s="6" t="s">
        <v>260</v>
      </c>
      <c r="C121" t="s">
        <v>212</v>
      </c>
      <c r="D121" t="s">
        <v>14</v>
      </c>
      <c r="E121">
        <v>150</v>
      </c>
      <c r="F121">
        <v>80</v>
      </c>
      <c r="G121" t="s">
        <v>112</v>
      </c>
      <c r="K121" t="s">
        <v>60</v>
      </c>
      <c r="L121">
        <f>IF(K121="",0,IF(COUNTIF($K$4:K121,K121)=1,1,0))</f>
        <v>0</v>
      </c>
    </row>
    <row r="122" spans="1:12" x14ac:dyDescent="0.25">
      <c r="A122" s="3" t="s">
        <v>261</v>
      </c>
      <c r="B122" s="4" t="s">
        <v>262</v>
      </c>
      <c r="C122" t="s">
        <v>212</v>
      </c>
      <c r="D122" t="s">
        <v>14</v>
      </c>
      <c r="E122">
        <v>150</v>
      </c>
      <c r="F122">
        <v>100</v>
      </c>
      <c r="G122" t="s">
        <v>112</v>
      </c>
      <c r="K122" t="s">
        <v>60</v>
      </c>
      <c r="L122">
        <f>IF(K122="",0,IF(COUNTIF($K$4:K122,K122)=1,1,0))</f>
        <v>0</v>
      </c>
    </row>
    <row r="123" spans="1:12" x14ac:dyDescent="0.25">
      <c r="A123" s="5" t="s">
        <v>263</v>
      </c>
      <c r="B123" s="6" t="s">
        <v>264</v>
      </c>
      <c r="C123" t="s">
        <v>212</v>
      </c>
      <c r="D123" t="s">
        <v>14</v>
      </c>
      <c r="E123">
        <v>200</v>
      </c>
      <c r="F123">
        <v>65</v>
      </c>
      <c r="G123" t="s">
        <v>112</v>
      </c>
      <c r="K123" t="s">
        <v>60</v>
      </c>
      <c r="L123">
        <f>IF(K123="",0,IF(COUNTIF($K$4:K123,K123)=1,1,0))</f>
        <v>0</v>
      </c>
    </row>
    <row r="124" spans="1:12" x14ac:dyDescent="0.25">
      <c r="A124" s="3" t="s">
        <v>265</v>
      </c>
      <c r="B124" s="4" t="s">
        <v>266</v>
      </c>
      <c r="C124" t="s">
        <v>212</v>
      </c>
      <c r="D124" t="s">
        <v>14</v>
      </c>
      <c r="E124">
        <v>200</v>
      </c>
      <c r="F124">
        <v>80</v>
      </c>
      <c r="G124" t="s">
        <v>112</v>
      </c>
      <c r="K124" t="s">
        <v>60</v>
      </c>
      <c r="L124">
        <f>IF(K124="",0,IF(COUNTIF($K$4:K124,K124)=1,1,0))</f>
        <v>0</v>
      </c>
    </row>
    <row r="125" spans="1:12" x14ac:dyDescent="0.25">
      <c r="A125" s="5" t="s">
        <v>267</v>
      </c>
      <c r="B125" s="6" t="s">
        <v>268</v>
      </c>
      <c r="C125" t="s">
        <v>212</v>
      </c>
      <c r="D125" t="s">
        <v>14</v>
      </c>
      <c r="E125">
        <v>200</v>
      </c>
      <c r="F125">
        <v>100</v>
      </c>
      <c r="G125" t="s">
        <v>112</v>
      </c>
      <c r="K125" t="s">
        <v>60</v>
      </c>
      <c r="L125">
        <f>IF(K125="",0,IF(COUNTIF($K$4:K125,K125)=1,1,0))</f>
        <v>0</v>
      </c>
    </row>
    <row r="126" spans="1:12" x14ac:dyDescent="0.25">
      <c r="A126" s="3" t="s">
        <v>269</v>
      </c>
      <c r="B126" s="4" t="s">
        <v>270</v>
      </c>
      <c r="C126" t="s">
        <v>212</v>
      </c>
      <c r="D126" t="s">
        <v>77</v>
      </c>
      <c r="E126">
        <v>50</v>
      </c>
      <c r="F126">
        <v>32</v>
      </c>
      <c r="G126" t="s">
        <v>112</v>
      </c>
      <c r="K126" t="s">
        <v>60</v>
      </c>
      <c r="L126">
        <f>IF(K126="",0,IF(COUNTIF($K$4:K126,K126)=1,1,0))</f>
        <v>0</v>
      </c>
    </row>
    <row r="127" spans="1:12" x14ac:dyDescent="0.25">
      <c r="A127" s="5" t="s">
        <v>271</v>
      </c>
      <c r="B127" s="6" t="s">
        <v>272</v>
      </c>
      <c r="C127" t="s">
        <v>212</v>
      </c>
      <c r="D127" t="s">
        <v>77</v>
      </c>
      <c r="E127">
        <v>50</v>
      </c>
      <c r="F127">
        <v>40</v>
      </c>
      <c r="G127" t="s">
        <v>112</v>
      </c>
      <c r="K127" t="s">
        <v>60</v>
      </c>
      <c r="L127">
        <f>IF(K127="",0,IF(COUNTIF($K$4:K127,K127)=1,1,0))</f>
        <v>0</v>
      </c>
    </row>
    <row r="128" spans="1:12" x14ac:dyDescent="0.25">
      <c r="A128" s="3" t="s">
        <v>273</v>
      </c>
      <c r="B128" s="4" t="s">
        <v>274</v>
      </c>
      <c r="C128" t="s">
        <v>212</v>
      </c>
      <c r="D128" t="s">
        <v>77</v>
      </c>
      <c r="E128">
        <v>65</v>
      </c>
      <c r="F128">
        <v>32</v>
      </c>
      <c r="G128" t="s">
        <v>112</v>
      </c>
      <c r="K128" t="s">
        <v>60</v>
      </c>
      <c r="L128">
        <f>IF(K128="",0,IF(COUNTIF($K$4:K128,K128)=1,1,0))</f>
        <v>0</v>
      </c>
    </row>
    <row r="129" spans="1:12" x14ac:dyDescent="0.25">
      <c r="A129" s="5" t="s">
        <v>275</v>
      </c>
      <c r="B129" s="6" t="s">
        <v>276</v>
      </c>
      <c r="C129" t="s">
        <v>212</v>
      </c>
      <c r="D129" t="s">
        <v>77</v>
      </c>
      <c r="E129">
        <v>65</v>
      </c>
      <c r="F129">
        <v>40</v>
      </c>
      <c r="G129" t="s">
        <v>112</v>
      </c>
      <c r="K129" t="s">
        <v>60</v>
      </c>
      <c r="L129">
        <f>IF(K129="",0,IF(COUNTIF($K$4:K129,K129)=1,1,0))</f>
        <v>0</v>
      </c>
    </row>
    <row r="130" spans="1:12" x14ac:dyDescent="0.25">
      <c r="A130" s="3" t="s">
        <v>277</v>
      </c>
      <c r="B130" s="4" t="s">
        <v>278</v>
      </c>
      <c r="C130" t="s">
        <v>212</v>
      </c>
      <c r="D130" t="s">
        <v>77</v>
      </c>
      <c r="E130">
        <v>65</v>
      </c>
      <c r="F130">
        <v>50</v>
      </c>
      <c r="G130" t="s">
        <v>112</v>
      </c>
      <c r="K130" t="s">
        <v>60</v>
      </c>
      <c r="L130">
        <f>IF(K130="",0,IF(COUNTIF($K$4:K130,K130)=1,1,0))</f>
        <v>0</v>
      </c>
    </row>
    <row r="131" spans="1:12" x14ac:dyDescent="0.25">
      <c r="A131" s="5" t="s">
        <v>279</v>
      </c>
      <c r="B131" s="6" t="s">
        <v>280</v>
      </c>
      <c r="C131" t="s">
        <v>212</v>
      </c>
      <c r="D131" t="s">
        <v>77</v>
      </c>
      <c r="E131">
        <v>80</v>
      </c>
      <c r="F131">
        <v>32</v>
      </c>
      <c r="G131" t="s">
        <v>112</v>
      </c>
      <c r="K131" t="s">
        <v>60</v>
      </c>
      <c r="L131">
        <f>IF(K131="",0,IF(COUNTIF($K$4:K131,K131)=1,1,0))</f>
        <v>0</v>
      </c>
    </row>
    <row r="132" spans="1:12" x14ac:dyDescent="0.25">
      <c r="A132" s="3" t="s">
        <v>281</v>
      </c>
      <c r="B132" s="4" t="s">
        <v>282</v>
      </c>
      <c r="C132" t="s">
        <v>212</v>
      </c>
      <c r="D132" t="s">
        <v>77</v>
      </c>
      <c r="E132">
        <v>80</v>
      </c>
      <c r="F132">
        <v>40</v>
      </c>
      <c r="G132" t="s">
        <v>112</v>
      </c>
      <c r="K132" t="s">
        <v>60</v>
      </c>
      <c r="L132">
        <f>IF(K132="",0,IF(COUNTIF($K$4:K132,K132)=1,1,0))</f>
        <v>0</v>
      </c>
    </row>
    <row r="133" spans="1:12" x14ac:dyDescent="0.25">
      <c r="A133" s="5" t="s">
        <v>283</v>
      </c>
      <c r="B133" s="6" t="s">
        <v>284</v>
      </c>
      <c r="C133" t="s">
        <v>212</v>
      </c>
      <c r="D133" t="s">
        <v>77</v>
      </c>
      <c r="E133">
        <v>80</v>
      </c>
      <c r="F133">
        <v>50</v>
      </c>
      <c r="G133" t="s">
        <v>112</v>
      </c>
      <c r="K133" t="s">
        <v>60</v>
      </c>
      <c r="L133">
        <f>IF(K133="",0,IF(COUNTIF($K$4:K133,K133)=1,1,0))</f>
        <v>0</v>
      </c>
    </row>
    <row r="134" spans="1:12" x14ac:dyDescent="0.25">
      <c r="A134" s="3" t="s">
        <v>285</v>
      </c>
      <c r="B134" s="4" t="s">
        <v>286</v>
      </c>
      <c r="C134" t="s">
        <v>212</v>
      </c>
      <c r="D134" t="s">
        <v>77</v>
      </c>
      <c r="E134">
        <v>100</v>
      </c>
      <c r="F134">
        <v>32</v>
      </c>
      <c r="G134" t="s">
        <v>112</v>
      </c>
      <c r="K134" t="s">
        <v>60</v>
      </c>
      <c r="L134">
        <f>IF(K134="",0,IF(COUNTIF($K$4:K134,K134)=1,1,0))</f>
        <v>0</v>
      </c>
    </row>
    <row r="135" spans="1:12" x14ac:dyDescent="0.25">
      <c r="A135" s="5" t="s">
        <v>287</v>
      </c>
      <c r="B135" s="6" t="s">
        <v>288</v>
      </c>
      <c r="C135" t="s">
        <v>212</v>
      </c>
      <c r="D135" t="s">
        <v>77</v>
      </c>
      <c r="E135">
        <v>100</v>
      </c>
      <c r="F135">
        <v>40</v>
      </c>
      <c r="G135" t="s">
        <v>112</v>
      </c>
      <c r="K135" t="s">
        <v>60</v>
      </c>
      <c r="L135">
        <f>IF(K135="",0,IF(COUNTIF($K$4:K135,K135)=1,1,0))</f>
        <v>0</v>
      </c>
    </row>
    <row r="136" spans="1:12" x14ac:dyDescent="0.25">
      <c r="A136" s="3" t="s">
        <v>289</v>
      </c>
      <c r="B136" s="4" t="s">
        <v>290</v>
      </c>
      <c r="C136" t="s">
        <v>212</v>
      </c>
      <c r="D136" t="s">
        <v>77</v>
      </c>
      <c r="E136">
        <v>100</v>
      </c>
      <c r="F136">
        <v>50</v>
      </c>
      <c r="G136" t="s">
        <v>112</v>
      </c>
      <c r="K136" t="s">
        <v>60</v>
      </c>
      <c r="L136">
        <f>IF(K136="",0,IF(COUNTIF($K$4:K136,K136)=1,1,0))</f>
        <v>0</v>
      </c>
    </row>
    <row r="137" spans="1:12" x14ac:dyDescent="0.25">
      <c r="A137" s="5" t="s">
        <v>291</v>
      </c>
      <c r="B137" s="6" t="s">
        <v>292</v>
      </c>
      <c r="C137" t="s">
        <v>212</v>
      </c>
      <c r="D137" t="s">
        <v>77</v>
      </c>
      <c r="E137">
        <v>100</v>
      </c>
      <c r="F137">
        <v>65</v>
      </c>
      <c r="G137" t="s">
        <v>112</v>
      </c>
      <c r="K137" t="s">
        <v>60</v>
      </c>
      <c r="L137">
        <f>IF(K137="",0,IF(COUNTIF($K$4:K137,K137)=1,1,0))</f>
        <v>0</v>
      </c>
    </row>
    <row r="138" spans="1:12" x14ac:dyDescent="0.25">
      <c r="A138" s="3" t="s">
        <v>293</v>
      </c>
      <c r="B138" s="4" t="s">
        <v>294</v>
      </c>
      <c r="C138" t="s">
        <v>212</v>
      </c>
      <c r="D138" t="s">
        <v>77</v>
      </c>
      <c r="E138">
        <v>100</v>
      </c>
      <c r="F138">
        <v>80</v>
      </c>
      <c r="G138" t="s">
        <v>112</v>
      </c>
      <c r="K138" t="s">
        <v>60</v>
      </c>
      <c r="L138">
        <f>IF(K138="",0,IF(COUNTIF($K$4:K138,K138)=1,1,0))</f>
        <v>0</v>
      </c>
    </row>
    <row r="139" spans="1:12" x14ac:dyDescent="0.25">
      <c r="A139" s="5" t="s">
        <v>295</v>
      </c>
      <c r="B139" s="6" t="s">
        <v>296</v>
      </c>
      <c r="C139" t="s">
        <v>212</v>
      </c>
      <c r="D139" t="s">
        <v>77</v>
      </c>
      <c r="E139">
        <v>125</v>
      </c>
      <c r="F139">
        <v>32</v>
      </c>
      <c r="G139" t="s">
        <v>112</v>
      </c>
      <c r="K139" t="s">
        <v>60</v>
      </c>
      <c r="L139">
        <f>IF(K139="",0,IF(COUNTIF($K$4:K139,K139)=1,1,0))</f>
        <v>0</v>
      </c>
    </row>
    <row r="140" spans="1:12" x14ac:dyDescent="0.25">
      <c r="A140" s="3" t="s">
        <v>297</v>
      </c>
      <c r="B140" s="4" t="s">
        <v>298</v>
      </c>
      <c r="C140" t="s">
        <v>212</v>
      </c>
      <c r="D140" t="s">
        <v>77</v>
      </c>
      <c r="E140">
        <v>125</v>
      </c>
      <c r="F140">
        <v>40</v>
      </c>
      <c r="G140" t="s">
        <v>112</v>
      </c>
      <c r="K140" t="s">
        <v>60</v>
      </c>
      <c r="L140">
        <f>IF(K140="",0,IF(COUNTIF($K$4:K140,K140)=1,1,0))</f>
        <v>0</v>
      </c>
    </row>
    <row r="141" spans="1:12" x14ac:dyDescent="0.25">
      <c r="A141" s="5" t="s">
        <v>299</v>
      </c>
      <c r="B141" s="6" t="s">
        <v>300</v>
      </c>
      <c r="C141" t="s">
        <v>212</v>
      </c>
      <c r="D141" t="s">
        <v>77</v>
      </c>
      <c r="E141">
        <v>125</v>
      </c>
      <c r="F141">
        <v>50</v>
      </c>
      <c r="G141" t="s">
        <v>112</v>
      </c>
      <c r="K141" t="s">
        <v>60</v>
      </c>
      <c r="L141">
        <f>IF(K141="",0,IF(COUNTIF($K$4:K141,K141)=1,1,0))</f>
        <v>0</v>
      </c>
    </row>
    <row r="142" spans="1:12" x14ac:dyDescent="0.25">
      <c r="A142" s="3" t="s">
        <v>301</v>
      </c>
      <c r="B142" s="4" t="s">
        <v>302</v>
      </c>
      <c r="C142" t="s">
        <v>212</v>
      </c>
      <c r="D142" t="s">
        <v>77</v>
      </c>
      <c r="E142">
        <v>125</v>
      </c>
      <c r="F142">
        <v>65</v>
      </c>
      <c r="G142" t="s">
        <v>112</v>
      </c>
      <c r="K142" t="s">
        <v>60</v>
      </c>
      <c r="L142">
        <f>IF(K142="",0,IF(COUNTIF($K$4:K142,K142)=1,1,0))</f>
        <v>0</v>
      </c>
    </row>
    <row r="143" spans="1:12" x14ac:dyDescent="0.25">
      <c r="A143" s="5" t="s">
        <v>303</v>
      </c>
      <c r="B143" s="6" t="s">
        <v>304</v>
      </c>
      <c r="C143" t="s">
        <v>212</v>
      </c>
      <c r="D143" t="s">
        <v>77</v>
      </c>
      <c r="E143">
        <v>125</v>
      </c>
      <c r="F143">
        <v>80</v>
      </c>
      <c r="G143" t="s">
        <v>112</v>
      </c>
      <c r="K143" t="s">
        <v>60</v>
      </c>
      <c r="L143">
        <f>IF(K143="",0,IF(COUNTIF($K$4:K143,K143)=1,1,0))</f>
        <v>0</v>
      </c>
    </row>
    <row r="144" spans="1:12" x14ac:dyDescent="0.25">
      <c r="A144" s="3" t="s">
        <v>305</v>
      </c>
      <c r="B144" s="4" t="s">
        <v>306</v>
      </c>
      <c r="C144" t="s">
        <v>212</v>
      </c>
      <c r="D144" t="s">
        <v>77</v>
      </c>
      <c r="E144">
        <v>150</v>
      </c>
      <c r="F144">
        <v>32</v>
      </c>
      <c r="G144" t="s">
        <v>112</v>
      </c>
      <c r="K144" t="s">
        <v>60</v>
      </c>
      <c r="L144">
        <f>IF(K144="",0,IF(COUNTIF($K$4:K144,K144)=1,1,0))</f>
        <v>0</v>
      </c>
    </row>
    <row r="145" spans="1:12" x14ac:dyDescent="0.25">
      <c r="A145" s="5" t="s">
        <v>307</v>
      </c>
      <c r="B145" s="6" t="s">
        <v>308</v>
      </c>
      <c r="C145" t="s">
        <v>212</v>
      </c>
      <c r="D145" t="s">
        <v>77</v>
      </c>
      <c r="E145">
        <v>150</v>
      </c>
      <c r="F145">
        <v>40</v>
      </c>
      <c r="G145" t="s">
        <v>112</v>
      </c>
      <c r="K145" t="s">
        <v>60</v>
      </c>
      <c r="L145">
        <f>IF(K145="",0,IF(COUNTIF($K$4:K145,K145)=1,1,0))</f>
        <v>0</v>
      </c>
    </row>
    <row r="146" spans="1:12" x14ac:dyDescent="0.25">
      <c r="A146" s="3" t="s">
        <v>309</v>
      </c>
      <c r="B146" s="4" t="s">
        <v>310</v>
      </c>
      <c r="C146" t="s">
        <v>212</v>
      </c>
      <c r="D146" t="s">
        <v>77</v>
      </c>
      <c r="E146">
        <v>150</v>
      </c>
      <c r="F146">
        <v>50</v>
      </c>
      <c r="G146" t="s">
        <v>112</v>
      </c>
      <c r="K146" t="s">
        <v>60</v>
      </c>
      <c r="L146">
        <f>IF(K146="",0,IF(COUNTIF($K$4:K146,K146)=1,1,0))</f>
        <v>0</v>
      </c>
    </row>
    <row r="147" spans="1:12" x14ac:dyDescent="0.25">
      <c r="A147" s="5" t="s">
        <v>311</v>
      </c>
      <c r="B147" s="6" t="s">
        <v>312</v>
      </c>
      <c r="C147" t="s">
        <v>212</v>
      </c>
      <c r="D147" t="s">
        <v>77</v>
      </c>
      <c r="E147">
        <v>150</v>
      </c>
      <c r="F147">
        <v>65</v>
      </c>
      <c r="G147" t="s">
        <v>112</v>
      </c>
      <c r="K147" t="s">
        <v>60</v>
      </c>
      <c r="L147">
        <f>IF(K147="",0,IF(COUNTIF($K$4:K147,K147)=1,1,0))</f>
        <v>0</v>
      </c>
    </row>
    <row r="148" spans="1:12" x14ac:dyDescent="0.25">
      <c r="A148" s="3" t="s">
        <v>313</v>
      </c>
      <c r="B148" s="4" t="s">
        <v>314</v>
      </c>
      <c r="C148" t="s">
        <v>212</v>
      </c>
      <c r="D148" t="s">
        <v>77</v>
      </c>
      <c r="E148">
        <v>150</v>
      </c>
      <c r="F148">
        <v>80</v>
      </c>
      <c r="G148" t="s">
        <v>112</v>
      </c>
      <c r="K148" t="s">
        <v>60</v>
      </c>
      <c r="L148">
        <f>IF(K148="",0,IF(COUNTIF($K$4:K148,K148)=1,1,0))</f>
        <v>0</v>
      </c>
    </row>
    <row r="149" spans="1:12" x14ac:dyDescent="0.25">
      <c r="A149" s="5" t="s">
        <v>315</v>
      </c>
      <c r="B149" s="6" t="s">
        <v>316</v>
      </c>
      <c r="C149" t="s">
        <v>212</v>
      </c>
      <c r="D149" t="s">
        <v>77</v>
      </c>
      <c r="E149">
        <v>150</v>
      </c>
      <c r="F149">
        <v>100</v>
      </c>
      <c r="G149" t="s">
        <v>112</v>
      </c>
      <c r="K149" t="s">
        <v>60</v>
      </c>
      <c r="L149">
        <f>IF(K149="",0,IF(COUNTIF($K$4:K149,K149)=1,1,0))</f>
        <v>0</v>
      </c>
    </row>
    <row r="150" spans="1:12" x14ac:dyDescent="0.25">
      <c r="A150" s="3" t="s">
        <v>317</v>
      </c>
      <c r="B150" s="4" t="s">
        <v>318</v>
      </c>
      <c r="C150" t="s">
        <v>212</v>
      </c>
      <c r="D150" t="s">
        <v>77</v>
      </c>
      <c r="E150">
        <v>200</v>
      </c>
      <c r="F150">
        <v>50</v>
      </c>
      <c r="G150" t="s">
        <v>112</v>
      </c>
      <c r="K150" t="s">
        <v>60</v>
      </c>
      <c r="L150">
        <f>IF(K150="",0,IF(COUNTIF($K$4:K150,K150)=1,1,0))</f>
        <v>0</v>
      </c>
    </row>
    <row r="151" spans="1:12" x14ac:dyDescent="0.25">
      <c r="A151" s="5" t="s">
        <v>319</v>
      </c>
      <c r="B151" s="6" t="s">
        <v>320</v>
      </c>
      <c r="C151" t="s">
        <v>212</v>
      </c>
      <c r="D151" t="s">
        <v>77</v>
      </c>
      <c r="E151">
        <v>200</v>
      </c>
      <c r="F151">
        <v>65</v>
      </c>
      <c r="G151" t="s">
        <v>112</v>
      </c>
      <c r="K151" t="s">
        <v>60</v>
      </c>
      <c r="L151">
        <f>IF(K151="",0,IF(COUNTIF($K$4:K151,K151)=1,1,0))</f>
        <v>0</v>
      </c>
    </row>
    <row r="152" spans="1:12" x14ac:dyDescent="0.25">
      <c r="A152" s="3" t="s">
        <v>321</v>
      </c>
      <c r="B152" s="4" t="s">
        <v>322</v>
      </c>
      <c r="C152" t="s">
        <v>212</v>
      </c>
      <c r="D152" t="s">
        <v>77</v>
      </c>
      <c r="E152">
        <v>200</v>
      </c>
      <c r="F152">
        <v>80</v>
      </c>
      <c r="G152" t="s">
        <v>112</v>
      </c>
      <c r="K152" t="s">
        <v>60</v>
      </c>
      <c r="L152">
        <f>IF(K152="",0,IF(COUNTIF($K$4:K152,K152)=1,1,0))</f>
        <v>0</v>
      </c>
    </row>
    <row r="153" spans="1:12" x14ac:dyDescent="0.25">
      <c r="A153" s="5" t="s">
        <v>323</v>
      </c>
      <c r="B153" s="6" t="s">
        <v>324</v>
      </c>
      <c r="C153" t="s">
        <v>212</v>
      </c>
      <c r="D153" t="s">
        <v>77</v>
      </c>
      <c r="E153">
        <v>200</v>
      </c>
      <c r="F153">
        <v>100</v>
      </c>
      <c r="G153" t="s">
        <v>112</v>
      </c>
      <c r="K153" t="s">
        <v>60</v>
      </c>
      <c r="L153">
        <f>IF(K153="",0,IF(COUNTIF($K$4:K153,K153)=1,1,0))</f>
        <v>0</v>
      </c>
    </row>
    <row r="154" spans="1:12" x14ac:dyDescent="0.25">
      <c r="A154" s="3" t="s">
        <v>325</v>
      </c>
      <c r="B154" s="4" t="s">
        <v>326</v>
      </c>
      <c r="C154" t="s">
        <v>212</v>
      </c>
      <c r="D154" t="s">
        <v>14</v>
      </c>
      <c r="E154">
        <v>25</v>
      </c>
      <c r="F154">
        <v>15</v>
      </c>
      <c r="G154" t="s">
        <v>327</v>
      </c>
      <c r="K154" t="s">
        <v>60</v>
      </c>
      <c r="L154">
        <f>IF(K154="",0,IF(COUNTIF($K$4:K154,K154)=1,1,0))</f>
        <v>0</v>
      </c>
    </row>
    <row r="155" spans="1:12" x14ac:dyDescent="0.25">
      <c r="A155" s="5" t="s">
        <v>328</v>
      </c>
      <c r="B155" s="6" t="s">
        <v>329</v>
      </c>
      <c r="C155" t="s">
        <v>212</v>
      </c>
      <c r="D155" t="s">
        <v>14</v>
      </c>
      <c r="E155">
        <v>25</v>
      </c>
      <c r="F155">
        <v>20</v>
      </c>
      <c r="G155" t="s">
        <v>327</v>
      </c>
      <c r="K155" t="s">
        <v>60</v>
      </c>
      <c r="L155">
        <f>IF(K155="",0,IF(COUNTIF($K$4:K155,K155)=1,1,0))</f>
        <v>0</v>
      </c>
    </row>
    <row r="156" spans="1:12" x14ac:dyDescent="0.25">
      <c r="A156" s="3" t="s">
        <v>330</v>
      </c>
      <c r="B156" s="4" t="s">
        <v>331</v>
      </c>
      <c r="C156" t="s">
        <v>212</v>
      </c>
      <c r="D156" t="s">
        <v>14</v>
      </c>
      <c r="E156">
        <v>25</v>
      </c>
      <c r="F156">
        <v>25</v>
      </c>
      <c r="G156" t="s">
        <v>327</v>
      </c>
      <c r="K156" t="s">
        <v>60</v>
      </c>
      <c r="L156">
        <f>IF(K156="",0,IF(COUNTIF($K$4:K156,K156)=1,1,0))</f>
        <v>0</v>
      </c>
    </row>
    <row r="157" spans="1:12" x14ac:dyDescent="0.25">
      <c r="A157" s="5" t="s">
        <v>332</v>
      </c>
      <c r="B157" s="6" t="s">
        <v>333</v>
      </c>
      <c r="C157" t="s">
        <v>212</v>
      </c>
      <c r="D157" t="s">
        <v>14</v>
      </c>
      <c r="E157">
        <v>32</v>
      </c>
      <c r="F157">
        <v>15</v>
      </c>
      <c r="G157" t="s">
        <v>327</v>
      </c>
      <c r="K157" t="s">
        <v>60</v>
      </c>
      <c r="L157">
        <f>IF(K157="",0,IF(COUNTIF($K$4:K157,K157)=1,1,0))</f>
        <v>0</v>
      </c>
    </row>
    <row r="158" spans="1:12" x14ac:dyDescent="0.25">
      <c r="A158" s="3" t="s">
        <v>334</v>
      </c>
      <c r="B158" s="4" t="s">
        <v>335</v>
      </c>
      <c r="C158" t="s">
        <v>212</v>
      </c>
      <c r="D158" t="s">
        <v>14</v>
      </c>
      <c r="E158">
        <v>32</v>
      </c>
      <c r="F158">
        <v>20</v>
      </c>
      <c r="G158" t="s">
        <v>327</v>
      </c>
      <c r="K158" t="s">
        <v>60</v>
      </c>
      <c r="L158">
        <f>IF(K158="",0,IF(COUNTIF($K$4:K158,K158)=1,1,0))</f>
        <v>0</v>
      </c>
    </row>
    <row r="159" spans="1:12" x14ac:dyDescent="0.25">
      <c r="A159" s="5" t="s">
        <v>336</v>
      </c>
      <c r="B159" s="6" t="s">
        <v>337</v>
      </c>
      <c r="C159" t="s">
        <v>212</v>
      </c>
      <c r="D159" t="s">
        <v>14</v>
      </c>
      <c r="E159">
        <v>32</v>
      </c>
      <c r="F159">
        <v>25</v>
      </c>
      <c r="G159" t="s">
        <v>327</v>
      </c>
      <c r="K159" t="s">
        <v>60</v>
      </c>
      <c r="L159">
        <f>IF(K159="",0,IF(COUNTIF($K$4:K159,K159)=1,1,0))</f>
        <v>0</v>
      </c>
    </row>
    <row r="160" spans="1:12" x14ac:dyDescent="0.25">
      <c r="A160" s="3" t="s">
        <v>338</v>
      </c>
      <c r="B160" s="4" t="s">
        <v>339</v>
      </c>
      <c r="C160" t="s">
        <v>212</v>
      </c>
      <c r="D160" t="s">
        <v>14</v>
      </c>
      <c r="E160">
        <v>40</v>
      </c>
      <c r="F160">
        <v>15</v>
      </c>
      <c r="G160" t="s">
        <v>327</v>
      </c>
      <c r="K160" t="s">
        <v>60</v>
      </c>
      <c r="L160">
        <f>IF(K160="",0,IF(COUNTIF($K$4:K160,K160)=1,1,0))</f>
        <v>0</v>
      </c>
    </row>
    <row r="161" spans="1:12" x14ac:dyDescent="0.25">
      <c r="A161" s="5" t="s">
        <v>340</v>
      </c>
      <c r="B161" s="6" t="s">
        <v>341</v>
      </c>
      <c r="C161" t="s">
        <v>212</v>
      </c>
      <c r="D161" t="s">
        <v>14</v>
      </c>
      <c r="E161">
        <v>40</v>
      </c>
      <c r="F161">
        <v>20</v>
      </c>
      <c r="G161" t="s">
        <v>327</v>
      </c>
      <c r="K161" t="s">
        <v>60</v>
      </c>
      <c r="L161">
        <f>IF(K161="",0,IF(COUNTIF($K$4:K161,K161)=1,1,0))</f>
        <v>0</v>
      </c>
    </row>
    <row r="162" spans="1:12" x14ac:dyDescent="0.25">
      <c r="A162" s="3" t="s">
        <v>342</v>
      </c>
      <c r="B162" s="4" t="s">
        <v>343</v>
      </c>
      <c r="C162" t="s">
        <v>212</v>
      </c>
      <c r="D162" t="s">
        <v>14</v>
      </c>
      <c r="E162">
        <v>40</v>
      </c>
      <c r="F162">
        <v>25</v>
      </c>
      <c r="G162" t="s">
        <v>327</v>
      </c>
      <c r="K162" t="s">
        <v>60</v>
      </c>
      <c r="L162">
        <f>IF(K162="",0,IF(COUNTIF($K$4:K162,K162)=1,1,0))</f>
        <v>0</v>
      </c>
    </row>
    <row r="163" spans="1:12" x14ac:dyDescent="0.25">
      <c r="A163" s="5" t="s">
        <v>344</v>
      </c>
      <c r="B163" s="6" t="s">
        <v>345</v>
      </c>
      <c r="C163" t="s">
        <v>212</v>
      </c>
      <c r="D163" t="s">
        <v>14</v>
      </c>
      <c r="E163">
        <v>50</v>
      </c>
      <c r="F163">
        <v>15</v>
      </c>
      <c r="G163" t="s">
        <v>327</v>
      </c>
      <c r="K163" t="s">
        <v>60</v>
      </c>
      <c r="L163">
        <f>IF(K163="",0,IF(COUNTIF($K$4:K163,K163)=1,1,0))</f>
        <v>0</v>
      </c>
    </row>
    <row r="164" spans="1:12" x14ac:dyDescent="0.25">
      <c r="A164" s="3" t="s">
        <v>346</v>
      </c>
      <c r="B164" s="4" t="s">
        <v>347</v>
      </c>
      <c r="C164" t="s">
        <v>212</v>
      </c>
      <c r="D164" t="s">
        <v>14</v>
      </c>
      <c r="E164">
        <v>50</v>
      </c>
      <c r="F164">
        <v>20</v>
      </c>
      <c r="G164" t="s">
        <v>327</v>
      </c>
      <c r="K164" t="s">
        <v>60</v>
      </c>
      <c r="L164">
        <f>IF(K164="",0,IF(COUNTIF($K$4:K164,K164)=1,1,0))</f>
        <v>0</v>
      </c>
    </row>
    <row r="165" spans="1:12" x14ac:dyDescent="0.25">
      <c r="A165" s="5" t="s">
        <v>348</v>
      </c>
      <c r="B165" s="6" t="s">
        <v>349</v>
      </c>
      <c r="C165" t="s">
        <v>212</v>
      </c>
      <c r="D165" t="s">
        <v>14</v>
      </c>
      <c r="E165">
        <v>50</v>
      </c>
      <c r="F165">
        <v>25</v>
      </c>
      <c r="G165" t="s">
        <v>327</v>
      </c>
      <c r="K165" t="s">
        <v>60</v>
      </c>
      <c r="L165">
        <f>IF(K165="",0,IF(COUNTIF($K$4:K165,K165)=1,1,0))</f>
        <v>0</v>
      </c>
    </row>
    <row r="166" spans="1:12" x14ac:dyDescent="0.25">
      <c r="A166" s="3" t="s">
        <v>350</v>
      </c>
      <c r="B166" s="4" t="s">
        <v>351</v>
      </c>
      <c r="C166" t="s">
        <v>212</v>
      </c>
      <c r="D166" t="s">
        <v>14</v>
      </c>
      <c r="E166">
        <v>50</v>
      </c>
      <c r="F166">
        <v>32</v>
      </c>
      <c r="G166" t="s">
        <v>327</v>
      </c>
      <c r="K166" t="s">
        <v>60</v>
      </c>
      <c r="L166">
        <f>IF(K166="",0,IF(COUNTIF($K$4:K166,K166)=1,1,0))</f>
        <v>0</v>
      </c>
    </row>
    <row r="167" spans="1:12" x14ac:dyDescent="0.25">
      <c r="A167" s="5" t="s">
        <v>352</v>
      </c>
      <c r="B167" s="6" t="s">
        <v>353</v>
      </c>
      <c r="C167" t="s">
        <v>212</v>
      </c>
      <c r="D167" t="s">
        <v>14</v>
      </c>
      <c r="E167">
        <v>50</v>
      </c>
      <c r="F167">
        <v>40</v>
      </c>
      <c r="G167" t="s">
        <v>327</v>
      </c>
      <c r="K167" t="s">
        <v>60</v>
      </c>
      <c r="L167">
        <f>IF(K167="",0,IF(COUNTIF($K$4:K167,K167)=1,1,0))</f>
        <v>0</v>
      </c>
    </row>
    <row r="168" spans="1:12" x14ac:dyDescent="0.25">
      <c r="A168" s="3" t="s">
        <v>354</v>
      </c>
      <c r="B168" s="4" t="s">
        <v>355</v>
      </c>
      <c r="C168" t="s">
        <v>212</v>
      </c>
      <c r="D168" t="s">
        <v>14</v>
      </c>
      <c r="E168">
        <v>65</v>
      </c>
      <c r="F168">
        <v>15</v>
      </c>
      <c r="G168" t="s">
        <v>327</v>
      </c>
      <c r="K168" t="s">
        <v>60</v>
      </c>
      <c r="L168">
        <f>IF(K168="",0,IF(COUNTIF($K$4:K168,K168)=1,1,0))</f>
        <v>0</v>
      </c>
    </row>
    <row r="169" spans="1:12" x14ac:dyDescent="0.25">
      <c r="A169" s="5" t="s">
        <v>356</v>
      </c>
      <c r="B169" s="6" t="s">
        <v>357</v>
      </c>
      <c r="C169" t="s">
        <v>212</v>
      </c>
      <c r="D169" t="s">
        <v>14</v>
      </c>
      <c r="E169">
        <v>65</v>
      </c>
      <c r="F169">
        <v>20</v>
      </c>
      <c r="G169" t="s">
        <v>327</v>
      </c>
      <c r="K169" t="s">
        <v>60</v>
      </c>
      <c r="L169">
        <f>IF(K169="",0,IF(COUNTIF($K$4:K169,K169)=1,1,0))</f>
        <v>0</v>
      </c>
    </row>
    <row r="170" spans="1:12" x14ac:dyDescent="0.25">
      <c r="A170" s="3" t="s">
        <v>358</v>
      </c>
      <c r="B170" s="4" t="s">
        <v>359</v>
      </c>
      <c r="C170" t="s">
        <v>212</v>
      </c>
      <c r="D170" t="s">
        <v>14</v>
      </c>
      <c r="E170">
        <v>65</v>
      </c>
      <c r="F170">
        <v>25</v>
      </c>
      <c r="G170" t="s">
        <v>327</v>
      </c>
      <c r="K170" t="s">
        <v>60</v>
      </c>
      <c r="L170">
        <f>IF(K170="",0,IF(COUNTIF($K$4:K170,K170)=1,1,0))</f>
        <v>0</v>
      </c>
    </row>
    <row r="171" spans="1:12" x14ac:dyDescent="0.25">
      <c r="A171" s="5" t="s">
        <v>360</v>
      </c>
      <c r="B171" s="6" t="s">
        <v>361</v>
      </c>
      <c r="C171" t="s">
        <v>212</v>
      </c>
      <c r="D171" t="s">
        <v>14</v>
      </c>
      <c r="E171">
        <v>65</v>
      </c>
      <c r="F171">
        <v>32</v>
      </c>
      <c r="G171" t="s">
        <v>327</v>
      </c>
      <c r="K171" t="s">
        <v>60</v>
      </c>
      <c r="L171">
        <f>IF(K171="",0,IF(COUNTIF($K$4:K171,K171)=1,1,0))</f>
        <v>0</v>
      </c>
    </row>
    <row r="172" spans="1:12" x14ac:dyDescent="0.25">
      <c r="A172" s="3" t="s">
        <v>362</v>
      </c>
      <c r="B172" s="4" t="s">
        <v>363</v>
      </c>
      <c r="C172" t="s">
        <v>212</v>
      </c>
      <c r="D172" t="s">
        <v>14</v>
      </c>
      <c r="E172">
        <v>65</v>
      </c>
      <c r="F172">
        <v>40</v>
      </c>
      <c r="G172" t="s">
        <v>327</v>
      </c>
      <c r="K172" t="s">
        <v>60</v>
      </c>
      <c r="L172">
        <f>IF(K172="",0,IF(COUNTIF($K$4:K172,K172)=1,1,0))</f>
        <v>0</v>
      </c>
    </row>
    <row r="173" spans="1:12" x14ac:dyDescent="0.25">
      <c r="A173" s="5" t="s">
        <v>364</v>
      </c>
      <c r="B173" s="6" t="s">
        <v>365</v>
      </c>
      <c r="C173" t="s">
        <v>212</v>
      </c>
      <c r="D173" t="s">
        <v>14</v>
      </c>
      <c r="E173">
        <v>65</v>
      </c>
      <c r="F173">
        <v>50</v>
      </c>
      <c r="G173" t="s">
        <v>327</v>
      </c>
      <c r="K173" t="s">
        <v>60</v>
      </c>
      <c r="L173">
        <f>IF(K173="",0,IF(COUNTIF($K$4:K173,K173)=1,1,0))</f>
        <v>0</v>
      </c>
    </row>
    <row r="174" spans="1:12" x14ac:dyDescent="0.25">
      <c r="A174" s="3" t="s">
        <v>366</v>
      </c>
      <c r="B174" s="4" t="s">
        <v>367</v>
      </c>
      <c r="C174" t="s">
        <v>212</v>
      </c>
      <c r="D174" t="s">
        <v>77</v>
      </c>
      <c r="E174">
        <v>25</v>
      </c>
      <c r="F174">
        <v>15</v>
      </c>
      <c r="G174" t="s">
        <v>327</v>
      </c>
      <c r="K174" t="s">
        <v>60</v>
      </c>
      <c r="L174">
        <f>IF(K174="",0,IF(COUNTIF($K$4:K174,K174)=1,1,0))</f>
        <v>0</v>
      </c>
    </row>
    <row r="175" spans="1:12" x14ac:dyDescent="0.25">
      <c r="A175" s="5" t="s">
        <v>368</v>
      </c>
      <c r="B175" s="6" t="s">
        <v>369</v>
      </c>
      <c r="C175" t="s">
        <v>212</v>
      </c>
      <c r="D175" t="s">
        <v>77</v>
      </c>
      <c r="E175">
        <v>25</v>
      </c>
      <c r="F175">
        <v>25</v>
      </c>
      <c r="G175" t="s">
        <v>327</v>
      </c>
      <c r="K175" t="s">
        <v>60</v>
      </c>
      <c r="L175">
        <f>IF(K175="",0,IF(COUNTIF($K$4:K175,K175)=1,1,0))</f>
        <v>0</v>
      </c>
    </row>
    <row r="176" spans="1:12" x14ac:dyDescent="0.25">
      <c r="A176" s="3" t="s">
        <v>370</v>
      </c>
      <c r="B176" s="4" t="s">
        <v>371</v>
      </c>
      <c r="C176" t="s">
        <v>212</v>
      </c>
      <c r="D176" t="s">
        <v>77</v>
      </c>
      <c r="E176">
        <v>32</v>
      </c>
      <c r="F176">
        <v>15</v>
      </c>
      <c r="G176" t="s">
        <v>327</v>
      </c>
      <c r="K176" t="s">
        <v>60</v>
      </c>
      <c r="L176">
        <f>IF(K176="",0,IF(COUNTIF($K$4:K176,K176)=1,1,0))</f>
        <v>0</v>
      </c>
    </row>
    <row r="177" spans="1:12" x14ac:dyDescent="0.25">
      <c r="A177" s="5" t="s">
        <v>372</v>
      </c>
      <c r="B177" s="6" t="s">
        <v>373</v>
      </c>
      <c r="C177" t="s">
        <v>212</v>
      </c>
      <c r="D177" t="s">
        <v>77</v>
      </c>
      <c r="E177">
        <v>32</v>
      </c>
      <c r="F177">
        <v>20</v>
      </c>
      <c r="G177" t="s">
        <v>327</v>
      </c>
      <c r="K177" t="s">
        <v>60</v>
      </c>
      <c r="L177">
        <f>IF(K177="",0,IF(COUNTIF($K$4:K177,K177)=1,1,0))</f>
        <v>0</v>
      </c>
    </row>
    <row r="178" spans="1:12" x14ac:dyDescent="0.25">
      <c r="A178" s="3" t="s">
        <v>374</v>
      </c>
      <c r="B178" s="4" t="s">
        <v>375</v>
      </c>
      <c r="C178" t="s">
        <v>212</v>
      </c>
      <c r="D178" t="s">
        <v>77</v>
      </c>
      <c r="E178">
        <v>32</v>
      </c>
      <c r="F178">
        <v>25</v>
      </c>
      <c r="G178" t="s">
        <v>327</v>
      </c>
      <c r="K178" t="s">
        <v>60</v>
      </c>
      <c r="L178">
        <f>IF(K178="",0,IF(COUNTIF($K$4:K178,K178)=1,1,0))</f>
        <v>0</v>
      </c>
    </row>
    <row r="179" spans="1:12" x14ac:dyDescent="0.25">
      <c r="A179" s="5" t="s">
        <v>376</v>
      </c>
      <c r="B179" s="6" t="s">
        <v>377</v>
      </c>
      <c r="C179" t="s">
        <v>212</v>
      </c>
      <c r="D179" t="s">
        <v>77</v>
      </c>
      <c r="E179">
        <v>40</v>
      </c>
      <c r="F179">
        <v>15</v>
      </c>
      <c r="G179" t="s">
        <v>327</v>
      </c>
      <c r="K179" t="s">
        <v>60</v>
      </c>
      <c r="L179">
        <f>IF(K179="",0,IF(COUNTIF($K$4:K179,K179)=1,1,0))</f>
        <v>0</v>
      </c>
    </row>
    <row r="180" spans="1:12" x14ac:dyDescent="0.25">
      <c r="A180" s="3" t="s">
        <v>378</v>
      </c>
      <c r="B180" s="4" t="s">
        <v>379</v>
      </c>
      <c r="C180" t="s">
        <v>212</v>
      </c>
      <c r="D180" t="s">
        <v>77</v>
      </c>
      <c r="E180">
        <v>40</v>
      </c>
      <c r="F180">
        <v>20</v>
      </c>
      <c r="G180" t="s">
        <v>327</v>
      </c>
      <c r="K180" t="s">
        <v>60</v>
      </c>
      <c r="L180">
        <f>IF(K180="",0,IF(COUNTIF($K$4:K180,K180)=1,1,0))</f>
        <v>0</v>
      </c>
    </row>
    <row r="181" spans="1:12" x14ac:dyDescent="0.25">
      <c r="A181" s="5" t="s">
        <v>380</v>
      </c>
      <c r="B181" s="6" t="s">
        <v>381</v>
      </c>
      <c r="C181" t="s">
        <v>212</v>
      </c>
      <c r="D181" t="s">
        <v>77</v>
      </c>
      <c r="E181">
        <v>40</v>
      </c>
      <c r="F181">
        <v>25</v>
      </c>
      <c r="G181" t="s">
        <v>327</v>
      </c>
      <c r="K181" t="s">
        <v>60</v>
      </c>
      <c r="L181">
        <f>IF(K181="",0,IF(COUNTIF($K$4:K181,K181)=1,1,0))</f>
        <v>0</v>
      </c>
    </row>
    <row r="182" spans="1:12" x14ac:dyDescent="0.25">
      <c r="A182" s="3" t="s">
        <v>382</v>
      </c>
      <c r="B182" s="4" t="s">
        <v>383</v>
      </c>
      <c r="C182" t="s">
        <v>212</v>
      </c>
      <c r="D182" t="s">
        <v>77</v>
      </c>
      <c r="E182">
        <v>50</v>
      </c>
      <c r="F182">
        <v>15</v>
      </c>
      <c r="G182" t="s">
        <v>327</v>
      </c>
      <c r="K182" t="s">
        <v>60</v>
      </c>
      <c r="L182">
        <f>IF(K182="",0,IF(COUNTIF($K$4:K182,K182)=1,1,0))</f>
        <v>0</v>
      </c>
    </row>
    <row r="183" spans="1:12" x14ac:dyDescent="0.25">
      <c r="A183" s="5" t="s">
        <v>384</v>
      </c>
      <c r="B183" s="6" t="s">
        <v>385</v>
      </c>
      <c r="C183" t="s">
        <v>212</v>
      </c>
      <c r="D183" t="s">
        <v>77</v>
      </c>
      <c r="E183">
        <v>50</v>
      </c>
      <c r="F183">
        <v>20</v>
      </c>
      <c r="G183" t="s">
        <v>327</v>
      </c>
      <c r="K183" t="s">
        <v>60</v>
      </c>
      <c r="L183">
        <f>IF(K183="",0,IF(COUNTIF($K$4:K183,K183)=1,1,0))</f>
        <v>0</v>
      </c>
    </row>
    <row r="184" spans="1:12" x14ac:dyDescent="0.25">
      <c r="A184" s="3" t="s">
        <v>386</v>
      </c>
      <c r="B184" s="4" t="s">
        <v>387</v>
      </c>
      <c r="C184" t="s">
        <v>212</v>
      </c>
      <c r="D184" t="s">
        <v>77</v>
      </c>
      <c r="E184">
        <v>50</v>
      </c>
      <c r="F184">
        <v>25</v>
      </c>
      <c r="G184" t="s">
        <v>327</v>
      </c>
      <c r="K184" t="s">
        <v>60</v>
      </c>
      <c r="L184">
        <f>IF(K184="",0,IF(COUNTIF($K$4:K184,K184)=1,1,0))</f>
        <v>0</v>
      </c>
    </row>
    <row r="185" spans="1:12" x14ac:dyDescent="0.25">
      <c r="A185" s="5" t="s">
        <v>388</v>
      </c>
      <c r="B185" s="6" t="s">
        <v>389</v>
      </c>
      <c r="C185" t="s">
        <v>212</v>
      </c>
      <c r="D185" t="s">
        <v>77</v>
      </c>
      <c r="E185">
        <v>50</v>
      </c>
      <c r="F185">
        <v>32</v>
      </c>
      <c r="G185" t="s">
        <v>327</v>
      </c>
      <c r="K185" t="s">
        <v>60</v>
      </c>
      <c r="L185">
        <f>IF(K185="",0,IF(COUNTIF($K$4:K185,K185)=1,1,0))</f>
        <v>0</v>
      </c>
    </row>
    <row r="186" spans="1:12" x14ac:dyDescent="0.25">
      <c r="A186" s="3" t="s">
        <v>390</v>
      </c>
      <c r="B186" s="4" t="s">
        <v>391</v>
      </c>
      <c r="C186" t="s">
        <v>212</v>
      </c>
      <c r="D186" t="s">
        <v>77</v>
      </c>
      <c r="E186">
        <v>50</v>
      </c>
      <c r="F186">
        <v>40</v>
      </c>
      <c r="G186" t="s">
        <v>327</v>
      </c>
      <c r="K186" t="s">
        <v>60</v>
      </c>
      <c r="L186">
        <f>IF(K186="",0,IF(COUNTIF($K$4:K186,K186)=1,1,0))</f>
        <v>0</v>
      </c>
    </row>
    <row r="187" spans="1:12" x14ac:dyDescent="0.25">
      <c r="A187" s="5" t="s">
        <v>392</v>
      </c>
      <c r="B187" s="6" t="s">
        <v>393</v>
      </c>
      <c r="C187" t="s">
        <v>212</v>
      </c>
      <c r="D187" t="s">
        <v>77</v>
      </c>
      <c r="E187">
        <v>65</v>
      </c>
      <c r="F187">
        <v>15</v>
      </c>
      <c r="G187" t="s">
        <v>327</v>
      </c>
      <c r="K187" t="s">
        <v>60</v>
      </c>
      <c r="L187">
        <f>IF(K187="",0,IF(COUNTIF($K$4:K187,K187)=1,1,0))</f>
        <v>0</v>
      </c>
    </row>
    <row r="188" spans="1:12" x14ac:dyDescent="0.25">
      <c r="A188" s="3" t="s">
        <v>394</v>
      </c>
      <c r="B188" s="4" t="s">
        <v>395</v>
      </c>
      <c r="C188" t="s">
        <v>212</v>
      </c>
      <c r="D188" t="s">
        <v>77</v>
      </c>
      <c r="E188">
        <v>65</v>
      </c>
      <c r="F188">
        <v>20</v>
      </c>
      <c r="G188" t="s">
        <v>327</v>
      </c>
      <c r="K188" t="s">
        <v>60</v>
      </c>
      <c r="L188">
        <f>IF(K188="",0,IF(COUNTIF($K$4:K188,K188)=1,1,0))</f>
        <v>0</v>
      </c>
    </row>
    <row r="189" spans="1:12" x14ac:dyDescent="0.25">
      <c r="A189" s="5" t="s">
        <v>396</v>
      </c>
      <c r="B189" s="6" t="s">
        <v>397</v>
      </c>
      <c r="C189" t="s">
        <v>212</v>
      </c>
      <c r="D189" t="s">
        <v>77</v>
      </c>
      <c r="E189">
        <v>65</v>
      </c>
      <c r="F189">
        <v>25</v>
      </c>
      <c r="G189" t="s">
        <v>327</v>
      </c>
      <c r="K189" t="s">
        <v>60</v>
      </c>
      <c r="L189">
        <f>IF(K189="",0,IF(COUNTIF($K$4:K189,K189)=1,1,0))</f>
        <v>0</v>
      </c>
    </row>
    <row r="190" spans="1:12" x14ac:dyDescent="0.25">
      <c r="A190" s="3" t="s">
        <v>398</v>
      </c>
      <c r="B190" s="4" t="s">
        <v>399</v>
      </c>
      <c r="C190" t="s">
        <v>212</v>
      </c>
      <c r="D190" t="s">
        <v>77</v>
      </c>
      <c r="E190">
        <v>65</v>
      </c>
      <c r="F190">
        <v>32</v>
      </c>
      <c r="G190" t="s">
        <v>327</v>
      </c>
      <c r="K190" t="s">
        <v>60</v>
      </c>
      <c r="L190">
        <f>IF(K190="",0,IF(COUNTIF($K$4:K190,K190)=1,1,0))</f>
        <v>0</v>
      </c>
    </row>
    <row r="191" spans="1:12" x14ac:dyDescent="0.25">
      <c r="A191" s="5" t="s">
        <v>400</v>
      </c>
      <c r="B191" s="6" t="s">
        <v>401</v>
      </c>
      <c r="C191" t="s">
        <v>212</v>
      </c>
      <c r="D191" t="s">
        <v>77</v>
      </c>
      <c r="E191">
        <v>65</v>
      </c>
      <c r="F191">
        <v>40</v>
      </c>
      <c r="G191" t="s">
        <v>327</v>
      </c>
      <c r="K191" t="s">
        <v>60</v>
      </c>
      <c r="L191">
        <f>IF(K191="",0,IF(COUNTIF($K$4:K191,K191)=1,1,0))</f>
        <v>0</v>
      </c>
    </row>
    <row r="192" spans="1:12" x14ac:dyDescent="0.25">
      <c r="A192" s="3" t="s">
        <v>402</v>
      </c>
      <c r="B192" s="4" t="s">
        <v>403</v>
      </c>
      <c r="C192" t="s">
        <v>212</v>
      </c>
      <c r="D192" t="s">
        <v>77</v>
      </c>
      <c r="E192">
        <v>65</v>
      </c>
      <c r="F192">
        <v>50</v>
      </c>
      <c r="G192" t="s">
        <v>327</v>
      </c>
      <c r="K192" t="s">
        <v>60</v>
      </c>
      <c r="L192">
        <f>IF(K192="",0,IF(COUNTIF($K$4:K192,K192)=1,1,0))</f>
        <v>0</v>
      </c>
    </row>
    <row r="193" spans="1:12" x14ac:dyDescent="0.25">
      <c r="A193" s="5" t="s">
        <v>404</v>
      </c>
      <c r="B193" s="6" t="s">
        <v>405</v>
      </c>
      <c r="C193" t="s">
        <v>59</v>
      </c>
      <c r="D193" t="s">
        <v>14</v>
      </c>
      <c r="E193">
        <v>25</v>
      </c>
      <c r="G193" t="s">
        <v>412</v>
      </c>
      <c r="K193" t="s">
        <v>60</v>
      </c>
      <c r="L193">
        <f>IF(K193="",0,IF(COUNTIF($K$4:K193,K193)=1,1,0))</f>
        <v>0</v>
      </c>
    </row>
    <row r="194" spans="1:12" x14ac:dyDescent="0.25">
      <c r="A194" s="3" t="s">
        <v>406</v>
      </c>
      <c r="B194" s="4" t="s">
        <v>407</v>
      </c>
      <c r="K194" t="s">
        <v>60</v>
      </c>
      <c r="L194">
        <f>IF(K194="",0,IF(COUNTIF($K$4:K194,K194)=1,1,0))</f>
        <v>0</v>
      </c>
    </row>
    <row r="195" spans="1:12" x14ac:dyDescent="0.25">
      <c r="A195" s="5" t="s">
        <v>408</v>
      </c>
      <c r="B195" s="6" t="s">
        <v>409</v>
      </c>
      <c r="K195" t="s">
        <v>60</v>
      </c>
      <c r="L195">
        <f>IF(K195="",0,IF(COUNTIF($K$4:K195,K195)=1,1,0))</f>
        <v>0</v>
      </c>
    </row>
    <row r="196" spans="1:12" x14ac:dyDescent="0.25">
      <c r="A196" s="3" t="s">
        <v>410</v>
      </c>
      <c r="B196" s="4" t="s">
        <v>411</v>
      </c>
      <c r="C196" t="s">
        <v>111</v>
      </c>
      <c r="D196" t="s">
        <v>14</v>
      </c>
      <c r="E196">
        <v>25</v>
      </c>
      <c r="G196" t="s">
        <v>412</v>
      </c>
      <c r="K196" t="s">
        <v>60</v>
      </c>
      <c r="L196">
        <f>IF(K196="",0,IF(COUNTIF($K$4:K196,K196)=1,1,0))</f>
        <v>0</v>
      </c>
    </row>
    <row r="197" spans="1:12" x14ac:dyDescent="0.25">
      <c r="A197" s="5" t="s">
        <v>413</v>
      </c>
      <c r="B197" s="6" t="s">
        <v>414</v>
      </c>
      <c r="C197" t="s">
        <v>111</v>
      </c>
      <c r="D197" t="s">
        <v>14</v>
      </c>
      <c r="E197">
        <v>40</v>
      </c>
      <c r="G197" t="s">
        <v>412</v>
      </c>
      <c r="K197" t="s">
        <v>60</v>
      </c>
      <c r="L197">
        <f>IF(K197="",0,IF(COUNTIF($K$4:K197,K197)=1,1,0))</f>
        <v>0</v>
      </c>
    </row>
    <row r="198" spans="1:12" x14ac:dyDescent="0.25">
      <c r="A198" s="3" t="s">
        <v>415</v>
      </c>
      <c r="B198" s="4" t="s">
        <v>416</v>
      </c>
      <c r="C198" t="s">
        <v>417</v>
      </c>
      <c r="D198" t="s">
        <v>14</v>
      </c>
      <c r="E198">
        <v>25</v>
      </c>
      <c r="K198" t="s">
        <v>60</v>
      </c>
      <c r="L198">
        <f>IF(K198="",0,IF(COUNTIF($K$4:K198,K198)=1,1,0))</f>
        <v>0</v>
      </c>
    </row>
    <row r="199" spans="1:12" x14ac:dyDescent="0.25">
      <c r="A199" s="5" t="s">
        <v>418</v>
      </c>
      <c r="B199" s="6" t="s">
        <v>419</v>
      </c>
      <c r="C199" t="s">
        <v>417</v>
      </c>
      <c r="D199" t="s">
        <v>14</v>
      </c>
      <c r="E199">
        <v>32</v>
      </c>
      <c r="K199" t="s">
        <v>60</v>
      </c>
      <c r="L199">
        <f>IF(K199="",0,IF(COUNTIF($K$4:K199,K199)=1,1,0))</f>
        <v>0</v>
      </c>
    </row>
    <row r="200" spans="1:12" x14ac:dyDescent="0.25">
      <c r="A200" s="3" t="s">
        <v>420</v>
      </c>
      <c r="B200" s="4" t="s">
        <v>421</v>
      </c>
      <c r="C200" t="s">
        <v>417</v>
      </c>
      <c r="D200" t="s">
        <v>14</v>
      </c>
      <c r="E200">
        <v>40</v>
      </c>
      <c r="K200" t="s">
        <v>60</v>
      </c>
      <c r="L200">
        <f>IF(K200="",0,IF(COUNTIF($K$4:K200,K200)=1,1,0))</f>
        <v>0</v>
      </c>
    </row>
    <row r="201" spans="1:12" x14ac:dyDescent="0.25">
      <c r="A201" s="5" t="s">
        <v>422</v>
      </c>
      <c r="B201" s="6" t="s">
        <v>423</v>
      </c>
      <c r="C201" t="s">
        <v>417</v>
      </c>
      <c r="D201" t="s">
        <v>14</v>
      </c>
      <c r="E201">
        <v>50</v>
      </c>
      <c r="K201" t="s">
        <v>60</v>
      </c>
      <c r="L201">
        <f>IF(K201="",0,IF(COUNTIF($K$4:K201,K201)=1,1,0))</f>
        <v>0</v>
      </c>
    </row>
    <row r="202" spans="1:12" x14ac:dyDescent="0.25">
      <c r="A202" s="3" t="s">
        <v>424</v>
      </c>
      <c r="B202" s="4" t="s">
        <v>425</v>
      </c>
      <c r="C202" t="s">
        <v>426</v>
      </c>
      <c r="D202" t="s">
        <v>94</v>
      </c>
      <c r="E202">
        <v>32</v>
      </c>
      <c r="K202" t="s">
        <v>60</v>
      </c>
      <c r="L202">
        <f>IF(K202="",0,IF(COUNTIF($K$4:K202,K202)=1,1,0))</f>
        <v>0</v>
      </c>
    </row>
    <row r="203" spans="1:12" x14ac:dyDescent="0.25">
      <c r="A203" s="5" t="s">
        <v>427</v>
      </c>
      <c r="B203" s="6" t="s">
        <v>428</v>
      </c>
      <c r="C203" t="s">
        <v>426</v>
      </c>
      <c r="D203" t="s">
        <v>94</v>
      </c>
      <c r="E203">
        <v>40</v>
      </c>
      <c r="K203" t="s">
        <v>60</v>
      </c>
      <c r="L203">
        <f>IF(K203="",0,IF(COUNTIF($K$4:K203,K203)=1,1,0))</f>
        <v>0</v>
      </c>
    </row>
    <row r="204" spans="1:12" x14ac:dyDescent="0.25">
      <c r="A204" s="3" t="s">
        <v>429</v>
      </c>
      <c r="B204" s="4" t="s">
        <v>430</v>
      </c>
      <c r="C204" t="s">
        <v>426</v>
      </c>
      <c r="D204" t="s">
        <v>94</v>
      </c>
      <c r="E204">
        <v>50</v>
      </c>
      <c r="K204" t="s">
        <v>60</v>
      </c>
      <c r="L204">
        <f>IF(K204="",0,IF(COUNTIF($K$4:K204,K204)=1,1,0))</f>
        <v>0</v>
      </c>
    </row>
    <row r="205" spans="1:12" x14ac:dyDescent="0.25">
      <c r="A205" s="5" t="s">
        <v>431</v>
      </c>
      <c r="B205" s="6" t="s">
        <v>432</v>
      </c>
      <c r="C205" t="s">
        <v>426</v>
      </c>
      <c r="D205" t="s">
        <v>94</v>
      </c>
      <c r="E205">
        <v>65</v>
      </c>
      <c r="K205" t="s">
        <v>60</v>
      </c>
      <c r="L205">
        <f>IF(K205="",0,IF(COUNTIF($K$4:K205,K205)=1,1,0))</f>
        <v>0</v>
      </c>
    </row>
    <row r="206" spans="1:12" x14ac:dyDescent="0.25">
      <c r="A206" s="3" t="s">
        <v>433</v>
      </c>
      <c r="B206" s="4" t="s">
        <v>434</v>
      </c>
      <c r="C206" t="s">
        <v>426</v>
      </c>
      <c r="D206" t="s">
        <v>94</v>
      </c>
      <c r="E206">
        <v>80</v>
      </c>
      <c r="K206" t="s">
        <v>60</v>
      </c>
      <c r="L206">
        <f>IF(K206="",0,IF(COUNTIF($K$4:K206,K206)=1,1,0))</f>
        <v>0</v>
      </c>
    </row>
    <row r="207" spans="1:12" x14ac:dyDescent="0.25">
      <c r="A207" s="5" t="s">
        <v>435</v>
      </c>
      <c r="B207" s="6" t="s">
        <v>436</v>
      </c>
      <c r="C207" t="s">
        <v>426</v>
      </c>
      <c r="D207" t="s">
        <v>14</v>
      </c>
      <c r="E207">
        <v>32</v>
      </c>
      <c r="K207" t="s">
        <v>60</v>
      </c>
      <c r="L207">
        <f>IF(K207="",0,IF(COUNTIF($K$4:K207,K207)=1,1,0))</f>
        <v>0</v>
      </c>
    </row>
    <row r="208" spans="1:12" x14ac:dyDescent="0.25">
      <c r="A208" s="3" t="s">
        <v>437</v>
      </c>
      <c r="B208" s="4" t="s">
        <v>438</v>
      </c>
      <c r="C208" t="s">
        <v>426</v>
      </c>
      <c r="D208" t="s">
        <v>14</v>
      </c>
      <c r="E208">
        <v>40</v>
      </c>
      <c r="K208" t="s">
        <v>60</v>
      </c>
      <c r="L208">
        <f>IF(K208="",0,IF(COUNTIF($K$4:K208,K208)=1,1,0))</f>
        <v>0</v>
      </c>
    </row>
    <row r="209" spans="1:12" x14ac:dyDescent="0.25">
      <c r="A209" s="5" t="s">
        <v>439</v>
      </c>
      <c r="B209" s="6" t="s">
        <v>440</v>
      </c>
      <c r="C209" t="s">
        <v>426</v>
      </c>
      <c r="D209" t="s">
        <v>14</v>
      </c>
      <c r="E209">
        <v>50</v>
      </c>
      <c r="K209" t="s">
        <v>60</v>
      </c>
      <c r="L209">
        <f>IF(K209="",0,IF(COUNTIF($K$4:K209,K209)=1,1,0))</f>
        <v>0</v>
      </c>
    </row>
    <row r="210" spans="1:12" x14ac:dyDescent="0.25">
      <c r="A210" s="3" t="s">
        <v>441</v>
      </c>
      <c r="B210" s="4" t="s">
        <v>442</v>
      </c>
      <c r="C210" t="s">
        <v>426</v>
      </c>
      <c r="D210" t="s">
        <v>14</v>
      </c>
      <c r="E210">
        <v>65</v>
      </c>
      <c r="K210" t="s">
        <v>60</v>
      </c>
      <c r="L210">
        <f>IF(K210="",0,IF(COUNTIF($K$4:K210,K210)=1,1,0))</f>
        <v>0</v>
      </c>
    </row>
    <row r="211" spans="1:12" x14ac:dyDescent="0.25">
      <c r="A211" s="5" t="s">
        <v>443</v>
      </c>
      <c r="B211" s="6" t="s">
        <v>444</v>
      </c>
      <c r="C211" t="s">
        <v>426</v>
      </c>
      <c r="D211" t="s">
        <v>14</v>
      </c>
      <c r="E211">
        <v>80</v>
      </c>
      <c r="K211" t="s">
        <v>60</v>
      </c>
      <c r="L211">
        <f>IF(K211="",0,IF(COUNTIF($K$4:K211,K211)=1,1,0))</f>
        <v>0</v>
      </c>
    </row>
    <row r="212" spans="1:12" x14ac:dyDescent="0.25">
      <c r="A212" s="3" t="s">
        <v>445</v>
      </c>
      <c r="B212" s="4" t="s">
        <v>446</v>
      </c>
      <c r="C212" t="s">
        <v>426</v>
      </c>
      <c r="D212" t="s">
        <v>77</v>
      </c>
      <c r="E212">
        <v>32</v>
      </c>
      <c r="K212" t="s">
        <v>60</v>
      </c>
      <c r="L212">
        <f>IF(K212="",0,IF(COUNTIF($K$4:K212,K212)=1,1,0))</f>
        <v>0</v>
      </c>
    </row>
    <row r="213" spans="1:12" x14ac:dyDescent="0.25">
      <c r="A213" s="5" t="s">
        <v>447</v>
      </c>
      <c r="B213" s="6" t="s">
        <v>448</v>
      </c>
      <c r="C213" t="s">
        <v>426</v>
      </c>
      <c r="D213" t="s">
        <v>77</v>
      </c>
      <c r="E213">
        <v>40</v>
      </c>
      <c r="K213" t="s">
        <v>60</v>
      </c>
      <c r="L213">
        <f>IF(K213="",0,IF(COUNTIF($K$4:K213,K213)=1,1,0))</f>
        <v>0</v>
      </c>
    </row>
    <row r="214" spans="1:12" x14ac:dyDescent="0.25">
      <c r="A214" s="3" t="s">
        <v>449</v>
      </c>
      <c r="B214" s="4" t="s">
        <v>450</v>
      </c>
      <c r="C214" t="s">
        <v>426</v>
      </c>
      <c r="D214" t="s">
        <v>77</v>
      </c>
      <c r="E214">
        <v>50</v>
      </c>
      <c r="K214" t="s">
        <v>60</v>
      </c>
      <c r="L214">
        <f>IF(K214="",0,IF(COUNTIF($K$4:K214,K214)=1,1,0))</f>
        <v>0</v>
      </c>
    </row>
    <row r="215" spans="1:12" x14ac:dyDescent="0.25">
      <c r="A215" s="5" t="s">
        <v>451</v>
      </c>
      <c r="B215" s="6" t="s">
        <v>452</v>
      </c>
      <c r="C215" t="s">
        <v>426</v>
      </c>
      <c r="D215" t="s">
        <v>77</v>
      </c>
      <c r="E215">
        <v>65</v>
      </c>
      <c r="K215" t="s">
        <v>60</v>
      </c>
      <c r="L215">
        <f>IF(K215="",0,IF(COUNTIF($K$4:K215,K215)=1,1,0))</f>
        <v>0</v>
      </c>
    </row>
    <row r="216" spans="1:12" x14ac:dyDescent="0.25">
      <c r="A216" s="3" t="s">
        <v>453</v>
      </c>
      <c r="B216" s="4" t="s">
        <v>454</v>
      </c>
      <c r="C216" t="s">
        <v>426</v>
      </c>
      <c r="D216" t="s">
        <v>77</v>
      </c>
      <c r="E216">
        <v>80</v>
      </c>
      <c r="K216" t="s">
        <v>60</v>
      </c>
      <c r="L216">
        <f>IF(K216="",0,IF(COUNTIF($K$4:K216,K216)=1,1,0))</f>
        <v>0</v>
      </c>
    </row>
    <row r="217" spans="1:12" x14ac:dyDescent="0.25">
      <c r="A217" s="5" t="s">
        <v>455</v>
      </c>
      <c r="B217" s="6" t="s">
        <v>456</v>
      </c>
      <c r="C217" t="s">
        <v>457</v>
      </c>
      <c r="D217" t="s">
        <v>458</v>
      </c>
      <c r="E217">
        <v>25</v>
      </c>
      <c r="K217" t="s">
        <v>60</v>
      </c>
      <c r="L217">
        <f>IF(K217="",0,IF(COUNTIF($K$4:K217,K217)=1,1,0))</f>
        <v>0</v>
      </c>
    </row>
    <row r="218" spans="1:12" x14ac:dyDescent="0.25">
      <c r="A218" s="3" t="s">
        <v>459</v>
      </c>
      <c r="B218" s="4" t="s">
        <v>460</v>
      </c>
      <c r="C218" t="s">
        <v>457</v>
      </c>
      <c r="D218" t="s">
        <v>458</v>
      </c>
      <c r="E218">
        <v>32</v>
      </c>
      <c r="K218" t="s">
        <v>60</v>
      </c>
      <c r="L218">
        <f>IF(K218="",0,IF(COUNTIF($K$4:K218,K218)=1,1,0))</f>
        <v>0</v>
      </c>
    </row>
    <row r="219" spans="1:12" x14ac:dyDescent="0.25">
      <c r="A219" s="5" t="s">
        <v>461</v>
      </c>
      <c r="B219" s="6" t="s">
        <v>462</v>
      </c>
      <c r="C219" t="s">
        <v>457</v>
      </c>
      <c r="D219" t="s">
        <v>458</v>
      </c>
      <c r="E219">
        <v>40</v>
      </c>
      <c r="K219" t="s">
        <v>60</v>
      </c>
      <c r="L219">
        <f>IF(K219="",0,IF(COUNTIF($K$4:K219,K219)=1,1,0))</f>
        <v>0</v>
      </c>
    </row>
    <row r="220" spans="1:12" x14ac:dyDescent="0.25">
      <c r="A220" s="3" t="s">
        <v>463</v>
      </c>
      <c r="B220" s="4" t="s">
        <v>464</v>
      </c>
      <c r="C220" t="s">
        <v>457</v>
      </c>
      <c r="D220" t="s">
        <v>458</v>
      </c>
      <c r="E220">
        <v>50</v>
      </c>
      <c r="K220" t="s">
        <v>60</v>
      </c>
      <c r="L220">
        <f>IF(K220="",0,IF(COUNTIF($K$4:K220,K220)=1,1,0))</f>
        <v>0</v>
      </c>
    </row>
    <row r="221" spans="1:12" x14ac:dyDescent="0.25">
      <c r="A221" s="5" t="s">
        <v>465</v>
      </c>
      <c r="B221" s="6" t="s">
        <v>466</v>
      </c>
      <c r="C221" t="s">
        <v>457</v>
      </c>
      <c r="D221" t="s">
        <v>458</v>
      </c>
      <c r="E221">
        <v>65</v>
      </c>
      <c r="K221" t="s">
        <v>60</v>
      </c>
      <c r="L221">
        <f>IF(K221="",0,IF(COUNTIF($K$4:K221,K221)=1,1,0))</f>
        <v>0</v>
      </c>
    </row>
    <row r="222" spans="1:12" x14ac:dyDescent="0.25">
      <c r="A222" s="3" t="s">
        <v>467</v>
      </c>
      <c r="B222" s="4" t="s">
        <v>468</v>
      </c>
      <c r="C222" t="s">
        <v>457</v>
      </c>
      <c r="D222" t="s">
        <v>458</v>
      </c>
      <c r="E222">
        <v>80</v>
      </c>
      <c r="K222" t="s">
        <v>60</v>
      </c>
      <c r="L222">
        <f>IF(K222="",0,IF(COUNTIF($K$4:K222,K222)=1,1,0))</f>
        <v>0</v>
      </c>
    </row>
    <row r="223" spans="1:12" x14ac:dyDescent="0.25">
      <c r="A223" s="5" t="s">
        <v>469</v>
      </c>
      <c r="B223" s="6" t="s">
        <v>470</v>
      </c>
      <c r="C223" t="s">
        <v>457</v>
      </c>
      <c r="D223" t="s">
        <v>458</v>
      </c>
      <c r="E223">
        <v>100</v>
      </c>
      <c r="K223" t="s">
        <v>60</v>
      </c>
      <c r="L223">
        <f>IF(K223="",0,IF(COUNTIF($K$4:K223,K223)=1,1,0))</f>
        <v>0</v>
      </c>
    </row>
    <row r="224" spans="1:12" x14ac:dyDescent="0.25">
      <c r="A224" s="3" t="s">
        <v>471</v>
      </c>
      <c r="B224" s="4" t="s">
        <v>472</v>
      </c>
      <c r="C224" t="s">
        <v>457</v>
      </c>
      <c r="D224" t="s">
        <v>458</v>
      </c>
      <c r="E224">
        <v>125</v>
      </c>
      <c r="K224" t="s">
        <v>60</v>
      </c>
      <c r="L224">
        <f>IF(K224="",0,IF(COUNTIF($K$4:K224,K224)=1,1,0))</f>
        <v>0</v>
      </c>
    </row>
    <row r="225" spans="1:12" x14ac:dyDescent="0.25">
      <c r="A225" s="5" t="s">
        <v>473</v>
      </c>
      <c r="B225" s="6" t="s">
        <v>474</v>
      </c>
      <c r="C225" t="s">
        <v>457</v>
      </c>
      <c r="D225" t="s">
        <v>458</v>
      </c>
      <c r="E225">
        <v>150</v>
      </c>
      <c r="K225" t="s">
        <v>60</v>
      </c>
      <c r="L225">
        <f>IF(K225="",0,IF(COUNTIF($K$4:K225,K225)=1,1,0))</f>
        <v>0</v>
      </c>
    </row>
    <row r="226" spans="1:12" x14ac:dyDescent="0.25">
      <c r="A226" s="3" t="s">
        <v>475</v>
      </c>
      <c r="B226" s="4" t="s">
        <v>476</v>
      </c>
      <c r="C226" t="s">
        <v>477</v>
      </c>
      <c r="D226" t="s">
        <v>458</v>
      </c>
      <c r="E226">
        <v>25</v>
      </c>
      <c r="K226" t="s">
        <v>60</v>
      </c>
      <c r="L226">
        <f>IF(K226="",0,IF(COUNTIF($K$4:K226,K226)=1,1,0))</f>
        <v>0</v>
      </c>
    </row>
    <row r="227" spans="1:12" x14ac:dyDescent="0.25">
      <c r="A227" s="5" t="s">
        <v>478</v>
      </c>
      <c r="B227" s="6" t="s">
        <v>479</v>
      </c>
      <c r="C227" t="s">
        <v>477</v>
      </c>
      <c r="D227" t="s">
        <v>458</v>
      </c>
      <c r="E227">
        <v>32</v>
      </c>
      <c r="K227" t="s">
        <v>60</v>
      </c>
      <c r="L227">
        <f>IF(K227="",0,IF(COUNTIF($K$4:K227,K227)=1,1,0))</f>
        <v>0</v>
      </c>
    </row>
    <row r="228" spans="1:12" x14ac:dyDescent="0.25">
      <c r="A228" s="3" t="s">
        <v>480</v>
      </c>
      <c r="B228" s="4" t="s">
        <v>481</v>
      </c>
      <c r="C228" t="s">
        <v>477</v>
      </c>
      <c r="D228" t="s">
        <v>458</v>
      </c>
      <c r="E228">
        <v>40</v>
      </c>
      <c r="K228" t="s">
        <v>60</v>
      </c>
      <c r="L228">
        <f>IF(K228="",0,IF(COUNTIF($K$4:K228,K228)=1,1,0))</f>
        <v>0</v>
      </c>
    </row>
    <row r="229" spans="1:12" x14ac:dyDescent="0.25">
      <c r="A229" s="5" t="s">
        <v>482</v>
      </c>
      <c r="B229" s="6" t="s">
        <v>483</v>
      </c>
      <c r="C229" t="s">
        <v>477</v>
      </c>
      <c r="D229" t="s">
        <v>458</v>
      </c>
      <c r="E229">
        <v>50</v>
      </c>
      <c r="K229" t="s">
        <v>60</v>
      </c>
      <c r="L229">
        <f>IF(K229="",0,IF(COUNTIF($K$4:K229,K229)=1,1,0))</f>
        <v>0</v>
      </c>
    </row>
    <row r="230" spans="1:12" x14ac:dyDescent="0.25">
      <c r="A230" s="3" t="s">
        <v>484</v>
      </c>
      <c r="B230" s="4" t="s">
        <v>485</v>
      </c>
      <c r="C230" t="s">
        <v>477</v>
      </c>
      <c r="D230" t="s">
        <v>458</v>
      </c>
      <c r="E230">
        <v>65</v>
      </c>
      <c r="K230" t="s">
        <v>60</v>
      </c>
      <c r="L230">
        <f>IF(K230="",0,IF(COUNTIF($K$4:K230,K230)=1,1,0))</f>
        <v>0</v>
      </c>
    </row>
    <row r="231" spans="1:12" x14ac:dyDescent="0.25">
      <c r="A231" s="5" t="s">
        <v>486</v>
      </c>
      <c r="B231" s="6" t="s">
        <v>487</v>
      </c>
      <c r="C231" t="s">
        <v>477</v>
      </c>
      <c r="D231" t="s">
        <v>458</v>
      </c>
      <c r="E231">
        <v>80</v>
      </c>
      <c r="K231" t="s">
        <v>60</v>
      </c>
      <c r="L231">
        <f>IF(K231="",0,IF(COUNTIF($K$4:K231,K231)=1,1,0))</f>
        <v>0</v>
      </c>
    </row>
    <row r="232" spans="1:12" x14ac:dyDescent="0.25">
      <c r="A232" s="3" t="s">
        <v>488</v>
      </c>
      <c r="B232" s="4" t="s">
        <v>489</v>
      </c>
      <c r="C232" t="s">
        <v>477</v>
      </c>
      <c r="D232" t="s">
        <v>458</v>
      </c>
      <c r="E232">
        <v>100</v>
      </c>
      <c r="K232" t="s">
        <v>60</v>
      </c>
      <c r="L232">
        <f>IF(K232="",0,IF(COUNTIF($K$4:K232,K232)=1,1,0))</f>
        <v>0</v>
      </c>
    </row>
    <row r="233" spans="1:12" x14ac:dyDescent="0.25">
      <c r="A233" s="5" t="s">
        <v>490</v>
      </c>
      <c r="B233" s="6" t="s">
        <v>491</v>
      </c>
      <c r="C233" t="s">
        <v>477</v>
      </c>
      <c r="D233" t="s">
        <v>458</v>
      </c>
      <c r="E233">
        <v>125</v>
      </c>
      <c r="K233" t="s">
        <v>60</v>
      </c>
      <c r="L233">
        <f>IF(K233="",0,IF(COUNTIF($K$4:K233,K233)=1,1,0))</f>
        <v>0</v>
      </c>
    </row>
    <row r="234" spans="1:12" x14ac:dyDescent="0.25">
      <c r="A234" s="3" t="s">
        <v>492</v>
      </c>
      <c r="B234" s="4" t="s">
        <v>493</v>
      </c>
      <c r="C234" t="s">
        <v>477</v>
      </c>
      <c r="D234" t="s">
        <v>458</v>
      </c>
      <c r="E234">
        <v>150</v>
      </c>
      <c r="K234" t="s">
        <v>60</v>
      </c>
      <c r="L234">
        <f>IF(K234="",0,IF(COUNTIF($K$4:K234,K234)=1,1,0))</f>
        <v>0</v>
      </c>
    </row>
    <row r="235" spans="1:12" x14ac:dyDescent="0.25">
      <c r="A235" s="5" t="s">
        <v>494</v>
      </c>
      <c r="B235" s="6" t="s">
        <v>495</v>
      </c>
      <c r="C235" t="s">
        <v>496</v>
      </c>
      <c r="D235" t="s">
        <v>458</v>
      </c>
      <c r="E235">
        <v>25</v>
      </c>
      <c r="K235" t="s">
        <v>60</v>
      </c>
      <c r="L235">
        <f>IF(K235="",0,IF(COUNTIF($K$4:K235,K235)=1,1,0))</f>
        <v>0</v>
      </c>
    </row>
    <row r="236" spans="1:12" x14ac:dyDescent="0.25">
      <c r="A236" s="3" t="s">
        <v>497</v>
      </c>
      <c r="B236" s="4" t="s">
        <v>498</v>
      </c>
      <c r="C236" t="s">
        <v>496</v>
      </c>
      <c r="D236" t="s">
        <v>458</v>
      </c>
      <c r="E236">
        <v>32</v>
      </c>
      <c r="K236" t="s">
        <v>60</v>
      </c>
      <c r="L236">
        <f>IF(K236="",0,IF(COUNTIF($K$4:K236,K236)=1,1,0))</f>
        <v>0</v>
      </c>
    </row>
    <row r="237" spans="1:12" x14ac:dyDescent="0.25">
      <c r="A237" s="5" t="s">
        <v>499</v>
      </c>
      <c r="B237" s="6" t="s">
        <v>500</v>
      </c>
      <c r="C237" t="s">
        <v>496</v>
      </c>
      <c r="D237" t="s">
        <v>458</v>
      </c>
      <c r="E237">
        <v>40</v>
      </c>
      <c r="K237" t="s">
        <v>60</v>
      </c>
      <c r="L237">
        <f>IF(K237="",0,IF(COUNTIF($K$4:K237,K237)=1,1,0))</f>
        <v>0</v>
      </c>
    </row>
    <row r="238" spans="1:12" x14ac:dyDescent="0.25">
      <c r="A238" s="3" t="s">
        <v>501</v>
      </c>
      <c r="B238" s="4" t="s">
        <v>502</v>
      </c>
      <c r="C238" t="s">
        <v>496</v>
      </c>
      <c r="D238" t="s">
        <v>458</v>
      </c>
      <c r="E238">
        <v>50</v>
      </c>
      <c r="K238" t="s">
        <v>60</v>
      </c>
      <c r="L238">
        <f>IF(K238="",0,IF(COUNTIF($K$4:K238,K238)=1,1,0))</f>
        <v>0</v>
      </c>
    </row>
    <row r="239" spans="1:12" x14ac:dyDescent="0.25">
      <c r="A239" s="5" t="s">
        <v>503</v>
      </c>
      <c r="B239" s="6" t="s">
        <v>504</v>
      </c>
      <c r="C239" t="s">
        <v>496</v>
      </c>
      <c r="D239" t="s">
        <v>458</v>
      </c>
      <c r="E239">
        <v>65</v>
      </c>
      <c r="K239" t="s">
        <v>60</v>
      </c>
      <c r="L239">
        <f>IF(K239="",0,IF(COUNTIF($K$4:K239,K239)=1,1,0))</f>
        <v>0</v>
      </c>
    </row>
    <row r="240" spans="1:12" x14ac:dyDescent="0.25">
      <c r="A240" s="3" t="s">
        <v>505</v>
      </c>
      <c r="B240" s="4" t="s">
        <v>506</v>
      </c>
      <c r="C240" t="s">
        <v>496</v>
      </c>
      <c r="D240" t="s">
        <v>458</v>
      </c>
      <c r="E240">
        <v>80</v>
      </c>
      <c r="K240" t="s">
        <v>60</v>
      </c>
      <c r="L240">
        <f>IF(K240="",0,IF(COUNTIF($K$4:K240,K240)=1,1,0))</f>
        <v>0</v>
      </c>
    </row>
    <row r="241" spans="1:12" x14ac:dyDescent="0.25">
      <c r="A241" s="5" t="s">
        <v>507</v>
      </c>
      <c r="B241" s="6" t="s">
        <v>508</v>
      </c>
      <c r="C241" t="s">
        <v>496</v>
      </c>
      <c r="D241" t="s">
        <v>458</v>
      </c>
      <c r="E241">
        <v>100</v>
      </c>
      <c r="K241" t="s">
        <v>60</v>
      </c>
      <c r="L241">
        <f>IF(K241="",0,IF(COUNTIF($K$4:K241,K241)=1,1,0))</f>
        <v>0</v>
      </c>
    </row>
    <row r="242" spans="1:12" x14ac:dyDescent="0.25">
      <c r="A242" s="3" t="s">
        <v>509</v>
      </c>
      <c r="B242" s="4" t="s">
        <v>510</v>
      </c>
      <c r="C242" t="s">
        <v>496</v>
      </c>
      <c r="D242" t="s">
        <v>458</v>
      </c>
      <c r="E242">
        <v>125</v>
      </c>
      <c r="K242" t="s">
        <v>60</v>
      </c>
      <c r="L242">
        <f>IF(K242="",0,IF(COUNTIF($K$4:K242,K242)=1,1,0))</f>
        <v>0</v>
      </c>
    </row>
    <row r="243" spans="1:12" x14ac:dyDescent="0.25">
      <c r="A243" s="5" t="s">
        <v>511</v>
      </c>
      <c r="B243" s="6" t="s">
        <v>512</v>
      </c>
      <c r="C243" t="s">
        <v>496</v>
      </c>
      <c r="D243" t="s">
        <v>458</v>
      </c>
      <c r="E243">
        <v>200</v>
      </c>
      <c r="K243" t="s">
        <v>60</v>
      </c>
      <c r="L243">
        <f>IF(K243="",0,IF(COUNTIF($K$4:K243,K243)=1,1,0))</f>
        <v>0</v>
      </c>
    </row>
    <row r="244" spans="1:12" x14ac:dyDescent="0.25">
      <c r="A244" s="3" t="s">
        <v>513</v>
      </c>
      <c r="B244" s="4" t="s">
        <v>514</v>
      </c>
      <c r="K244" t="s">
        <v>60</v>
      </c>
      <c r="L244">
        <f>IF(K244="",0,IF(COUNTIF($K$4:K244,K244)=1,1,0))</f>
        <v>0</v>
      </c>
    </row>
    <row r="245" spans="1:12" x14ac:dyDescent="0.25">
      <c r="A245" s="5" t="s">
        <v>515</v>
      </c>
      <c r="B245" s="6" t="s">
        <v>516</v>
      </c>
      <c r="K245" t="s">
        <v>60</v>
      </c>
      <c r="L245">
        <f>IF(K245="",0,IF(COUNTIF($K$4:K245,K245)=1,1,0))</f>
        <v>0</v>
      </c>
    </row>
    <row r="246" spans="1:12" x14ac:dyDescent="0.25">
      <c r="A246" s="3" t="s">
        <v>517</v>
      </c>
      <c r="B246" s="4" t="s">
        <v>518</v>
      </c>
      <c r="K246" t="s">
        <v>60</v>
      </c>
      <c r="L246">
        <f>IF(K246="",0,IF(COUNTIF($K$4:K246,K246)=1,1,0))</f>
        <v>0</v>
      </c>
    </row>
    <row r="247" spans="1:12" x14ac:dyDescent="0.25">
      <c r="A247" s="5" t="s">
        <v>519</v>
      </c>
      <c r="B247" s="6" t="s">
        <v>520</v>
      </c>
      <c r="K247" t="s">
        <v>60</v>
      </c>
      <c r="L247">
        <f>IF(K247="",0,IF(COUNTIF($K$4:K247,K247)=1,1,0))</f>
        <v>0</v>
      </c>
    </row>
    <row r="248" spans="1:12" x14ac:dyDescent="0.25">
      <c r="A248" s="3" t="s">
        <v>521</v>
      </c>
      <c r="B248" s="4" t="s">
        <v>522</v>
      </c>
      <c r="K248" t="s">
        <v>60</v>
      </c>
      <c r="L248">
        <f>IF(K248="",0,IF(COUNTIF($K$4:K248,K248)=1,1,0))</f>
        <v>0</v>
      </c>
    </row>
    <row r="249" spans="1:12" x14ac:dyDescent="0.25">
      <c r="A249" s="5" t="s">
        <v>523</v>
      </c>
      <c r="B249" s="6" t="s">
        <v>524</v>
      </c>
      <c r="K249" t="s">
        <v>60</v>
      </c>
      <c r="L249">
        <f>IF(K249="",0,IF(COUNTIF($K$4:K249,K249)=1,1,0))</f>
        <v>0</v>
      </c>
    </row>
    <row r="250" spans="1:12" x14ac:dyDescent="0.25">
      <c r="A250" s="3" t="s">
        <v>525</v>
      </c>
      <c r="B250" s="4" t="s">
        <v>526</v>
      </c>
      <c r="K250" t="s">
        <v>60</v>
      </c>
      <c r="L250">
        <f>IF(K250="",0,IF(COUNTIF($K$4:K250,K250)=1,1,0))</f>
        <v>0</v>
      </c>
    </row>
    <row r="251" spans="1:12" x14ac:dyDescent="0.25">
      <c r="A251" s="5" t="s">
        <v>527</v>
      </c>
      <c r="B251" s="6" t="s">
        <v>528</v>
      </c>
      <c r="K251" t="s">
        <v>60</v>
      </c>
      <c r="L251">
        <f>IF(K251="",0,IF(COUNTIF($K$4:K251,K251)=1,1,0))</f>
        <v>0</v>
      </c>
    </row>
    <row r="252" spans="1:12" x14ac:dyDescent="0.25">
      <c r="A252" s="3" t="s">
        <v>529</v>
      </c>
      <c r="B252" s="4" t="s">
        <v>530</v>
      </c>
      <c r="K252" t="s">
        <v>60</v>
      </c>
      <c r="L252">
        <f>IF(K252="",0,IF(COUNTIF($K$4:K252,K252)=1,1,0))</f>
        <v>0</v>
      </c>
    </row>
    <row r="253" spans="1:12" x14ac:dyDescent="0.25">
      <c r="A253" s="5" t="s">
        <v>531</v>
      </c>
      <c r="B253" s="6" t="s">
        <v>532</v>
      </c>
      <c r="K253" t="s">
        <v>60</v>
      </c>
      <c r="L253">
        <f>IF(K253="",0,IF(COUNTIF($K$4:K253,K253)=1,1,0))</f>
        <v>0</v>
      </c>
    </row>
    <row r="254" spans="1:12" x14ac:dyDescent="0.25">
      <c r="A254" s="3" t="s">
        <v>533</v>
      </c>
      <c r="B254" s="4" t="s">
        <v>534</v>
      </c>
      <c r="K254" t="s">
        <v>60</v>
      </c>
      <c r="L254">
        <f>IF(K254="",0,IF(COUNTIF($K$4:K254,K254)=1,1,0))</f>
        <v>0</v>
      </c>
    </row>
    <row r="255" spans="1:12" x14ac:dyDescent="0.25">
      <c r="A255" s="5" t="s">
        <v>535</v>
      </c>
      <c r="B255" s="6" t="s">
        <v>536</v>
      </c>
      <c r="K255" t="s">
        <v>60</v>
      </c>
      <c r="L255">
        <f>IF(K255="",0,IF(COUNTIF($K$4:K255,K255)=1,1,0))</f>
        <v>0</v>
      </c>
    </row>
    <row r="256" spans="1:12" x14ac:dyDescent="0.25">
      <c r="A256" s="3" t="s">
        <v>537</v>
      </c>
      <c r="B256" s="4" t="s">
        <v>538</v>
      </c>
      <c r="K256" t="s">
        <v>60</v>
      </c>
      <c r="L256">
        <f>IF(K256="",0,IF(COUNTIF($K$4:K256,K256)=1,1,0))</f>
        <v>0</v>
      </c>
    </row>
    <row r="257" spans="1:12" x14ac:dyDescent="0.25">
      <c r="A257" s="5" t="s">
        <v>539</v>
      </c>
      <c r="B257" s="6" t="s">
        <v>540</v>
      </c>
      <c r="K257" t="s">
        <v>60</v>
      </c>
      <c r="L257">
        <f>IF(K257="",0,IF(COUNTIF($K$4:K257,K257)=1,1,0))</f>
        <v>0</v>
      </c>
    </row>
    <row r="258" spans="1:12" x14ac:dyDescent="0.25">
      <c r="A258" s="3" t="s">
        <v>541</v>
      </c>
      <c r="B258" s="4" t="s">
        <v>542</v>
      </c>
      <c r="K258" t="s">
        <v>60</v>
      </c>
      <c r="L258">
        <f>IF(K258="",0,IF(COUNTIF($K$4:K258,K258)=1,1,0))</f>
        <v>0</v>
      </c>
    </row>
    <row r="259" spans="1:12" x14ac:dyDescent="0.25">
      <c r="A259" s="5" t="s">
        <v>543</v>
      </c>
      <c r="B259" s="6" t="s">
        <v>544</v>
      </c>
      <c r="K259" t="s">
        <v>60</v>
      </c>
      <c r="L259">
        <f>IF(K259="",0,IF(COUNTIF($K$4:K259,K259)=1,1,0))</f>
        <v>0</v>
      </c>
    </row>
    <row r="260" spans="1:12" x14ac:dyDescent="0.25">
      <c r="A260" s="3" t="s">
        <v>545</v>
      </c>
      <c r="B260" s="4" t="s">
        <v>546</v>
      </c>
      <c r="K260" t="s">
        <v>60</v>
      </c>
      <c r="L260">
        <f>IF(K260="",0,IF(COUNTIF($K$4:K260,K260)=1,1,0))</f>
        <v>0</v>
      </c>
    </row>
    <row r="261" spans="1:12" x14ac:dyDescent="0.25">
      <c r="A261" s="5" t="s">
        <v>547</v>
      </c>
      <c r="B261" s="6" t="s">
        <v>548</v>
      </c>
      <c r="K261" t="s">
        <v>60</v>
      </c>
      <c r="L261">
        <f>IF(K261="",0,IF(COUNTIF($K$4:K261,K261)=1,1,0))</f>
        <v>0</v>
      </c>
    </row>
    <row r="262" spans="1:12" x14ac:dyDescent="0.25">
      <c r="A262" s="3" t="s">
        <v>549</v>
      </c>
      <c r="B262" s="4" t="s">
        <v>550</v>
      </c>
      <c r="K262" t="s">
        <v>60</v>
      </c>
      <c r="L262">
        <f>IF(K262="",0,IF(COUNTIF($K$4:K262,K262)=1,1,0))</f>
        <v>0</v>
      </c>
    </row>
    <row r="263" spans="1:12" x14ac:dyDescent="0.25">
      <c r="A263" s="5" t="s">
        <v>551</v>
      </c>
      <c r="B263" s="6" t="s">
        <v>552</v>
      </c>
      <c r="K263" t="s">
        <v>60</v>
      </c>
      <c r="L263">
        <f>IF(K263="",0,IF(COUNTIF($K$4:K263,K263)=1,1,0))</f>
        <v>0</v>
      </c>
    </row>
    <row r="264" spans="1:12" x14ac:dyDescent="0.25">
      <c r="A264" s="3" t="s">
        <v>553</v>
      </c>
      <c r="B264" s="4" t="s">
        <v>554</v>
      </c>
      <c r="K264" t="s">
        <v>60</v>
      </c>
      <c r="L264">
        <f>IF(K264="",0,IF(COUNTIF($K$4:K264,K264)=1,1,0))</f>
        <v>0</v>
      </c>
    </row>
    <row r="265" spans="1:12" x14ac:dyDescent="0.25">
      <c r="A265" s="5" t="s">
        <v>555</v>
      </c>
      <c r="B265" s="6" t="s">
        <v>556</v>
      </c>
      <c r="K265" t="s">
        <v>60</v>
      </c>
      <c r="L265">
        <f>IF(K265="",0,IF(COUNTIF($K$4:K265,K265)=1,1,0))</f>
        <v>0</v>
      </c>
    </row>
    <row r="266" spans="1:12" x14ac:dyDescent="0.25">
      <c r="A266" s="3" t="s">
        <v>557</v>
      </c>
      <c r="B266" s="4" t="s">
        <v>558</v>
      </c>
      <c r="K266" t="s">
        <v>60</v>
      </c>
      <c r="L266">
        <f>IF(K266="",0,IF(COUNTIF($K$4:K266,K266)=1,1,0))</f>
        <v>0</v>
      </c>
    </row>
    <row r="267" spans="1:12" x14ac:dyDescent="0.25">
      <c r="A267" s="5" t="s">
        <v>559</v>
      </c>
      <c r="B267" s="6" t="s">
        <v>560</v>
      </c>
      <c r="K267" t="s">
        <v>60</v>
      </c>
      <c r="L267">
        <f>IF(K267="",0,IF(COUNTIF($K$4:K267,K267)=1,1,0))</f>
        <v>0</v>
      </c>
    </row>
    <row r="268" spans="1:12" x14ac:dyDescent="0.25">
      <c r="A268" s="3" t="s">
        <v>561</v>
      </c>
      <c r="B268" s="4" t="s">
        <v>562</v>
      </c>
      <c r="K268" t="s">
        <v>60</v>
      </c>
      <c r="L268">
        <f>IF(K268="",0,IF(COUNTIF($K$4:K268,K268)=1,1,0))</f>
        <v>0</v>
      </c>
    </row>
    <row r="269" spans="1:12" x14ac:dyDescent="0.25">
      <c r="A269" s="5" t="s">
        <v>563</v>
      </c>
      <c r="B269" s="6" t="s">
        <v>564</v>
      </c>
      <c r="K269" t="s">
        <v>60</v>
      </c>
      <c r="L269">
        <f>IF(K269="",0,IF(COUNTIF($K$4:K269,K269)=1,1,0))</f>
        <v>0</v>
      </c>
    </row>
    <row r="270" spans="1:12" x14ac:dyDescent="0.25">
      <c r="A270" s="3" t="s">
        <v>565</v>
      </c>
      <c r="B270" s="4" t="s">
        <v>566</v>
      </c>
      <c r="K270" t="s">
        <v>60</v>
      </c>
      <c r="L270">
        <f>IF(K270="",0,IF(COUNTIF($K$4:K270,K270)=1,1,0))</f>
        <v>0</v>
      </c>
    </row>
    <row r="271" spans="1:12" x14ac:dyDescent="0.25">
      <c r="A271" s="5" t="s">
        <v>567</v>
      </c>
      <c r="B271" s="6" t="s">
        <v>568</v>
      </c>
      <c r="K271" t="s">
        <v>60</v>
      </c>
      <c r="L271">
        <f>IF(K271="",0,IF(COUNTIF($K$4:K271,K271)=1,1,0))</f>
        <v>0</v>
      </c>
    </row>
    <row r="272" spans="1:12" x14ac:dyDescent="0.25">
      <c r="A272" s="3" t="s">
        <v>569</v>
      </c>
      <c r="B272" s="4" t="s">
        <v>570</v>
      </c>
      <c r="K272" t="s">
        <v>60</v>
      </c>
      <c r="L272">
        <f>IF(K272="",0,IF(COUNTIF($K$4:K272,K272)=1,1,0))</f>
        <v>0</v>
      </c>
    </row>
    <row r="273" spans="1:12" x14ac:dyDescent="0.25">
      <c r="A273" s="5" t="s">
        <v>571</v>
      </c>
      <c r="B273" s="6" t="s">
        <v>572</v>
      </c>
      <c r="K273" t="s">
        <v>60</v>
      </c>
      <c r="L273">
        <f>IF(K273="",0,IF(COUNTIF($K$4:K273,K273)=1,1,0))</f>
        <v>0</v>
      </c>
    </row>
    <row r="274" spans="1:12" x14ac:dyDescent="0.25">
      <c r="A274" s="3" t="s">
        <v>573</v>
      </c>
      <c r="B274" s="4" t="s">
        <v>574</v>
      </c>
      <c r="K274" t="s">
        <v>60</v>
      </c>
      <c r="L274">
        <f>IF(K274="",0,IF(COUNTIF($K$4:K274,K274)=1,1,0))</f>
        <v>0</v>
      </c>
    </row>
    <row r="275" spans="1:12" x14ac:dyDescent="0.25">
      <c r="A275" s="5" t="s">
        <v>575</v>
      </c>
      <c r="B275" s="6" t="s">
        <v>576</v>
      </c>
      <c r="K275" t="s">
        <v>60</v>
      </c>
      <c r="L275">
        <f>IF(K275="",0,IF(COUNTIF($K$4:K275,K275)=1,1,0))</f>
        <v>0</v>
      </c>
    </row>
    <row r="276" spans="1:12" x14ac:dyDescent="0.25">
      <c r="A276" s="3" t="s">
        <v>577</v>
      </c>
      <c r="B276" s="4" t="s">
        <v>578</v>
      </c>
      <c r="K276" t="s">
        <v>60</v>
      </c>
      <c r="L276">
        <f>IF(K276="",0,IF(COUNTIF($K$4:K276,K276)=1,1,0))</f>
        <v>0</v>
      </c>
    </row>
    <row r="277" spans="1:12" x14ac:dyDescent="0.25">
      <c r="A277" s="5" t="s">
        <v>579</v>
      </c>
      <c r="B277" s="6" t="s">
        <v>580</v>
      </c>
      <c r="K277" t="s">
        <v>60</v>
      </c>
      <c r="L277">
        <f>IF(K277="",0,IF(COUNTIF($K$4:K277,K277)=1,1,0))</f>
        <v>0</v>
      </c>
    </row>
    <row r="278" spans="1:12" x14ac:dyDescent="0.25">
      <c r="A278" s="3" t="s">
        <v>581</v>
      </c>
      <c r="B278" s="4" t="s">
        <v>582</v>
      </c>
      <c r="K278" t="s">
        <v>60</v>
      </c>
      <c r="L278">
        <f>IF(K278="",0,IF(COUNTIF($K$4:K278,K278)=1,1,0))</f>
        <v>0</v>
      </c>
    </row>
    <row r="279" spans="1:12" x14ac:dyDescent="0.25">
      <c r="A279" s="5" t="s">
        <v>583</v>
      </c>
      <c r="B279" s="6" t="s">
        <v>584</v>
      </c>
      <c r="K279" t="s">
        <v>60</v>
      </c>
      <c r="L279">
        <f>IF(K279="",0,IF(COUNTIF($K$4:K279,K279)=1,1,0))</f>
        <v>0</v>
      </c>
    </row>
    <row r="280" spans="1:12" x14ac:dyDescent="0.25">
      <c r="A280" s="3" t="s">
        <v>585</v>
      </c>
      <c r="B280" s="4" t="s">
        <v>586</v>
      </c>
      <c r="K280" t="s">
        <v>60</v>
      </c>
      <c r="L280">
        <f>IF(K280="",0,IF(COUNTIF($K$4:K280,K280)=1,1,0))</f>
        <v>0</v>
      </c>
    </row>
    <row r="281" spans="1:12" x14ac:dyDescent="0.25">
      <c r="A281" s="5" t="s">
        <v>587</v>
      </c>
      <c r="B281" s="6" t="s">
        <v>588</v>
      </c>
      <c r="K281" t="s">
        <v>60</v>
      </c>
      <c r="L281">
        <f>IF(K281="",0,IF(COUNTIF($K$4:K281,K281)=1,1,0))</f>
        <v>0</v>
      </c>
    </row>
    <row r="282" spans="1:12" x14ac:dyDescent="0.25">
      <c r="A282" s="3" t="s">
        <v>589</v>
      </c>
      <c r="B282" s="4" t="s">
        <v>590</v>
      </c>
      <c r="K282" t="s">
        <v>60</v>
      </c>
      <c r="L282">
        <f>IF(K282="",0,IF(COUNTIF($K$4:K282,K282)=1,1,0))</f>
        <v>0</v>
      </c>
    </row>
    <row r="283" spans="1:12" x14ac:dyDescent="0.25">
      <c r="A283" s="5" t="s">
        <v>591</v>
      </c>
      <c r="B283" s="6" t="s">
        <v>592</v>
      </c>
      <c r="K283" t="s">
        <v>60</v>
      </c>
      <c r="L283">
        <f>IF(K283="",0,IF(COUNTIF($K$4:K283,K283)=1,1,0))</f>
        <v>0</v>
      </c>
    </row>
    <row r="284" spans="1:12" x14ac:dyDescent="0.25">
      <c r="A284" s="3" t="s">
        <v>593</v>
      </c>
      <c r="B284" s="4" t="s">
        <v>594</v>
      </c>
      <c r="K284" t="s">
        <v>60</v>
      </c>
      <c r="L284">
        <f>IF(K284="",0,IF(COUNTIF($K$4:K284,K284)=1,1,0))</f>
        <v>0</v>
      </c>
    </row>
    <row r="285" spans="1:12" x14ac:dyDescent="0.25">
      <c r="A285" s="5" t="s">
        <v>595</v>
      </c>
      <c r="B285" s="6" t="s">
        <v>596</v>
      </c>
      <c r="K285" t="s">
        <v>60</v>
      </c>
      <c r="L285">
        <f>IF(K285="",0,IF(COUNTIF($K$4:K285,K285)=1,1,0))</f>
        <v>0</v>
      </c>
    </row>
    <row r="286" spans="1:12" x14ac:dyDescent="0.25">
      <c r="A286" s="3" t="s">
        <v>597</v>
      </c>
      <c r="B286" s="4" t="s">
        <v>598</v>
      </c>
      <c r="K286" t="s">
        <v>60</v>
      </c>
      <c r="L286">
        <f>IF(K286="",0,IF(COUNTIF($K$4:K286,K286)=1,1,0))</f>
        <v>0</v>
      </c>
    </row>
    <row r="287" spans="1:12" x14ac:dyDescent="0.25">
      <c r="A287" s="5" t="s">
        <v>599</v>
      </c>
      <c r="B287" s="6" t="s">
        <v>600</v>
      </c>
      <c r="K287" t="s">
        <v>60</v>
      </c>
      <c r="L287">
        <f>IF(K287="",0,IF(COUNTIF($K$4:K287,K287)=1,1,0))</f>
        <v>0</v>
      </c>
    </row>
    <row r="288" spans="1:12" x14ac:dyDescent="0.25">
      <c r="A288" s="3" t="s">
        <v>601</v>
      </c>
      <c r="B288" s="4" t="s">
        <v>602</v>
      </c>
      <c r="K288" t="s">
        <v>60</v>
      </c>
      <c r="L288">
        <f>IF(K288="",0,IF(COUNTIF($K$4:K288,K288)=1,1,0))</f>
        <v>0</v>
      </c>
    </row>
    <row r="289" spans="1:12" x14ac:dyDescent="0.25">
      <c r="A289" s="5" t="s">
        <v>603</v>
      </c>
      <c r="B289" s="6" t="s">
        <v>604</v>
      </c>
      <c r="K289" t="s">
        <v>60</v>
      </c>
      <c r="L289">
        <f>IF(K289="",0,IF(COUNTIF($K$4:K289,K289)=1,1,0))</f>
        <v>0</v>
      </c>
    </row>
    <row r="290" spans="1:12" x14ac:dyDescent="0.25">
      <c r="A290" s="3" t="s">
        <v>605</v>
      </c>
      <c r="B290" s="4" t="s">
        <v>606</v>
      </c>
      <c r="K290" t="s">
        <v>60</v>
      </c>
      <c r="L290">
        <f>IF(K290="",0,IF(COUNTIF($K$4:K290,K290)=1,1,0))</f>
        <v>0</v>
      </c>
    </row>
    <row r="291" spans="1:12" x14ac:dyDescent="0.25">
      <c r="A291" s="5" t="s">
        <v>607</v>
      </c>
      <c r="B291" s="6" t="s">
        <v>608</v>
      </c>
      <c r="K291" t="s">
        <v>60</v>
      </c>
      <c r="L291">
        <f>IF(K291="",0,IF(COUNTIF($K$4:K291,K291)=1,1,0))</f>
        <v>0</v>
      </c>
    </row>
    <row r="292" spans="1:12" x14ac:dyDescent="0.25">
      <c r="A292" s="3" t="s">
        <v>609</v>
      </c>
      <c r="B292" s="4" t="s">
        <v>610</v>
      </c>
      <c r="K292" t="s">
        <v>60</v>
      </c>
      <c r="L292">
        <f>IF(K292="",0,IF(COUNTIF($K$4:K292,K292)=1,1,0))</f>
        <v>0</v>
      </c>
    </row>
    <row r="293" spans="1:12" x14ac:dyDescent="0.25">
      <c r="A293" s="5" t="s">
        <v>611</v>
      </c>
      <c r="B293" s="6" t="s">
        <v>612</v>
      </c>
      <c r="K293" t="s">
        <v>60</v>
      </c>
      <c r="L293">
        <f>IF(K293="",0,IF(COUNTIF($K$4:K293,K293)=1,1,0))</f>
        <v>0</v>
      </c>
    </row>
    <row r="294" spans="1:12" x14ac:dyDescent="0.25">
      <c r="A294" s="3" t="s">
        <v>613</v>
      </c>
      <c r="B294" s="4" t="s">
        <v>614</v>
      </c>
      <c r="K294" t="s">
        <v>60</v>
      </c>
      <c r="L294">
        <f>IF(K294="",0,IF(COUNTIF($K$4:K294,K294)=1,1,0))</f>
        <v>0</v>
      </c>
    </row>
    <row r="295" spans="1:12" x14ac:dyDescent="0.25">
      <c r="A295" s="5" t="s">
        <v>615</v>
      </c>
      <c r="B295" s="6" t="s">
        <v>616</v>
      </c>
      <c r="K295" t="s">
        <v>60</v>
      </c>
      <c r="L295">
        <f>IF(K295="",0,IF(COUNTIF($K$4:K295,K295)=1,1,0))</f>
        <v>0</v>
      </c>
    </row>
    <row r="296" spans="1:12" x14ac:dyDescent="0.25">
      <c r="A296" s="3" t="s">
        <v>617</v>
      </c>
      <c r="B296" s="4" t="s">
        <v>618</v>
      </c>
      <c r="K296" t="s">
        <v>60</v>
      </c>
      <c r="L296">
        <f>IF(K296="",0,IF(COUNTIF($K$4:K296,K296)=1,1,0))</f>
        <v>0</v>
      </c>
    </row>
    <row r="297" spans="1:12" x14ac:dyDescent="0.25">
      <c r="A297" s="5" t="s">
        <v>619</v>
      </c>
      <c r="B297" s="6" t="s">
        <v>620</v>
      </c>
      <c r="K297" t="s">
        <v>60</v>
      </c>
      <c r="L297">
        <f>IF(K297="",0,IF(COUNTIF($K$4:K297,K297)=1,1,0))</f>
        <v>0</v>
      </c>
    </row>
    <row r="298" spans="1:12" x14ac:dyDescent="0.25">
      <c r="A298" s="3" t="s">
        <v>621</v>
      </c>
      <c r="B298" s="4" t="s">
        <v>622</v>
      </c>
      <c r="K298" t="s">
        <v>60</v>
      </c>
      <c r="L298">
        <f>IF(K298="",0,IF(COUNTIF($K$4:K298,K298)=1,1,0))</f>
        <v>0</v>
      </c>
    </row>
    <row r="299" spans="1:12" x14ac:dyDescent="0.25">
      <c r="A299" s="5" t="s">
        <v>623</v>
      </c>
      <c r="B299" s="6" t="s">
        <v>624</v>
      </c>
      <c r="K299" t="s">
        <v>60</v>
      </c>
      <c r="L299">
        <f>IF(K299="",0,IF(COUNTIF($K$4:K299,K299)=1,1,0))</f>
        <v>0</v>
      </c>
    </row>
    <row r="300" spans="1:12" x14ac:dyDescent="0.25">
      <c r="A300" s="3" t="s">
        <v>625</v>
      </c>
      <c r="B300" s="4" t="s">
        <v>626</v>
      </c>
      <c r="K300" t="s">
        <v>60</v>
      </c>
      <c r="L300">
        <f>IF(K300="",0,IF(COUNTIF($K$4:K300,K300)=1,1,0))</f>
        <v>0</v>
      </c>
    </row>
    <row r="301" spans="1:12" x14ac:dyDescent="0.25">
      <c r="A301" s="5" t="s">
        <v>627</v>
      </c>
      <c r="B301" s="6" t="s">
        <v>628</v>
      </c>
      <c r="K301" t="s">
        <v>60</v>
      </c>
      <c r="L301">
        <f>IF(K301="",0,IF(COUNTIF($K$4:K301,K301)=1,1,0))</f>
        <v>0</v>
      </c>
    </row>
    <row r="302" spans="1:12" x14ac:dyDescent="0.25">
      <c r="A302" s="3" t="s">
        <v>629</v>
      </c>
      <c r="B302" s="4" t="s">
        <v>630</v>
      </c>
      <c r="K302" t="s">
        <v>60</v>
      </c>
      <c r="L302">
        <f>IF(K302="",0,IF(COUNTIF($K$4:K302,K302)=1,1,0))</f>
        <v>0</v>
      </c>
    </row>
    <row r="303" spans="1:12" x14ac:dyDescent="0.25">
      <c r="A303" s="5" t="s">
        <v>631</v>
      </c>
      <c r="B303" s="6" t="s">
        <v>632</v>
      </c>
      <c r="K303" t="s">
        <v>60</v>
      </c>
      <c r="L303">
        <f>IF(K303="",0,IF(COUNTIF($K$4:K303,K303)=1,1,0))</f>
        <v>0</v>
      </c>
    </row>
    <row r="304" spans="1:12" x14ac:dyDescent="0.25">
      <c r="A304" s="3" t="s">
        <v>633</v>
      </c>
      <c r="B304" s="4" t="s">
        <v>634</v>
      </c>
      <c r="K304" t="s">
        <v>60</v>
      </c>
      <c r="L304">
        <f>IF(K304="",0,IF(COUNTIF($K$4:K304,K304)=1,1,0))</f>
        <v>0</v>
      </c>
    </row>
    <row r="305" spans="1:12" x14ac:dyDescent="0.25">
      <c r="A305" s="5" t="s">
        <v>635</v>
      </c>
      <c r="B305" s="6" t="s">
        <v>636</v>
      </c>
      <c r="C305" t="s">
        <v>637</v>
      </c>
      <c r="D305" t="s">
        <v>14</v>
      </c>
      <c r="E305">
        <v>25</v>
      </c>
      <c r="F305">
        <v>15</v>
      </c>
      <c r="G305" t="s">
        <v>638</v>
      </c>
      <c r="K305" t="s">
        <v>60</v>
      </c>
      <c r="L305">
        <f>IF(K305="",0,IF(COUNTIF($K$4:K305,K305)=1,1,0))</f>
        <v>0</v>
      </c>
    </row>
    <row r="306" spans="1:12" x14ac:dyDescent="0.25">
      <c r="A306" s="3" t="s">
        <v>639</v>
      </c>
      <c r="B306" s="4" t="s">
        <v>640</v>
      </c>
      <c r="C306" t="s">
        <v>637</v>
      </c>
      <c r="D306" t="s">
        <v>14</v>
      </c>
      <c r="E306">
        <v>25</v>
      </c>
      <c r="F306">
        <v>20</v>
      </c>
      <c r="G306" t="s">
        <v>638</v>
      </c>
      <c r="K306" t="s">
        <v>60</v>
      </c>
      <c r="L306">
        <f>IF(K306="",0,IF(COUNTIF($K$4:K306,K306)=1,1,0))</f>
        <v>0</v>
      </c>
    </row>
    <row r="307" spans="1:12" x14ac:dyDescent="0.25">
      <c r="A307" s="5" t="s">
        <v>641</v>
      </c>
      <c r="B307" s="6" t="s">
        <v>642</v>
      </c>
      <c r="C307" t="s">
        <v>637</v>
      </c>
      <c r="D307" t="s">
        <v>14</v>
      </c>
      <c r="E307">
        <v>25</v>
      </c>
      <c r="F307">
        <v>15</v>
      </c>
      <c r="G307" t="s">
        <v>643</v>
      </c>
      <c r="K307" t="s">
        <v>60</v>
      </c>
      <c r="L307">
        <f>IF(K307="",0,IF(COUNTIF($K$4:K307,K307)=1,1,0))</f>
        <v>0</v>
      </c>
    </row>
    <row r="308" spans="1:12" x14ac:dyDescent="0.25">
      <c r="A308" s="3" t="s">
        <v>644</v>
      </c>
      <c r="B308" s="4" t="s">
        <v>645</v>
      </c>
      <c r="C308" t="s">
        <v>637</v>
      </c>
      <c r="D308" t="s">
        <v>14</v>
      </c>
      <c r="E308">
        <v>25</v>
      </c>
      <c r="F308">
        <v>20</v>
      </c>
      <c r="G308" t="s">
        <v>643</v>
      </c>
      <c r="K308" t="s">
        <v>60</v>
      </c>
      <c r="L308">
        <f>IF(K308="",0,IF(COUNTIF($K$4:K308,K308)=1,1,0))</f>
        <v>0</v>
      </c>
    </row>
    <row r="309" spans="1:12" x14ac:dyDescent="0.25">
      <c r="A309" s="5" t="s">
        <v>646</v>
      </c>
      <c r="B309" s="6" t="s">
        <v>647</v>
      </c>
      <c r="C309" t="s">
        <v>637</v>
      </c>
      <c r="D309" t="s">
        <v>94</v>
      </c>
      <c r="E309">
        <v>50</v>
      </c>
      <c r="F309">
        <v>40</v>
      </c>
      <c r="G309" t="s">
        <v>112</v>
      </c>
      <c r="K309" t="s">
        <v>60</v>
      </c>
      <c r="L309">
        <f>IF(K309="",0,IF(COUNTIF($K$4:K309,K309)=1,1,0))</f>
        <v>0</v>
      </c>
    </row>
    <row r="310" spans="1:12" x14ac:dyDescent="0.25">
      <c r="A310" s="3" t="s">
        <v>648</v>
      </c>
      <c r="B310" s="4" t="s">
        <v>649</v>
      </c>
      <c r="C310" t="s">
        <v>637</v>
      </c>
      <c r="D310" t="s">
        <v>94</v>
      </c>
      <c r="E310">
        <v>65</v>
      </c>
      <c r="F310">
        <v>50</v>
      </c>
      <c r="G310" t="s">
        <v>112</v>
      </c>
      <c r="K310" t="s">
        <v>60</v>
      </c>
      <c r="L310">
        <f>IF(K310="",0,IF(COUNTIF($K$4:K310,K310)=1,1,0))</f>
        <v>0</v>
      </c>
    </row>
    <row r="311" spans="1:12" x14ac:dyDescent="0.25">
      <c r="A311" s="5" t="s">
        <v>650</v>
      </c>
      <c r="B311" s="6" t="s">
        <v>651</v>
      </c>
      <c r="C311" t="s">
        <v>637</v>
      </c>
      <c r="D311" t="s">
        <v>94</v>
      </c>
      <c r="E311">
        <v>80</v>
      </c>
      <c r="F311">
        <v>50</v>
      </c>
      <c r="G311" t="s">
        <v>112</v>
      </c>
      <c r="K311" t="s">
        <v>60</v>
      </c>
      <c r="L311">
        <f>IF(K311="",0,IF(COUNTIF($K$4:K311,K311)=1,1,0))</f>
        <v>0</v>
      </c>
    </row>
    <row r="312" spans="1:12" x14ac:dyDescent="0.25">
      <c r="A312" s="3" t="s">
        <v>652</v>
      </c>
      <c r="B312" s="4" t="s">
        <v>653</v>
      </c>
      <c r="C312" t="s">
        <v>637</v>
      </c>
      <c r="D312" t="s">
        <v>94</v>
      </c>
      <c r="E312">
        <v>80</v>
      </c>
      <c r="F312">
        <v>65</v>
      </c>
      <c r="G312" t="s">
        <v>112</v>
      </c>
      <c r="K312" t="s">
        <v>60</v>
      </c>
      <c r="L312">
        <f>IF(K312="",0,IF(COUNTIF($K$4:K312,K312)=1,1,0))</f>
        <v>0</v>
      </c>
    </row>
    <row r="313" spans="1:12" x14ac:dyDescent="0.25">
      <c r="A313" s="5" t="s">
        <v>654</v>
      </c>
      <c r="B313" s="6" t="s">
        <v>655</v>
      </c>
      <c r="C313" t="s">
        <v>637</v>
      </c>
      <c r="D313" t="s">
        <v>94</v>
      </c>
      <c r="E313">
        <v>100</v>
      </c>
      <c r="F313">
        <v>50</v>
      </c>
      <c r="G313" t="s">
        <v>112</v>
      </c>
      <c r="K313" t="s">
        <v>60</v>
      </c>
      <c r="L313">
        <f>IF(K313="",0,IF(COUNTIF($K$4:K313,K313)=1,1,0))</f>
        <v>0</v>
      </c>
    </row>
    <row r="314" spans="1:12" x14ac:dyDescent="0.25">
      <c r="A314" s="3" t="s">
        <v>656</v>
      </c>
      <c r="B314" s="4" t="s">
        <v>657</v>
      </c>
      <c r="C314" t="s">
        <v>637</v>
      </c>
      <c r="D314" t="s">
        <v>94</v>
      </c>
      <c r="E314">
        <v>100</v>
      </c>
      <c r="F314">
        <v>65</v>
      </c>
      <c r="G314" t="s">
        <v>112</v>
      </c>
      <c r="K314" t="s">
        <v>60</v>
      </c>
      <c r="L314">
        <f>IF(K314="",0,IF(COUNTIF($K$4:K314,K314)=1,1,0))</f>
        <v>0</v>
      </c>
    </row>
    <row r="315" spans="1:12" x14ac:dyDescent="0.25">
      <c r="A315" s="5" t="s">
        <v>658</v>
      </c>
      <c r="B315" s="6" t="s">
        <v>659</v>
      </c>
      <c r="C315" t="s">
        <v>637</v>
      </c>
      <c r="D315" t="s">
        <v>94</v>
      </c>
      <c r="E315">
        <v>100</v>
      </c>
      <c r="F315">
        <v>80</v>
      </c>
      <c r="G315" t="s">
        <v>112</v>
      </c>
      <c r="K315" t="s">
        <v>60</v>
      </c>
      <c r="L315">
        <f>IF(K315="",0,IF(COUNTIF($K$4:K315,K315)=1,1,0))</f>
        <v>0</v>
      </c>
    </row>
    <row r="316" spans="1:12" x14ac:dyDescent="0.25">
      <c r="A316" s="3" t="s">
        <v>660</v>
      </c>
      <c r="B316" s="4" t="s">
        <v>661</v>
      </c>
      <c r="C316" t="s">
        <v>637</v>
      </c>
      <c r="D316" t="s">
        <v>94</v>
      </c>
      <c r="E316">
        <v>125</v>
      </c>
      <c r="F316">
        <v>100</v>
      </c>
      <c r="G316" t="s">
        <v>112</v>
      </c>
      <c r="K316" t="s">
        <v>60</v>
      </c>
      <c r="L316">
        <f>IF(K316="",0,IF(COUNTIF($K$4:K316,K316)=1,1,0))</f>
        <v>0</v>
      </c>
    </row>
    <row r="317" spans="1:12" x14ac:dyDescent="0.25">
      <c r="A317" s="5" t="s">
        <v>662</v>
      </c>
      <c r="B317" s="6" t="s">
        <v>663</v>
      </c>
      <c r="C317" t="s">
        <v>637</v>
      </c>
      <c r="D317" t="s">
        <v>94</v>
      </c>
      <c r="E317">
        <v>125</v>
      </c>
      <c r="F317">
        <v>80</v>
      </c>
      <c r="G317" t="s">
        <v>112</v>
      </c>
      <c r="K317" t="s">
        <v>60</v>
      </c>
      <c r="L317">
        <f>IF(K317="",0,IF(COUNTIF($K$4:K317,K317)=1,1,0))</f>
        <v>0</v>
      </c>
    </row>
    <row r="318" spans="1:12" x14ac:dyDescent="0.25">
      <c r="A318" s="3" t="s">
        <v>664</v>
      </c>
      <c r="B318" s="4" t="s">
        <v>665</v>
      </c>
      <c r="C318" t="s">
        <v>637</v>
      </c>
      <c r="D318" t="s">
        <v>94</v>
      </c>
      <c r="E318">
        <v>150</v>
      </c>
      <c r="F318">
        <v>100</v>
      </c>
      <c r="G318" t="s">
        <v>112</v>
      </c>
      <c r="K318" t="s">
        <v>60</v>
      </c>
      <c r="L318">
        <f>IF(K318="",0,IF(COUNTIF($K$4:K318,K318)=1,1,0))</f>
        <v>0</v>
      </c>
    </row>
    <row r="319" spans="1:12" x14ac:dyDescent="0.25">
      <c r="A319" s="5" t="s">
        <v>666</v>
      </c>
      <c r="B319" s="6" t="s">
        <v>667</v>
      </c>
      <c r="C319" t="s">
        <v>637</v>
      </c>
      <c r="D319" t="s">
        <v>94</v>
      </c>
      <c r="E319">
        <v>150</v>
      </c>
      <c r="F319">
        <v>125</v>
      </c>
      <c r="G319" t="s">
        <v>112</v>
      </c>
      <c r="K319" t="s">
        <v>60</v>
      </c>
      <c r="L319">
        <f>IF(K319="",0,IF(COUNTIF($K$4:K319,K319)=1,1,0))</f>
        <v>0</v>
      </c>
    </row>
    <row r="320" spans="1:12" x14ac:dyDescent="0.25">
      <c r="A320" s="3" t="s">
        <v>668</v>
      </c>
      <c r="B320" s="4" t="s">
        <v>669</v>
      </c>
      <c r="C320" t="s">
        <v>637</v>
      </c>
      <c r="D320" t="s">
        <v>94</v>
      </c>
      <c r="E320">
        <v>150</v>
      </c>
      <c r="F320">
        <v>80</v>
      </c>
      <c r="G320" t="s">
        <v>112</v>
      </c>
      <c r="K320" t="s">
        <v>60</v>
      </c>
      <c r="L320">
        <f>IF(K320="",0,IF(COUNTIF($K$4:K320,K320)=1,1,0))</f>
        <v>0</v>
      </c>
    </row>
    <row r="321" spans="1:12" x14ac:dyDescent="0.25">
      <c r="A321" s="5" t="s">
        <v>670</v>
      </c>
      <c r="B321" s="6" t="s">
        <v>671</v>
      </c>
      <c r="C321" t="s">
        <v>637</v>
      </c>
      <c r="D321" t="s">
        <v>14</v>
      </c>
      <c r="E321">
        <v>32</v>
      </c>
      <c r="F321">
        <v>25</v>
      </c>
      <c r="G321" t="s">
        <v>112</v>
      </c>
      <c r="K321" t="s">
        <v>60</v>
      </c>
      <c r="L321">
        <f>IF(K321="",0,IF(COUNTIF($K$4:K321,K321)=1,1,0))</f>
        <v>0</v>
      </c>
    </row>
    <row r="322" spans="1:12" x14ac:dyDescent="0.25">
      <c r="A322" s="3" t="s">
        <v>672</v>
      </c>
      <c r="B322" s="4" t="s">
        <v>673</v>
      </c>
      <c r="C322" t="s">
        <v>637</v>
      </c>
      <c r="D322" t="s">
        <v>14</v>
      </c>
      <c r="E322">
        <v>40</v>
      </c>
      <c r="F322">
        <v>25</v>
      </c>
      <c r="G322" t="s">
        <v>112</v>
      </c>
      <c r="K322" t="s">
        <v>60</v>
      </c>
      <c r="L322">
        <f>IF(K322="",0,IF(COUNTIF($K$4:K322,K322)=1,1,0))</f>
        <v>0</v>
      </c>
    </row>
    <row r="323" spans="1:12" x14ac:dyDescent="0.25">
      <c r="A323" s="5" t="s">
        <v>674</v>
      </c>
      <c r="B323" s="6" t="s">
        <v>675</v>
      </c>
      <c r="C323" t="s">
        <v>637</v>
      </c>
      <c r="D323" t="s">
        <v>14</v>
      </c>
      <c r="E323">
        <v>40</v>
      </c>
      <c r="F323">
        <v>32</v>
      </c>
      <c r="G323" t="s">
        <v>112</v>
      </c>
      <c r="K323" t="s">
        <v>60</v>
      </c>
      <c r="L323">
        <f>IF(K323="",0,IF(COUNTIF($K$4:K323,K323)=1,1,0))</f>
        <v>0</v>
      </c>
    </row>
    <row r="324" spans="1:12" x14ac:dyDescent="0.25">
      <c r="A324" s="3" t="s">
        <v>676</v>
      </c>
      <c r="B324" s="4" t="s">
        <v>677</v>
      </c>
      <c r="C324" t="s">
        <v>637</v>
      </c>
      <c r="D324" t="s">
        <v>14</v>
      </c>
      <c r="E324">
        <v>50</v>
      </c>
      <c r="F324">
        <v>25</v>
      </c>
      <c r="G324" t="s">
        <v>112</v>
      </c>
      <c r="K324" t="s">
        <v>60</v>
      </c>
      <c r="L324">
        <f>IF(K324="",0,IF(COUNTIF($K$4:K324,K324)=1,1,0))</f>
        <v>0</v>
      </c>
    </row>
    <row r="325" spans="1:12" x14ac:dyDescent="0.25">
      <c r="A325" s="5" t="s">
        <v>678</v>
      </c>
      <c r="B325" s="6" t="s">
        <v>679</v>
      </c>
      <c r="C325" t="s">
        <v>637</v>
      </c>
      <c r="D325" t="s">
        <v>14</v>
      </c>
      <c r="E325">
        <v>50</v>
      </c>
      <c r="F325">
        <v>32</v>
      </c>
      <c r="G325" t="s">
        <v>112</v>
      </c>
      <c r="K325" t="s">
        <v>60</v>
      </c>
      <c r="L325">
        <f>IF(K325="",0,IF(COUNTIF($K$4:K325,K325)=1,1,0))</f>
        <v>0</v>
      </c>
    </row>
    <row r="326" spans="1:12" x14ac:dyDescent="0.25">
      <c r="A326" s="3" t="s">
        <v>680</v>
      </c>
      <c r="B326" s="4" t="s">
        <v>681</v>
      </c>
      <c r="C326" t="s">
        <v>637</v>
      </c>
      <c r="D326" t="s">
        <v>14</v>
      </c>
      <c r="E326">
        <v>50</v>
      </c>
      <c r="F326">
        <v>40</v>
      </c>
      <c r="G326" t="s">
        <v>112</v>
      </c>
      <c r="K326" t="s">
        <v>60</v>
      </c>
      <c r="L326">
        <f>IF(K326="",0,IF(COUNTIF($K$4:K326,K326)=1,1,0))</f>
        <v>0</v>
      </c>
    </row>
    <row r="327" spans="1:12" x14ac:dyDescent="0.25">
      <c r="A327" s="5" t="s">
        <v>682</v>
      </c>
      <c r="B327" s="6" t="s">
        <v>683</v>
      </c>
      <c r="C327" t="s">
        <v>637</v>
      </c>
      <c r="D327" t="s">
        <v>14</v>
      </c>
      <c r="E327">
        <v>65</v>
      </c>
      <c r="F327">
        <v>25</v>
      </c>
      <c r="G327" t="s">
        <v>112</v>
      </c>
      <c r="K327" t="s">
        <v>60</v>
      </c>
      <c r="L327">
        <f>IF(K327="",0,IF(COUNTIF($K$4:K327,K327)=1,1,0))</f>
        <v>0</v>
      </c>
    </row>
    <row r="328" spans="1:12" x14ac:dyDescent="0.25">
      <c r="A328" s="3" t="s">
        <v>684</v>
      </c>
      <c r="B328" s="4" t="s">
        <v>685</v>
      </c>
      <c r="C328" t="s">
        <v>637</v>
      </c>
      <c r="D328" t="s">
        <v>14</v>
      </c>
      <c r="E328">
        <v>65</v>
      </c>
      <c r="F328">
        <v>32</v>
      </c>
      <c r="G328" t="s">
        <v>112</v>
      </c>
      <c r="K328" t="s">
        <v>60</v>
      </c>
      <c r="L328">
        <f>IF(K328="",0,IF(COUNTIF($K$4:K328,K328)=1,1,0))</f>
        <v>0</v>
      </c>
    </row>
    <row r="329" spans="1:12" x14ac:dyDescent="0.25">
      <c r="A329" s="5" t="s">
        <v>686</v>
      </c>
      <c r="B329" s="6" t="s">
        <v>687</v>
      </c>
      <c r="C329" t="s">
        <v>637</v>
      </c>
      <c r="D329" t="s">
        <v>14</v>
      </c>
      <c r="E329">
        <v>65</v>
      </c>
      <c r="F329">
        <v>40</v>
      </c>
      <c r="G329" t="s">
        <v>112</v>
      </c>
      <c r="K329" t="s">
        <v>60</v>
      </c>
      <c r="L329">
        <f>IF(K329="",0,IF(COUNTIF($K$4:K329,K329)=1,1,0))</f>
        <v>0</v>
      </c>
    </row>
    <row r="330" spans="1:12" x14ac:dyDescent="0.25">
      <c r="A330" s="3" t="s">
        <v>688</v>
      </c>
      <c r="B330" s="4" t="s">
        <v>689</v>
      </c>
      <c r="C330" t="s">
        <v>637</v>
      </c>
      <c r="D330" t="s">
        <v>14</v>
      </c>
      <c r="E330">
        <v>65</v>
      </c>
      <c r="F330">
        <v>50</v>
      </c>
      <c r="G330" t="s">
        <v>112</v>
      </c>
      <c r="K330" t="s">
        <v>60</v>
      </c>
      <c r="L330">
        <f>IF(K330="",0,IF(COUNTIF($K$4:K330,K330)=1,1,0))</f>
        <v>0</v>
      </c>
    </row>
    <row r="331" spans="1:12" x14ac:dyDescent="0.25">
      <c r="A331" s="5" t="s">
        <v>690</v>
      </c>
      <c r="B331" s="6" t="s">
        <v>691</v>
      </c>
      <c r="C331" t="s">
        <v>637</v>
      </c>
      <c r="D331" t="s">
        <v>14</v>
      </c>
      <c r="E331">
        <v>80</v>
      </c>
      <c r="F331">
        <v>32</v>
      </c>
      <c r="G331" t="s">
        <v>112</v>
      </c>
      <c r="K331" t="s">
        <v>60</v>
      </c>
      <c r="L331">
        <f>IF(K331="",0,IF(COUNTIF($K$4:K331,K331)=1,1,0))</f>
        <v>0</v>
      </c>
    </row>
    <row r="332" spans="1:12" x14ac:dyDescent="0.25">
      <c r="A332" s="3" t="s">
        <v>692</v>
      </c>
      <c r="B332" s="4" t="s">
        <v>693</v>
      </c>
      <c r="C332" t="s">
        <v>637</v>
      </c>
      <c r="D332" t="s">
        <v>14</v>
      </c>
      <c r="E332">
        <v>80</v>
      </c>
      <c r="F332">
        <v>40</v>
      </c>
      <c r="G332" t="s">
        <v>112</v>
      </c>
      <c r="K332" t="s">
        <v>60</v>
      </c>
      <c r="L332">
        <f>IF(K332="",0,IF(COUNTIF($K$4:K332,K332)=1,1,0))</f>
        <v>0</v>
      </c>
    </row>
    <row r="333" spans="1:12" x14ac:dyDescent="0.25">
      <c r="A333" s="5" t="s">
        <v>694</v>
      </c>
      <c r="B333" s="6" t="s">
        <v>695</v>
      </c>
      <c r="C333" t="s">
        <v>637</v>
      </c>
      <c r="D333" t="s">
        <v>14</v>
      </c>
      <c r="E333">
        <v>80</v>
      </c>
      <c r="F333">
        <v>50</v>
      </c>
      <c r="G333" t="s">
        <v>112</v>
      </c>
      <c r="K333" t="s">
        <v>60</v>
      </c>
      <c r="L333">
        <f>IF(K333="",0,IF(COUNTIF($K$4:K333,K333)=1,1,0))</f>
        <v>0</v>
      </c>
    </row>
    <row r="334" spans="1:12" x14ac:dyDescent="0.25">
      <c r="A334" s="3" t="s">
        <v>696</v>
      </c>
      <c r="B334" s="4" t="s">
        <v>697</v>
      </c>
      <c r="C334" t="s">
        <v>637</v>
      </c>
      <c r="D334" t="s">
        <v>14</v>
      </c>
      <c r="E334">
        <v>80</v>
      </c>
      <c r="F334">
        <v>65</v>
      </c>
      <c r="G334" t="s">
        <v>112</v>
      </c>
      <c r="K334" t="s">
        <v>60</v>
      </c>
      <c r="L334">
        <f>IF(K334="",0,IF(COUNTIF($K$4:K334,K334)=1,1,0))</f>
        <v>0</v>
      </c>
    </row>
    <row r="335" spans="1:12" x14ac:dyDescent="0.25">
      <c r="A335" s="5" t="s">
        <v>698</v>
      </c>
      <c r="B335" s="6" t="s">
        <v>699</v>
      </c>
      <c r="C335" t="s">
        <v>637</v>
      </c>
      <c r="D335" t="s">
        <v>14</v>
      </c>
      <c r="E335">
        <v>100</v>
      </c>
      <c r="F335">
        <v>50</v>
      </c>
      <c r="G335" t="s">
        <v>112</v>
      </c>
      <c r="K335" t="s">
        <v>60</v>
      </c>
      <c r="L335">
        <f>IF(K335="",0,IF(COUNTIF($K$4:K335,K335)=1,1,0))</f>
        <v>0</v>
      </c>
    </row>
    <row r="336" spans="1:12" x14ac:dyDescent="0.25">
      <c r="A336" s="3" t="s">
        <v>700</v>
      </c>
      <c r="B336" s="4" t="s">
        <v>701</v>
      </c>
      <c r="C336" t="s">
        <v>637</v>
      </c>
      <c r="D336" t="s">
        <v>14</v>
      </c>
      <c r="E336">
        <v>100</v>
      </c>
      <c r="F336">
        <v>65</v>
      </c>
      <c r="G336" t="s">
        <v>112</v>
      </c>
      <c r="K336" t="s">
        <v>60</v>
      </c>
      <c r="L336">
        <f>IF(K336="",0,IF(COUNTIF($K$4:K336,K336)=1,1,0))</f>
        <v>0</v>
      </c>
    </row>
    <row r="337" spans="1:12" x14ac:dyDescent="0.25">
      <c r="A337" s="5" t="s">
        <v>702</v>
      </c>
      <c r="B337" s="6" t="s">
        <v>703</v>
      </c>
      <c r="C337" t="s">
        <v>637</v>
      </c>
      <c r="D337" t="s">
        <v>14</v>
      </c>
      <c r="E337">
        <v>100</v>
      </c>
      <c r="F337">
        <v>80</v>
      </c>
      <c r="G337" t="s">
        <v>112</v>
      </c>
      <c r="K337" t="s">
        <v>60</v>
      </c>
      <c r="L337">
        <f>IF(K337="",0,IF(COUNTIF($K$4:K337,K337)=1,1,0))</f>
        <v>0</v>
      </c>
    </row>
    <row r="338" spans="1:12" x14ac:dyDescent="0.25">
      <c r="A338" s="3" t="s">
        <v>704</v>
      </c>
      <c r="B338" s="4" t="s">
        <v>705</v>
      </c>
      <c r="K338" t="s">
        <v>60</v>
      </c>
      <c r="L338">
        <f>IF(K338="",0,IF(COUNTIF($K$4:K338,K338)=1,1,0))</f>
        <v>0</v>
      </c>
    </row>
    <row r="339" spans="1:12" x14ac:dyDescent="0.25">
      <c r="A339" s="5" t="s">
        <v>706</v>
      </c>
      <c r="B339" s="6" t="s">
        <v>707</v>
      </c>
      <c r="C339" t="s">
        <v>637</v>
      </c>
      <c r="D339" t="s">
        <v>14</v>
      </c>
      <c r="E339">
        <v>125</v>
      </c>
      <c r="F339">
        <v>50</v>
      </c>
      <c r="G339" t="s">
        <v>112</v>
      </c>
      <c r="K339" t="s">
        <v>60</v>
      </c>
      <c r="L339">
        <f>IF(K339="",0,IF(COUNTIF($K$4:K339,K339)=1,1,0))</f>
        <v>0</v>
      </c>
    </row>
    <row r="340" spans="1:12" x14ac:dyDescent="0.25">
      <c r="A340" s="3" t="s">
        <v>708</v>
      </c>
      <c r="B340" s="4" t="s">
        <v>709</v>
      </c>
      <c r="C340" t="s">
        <v>637</v>
      </c>
      <c r="D340" t="s">
        <v>14</v>
      </c>
      <c r="E340">
        <v>125</v>
      </c>
      <c r="F340">
        <v>65</v>
      </c>
      <c r="G340" t="s">
        <v>112</v>
      </c>
      <c r="K340" t="s">
        <v>60</v>
      </c>
      <c r="L340">
        <f>IF(K340="",0,IF(COUNTIF($K$4:K340,K340)=1,1,0))</f>
        <v>0</v>
      </c>
    </row>
    <row r="341" spans="1:12" x14ac:dyDescent="0.25">
      <c r="A341" s="5" t="s">
        <v>710</v>
      </c>
      <c r="B341" s="6" t="s">
        <v>711</v>
      </c>
      <c r="C341" t="s">
        <v>637</v>
      </c>
      <c r="D341" t="s">
        <v>14</v>
      </c>
      <c r="E341">
        <v>125</v>
      </c>
      <c r="F341">
        <v>80</v>
      </c>
      <c r="G341" t="s">
        <v>112</v>
      </c>
      <c r="K341" t="s">
        <v>60</v>
      </c>
      <c r="L341">
        <f>IF(K341="",0,IF(COUNTIF($K$4:K341,K341)=1,1,0))</f>
        <v>0</v>
      </c>
    </row>
    <row r="342" spans="1:12" x14ac:dyDescent="0.25">
      <c r="A342" s="3" t="s">
        <v>712</v>
      </c>
      <c r="B342" s="4" t="s">
        <v>713</v>
      </c>
      <c r="C342" t="s">
        <v>637</v>
      </c>
      <c r="D342" t="s">
        <v>14</v>
      </c>
      <c r="E342">
        <v>125</v>
      </c>
      <c r="F342">
        <v>100</v>
      </c>
      <c r="G342" t="s">
        <v>112</v>
      </c>
      <c r="K342" t="s">
        <v>60</v>
      </c>
      <c r="L342">
        <f>IF(K342="",0,IF(COUNTIF($K$4:K342,K342)=1,1,0))</f>
        <v>0</v>
      </c>
    </row>
    <row r="343" spans="1:12" x14ac:dyDescent="0.25">
      <c r="A343" s="5" t="s">
        <v>714</v>
      </c>
      <c r="B343" s="6" t="s">
        <v>715</v>
      </c>
      <c r="C343" t="s">
        <v>637</v>
      </c>
      <c r="D343" t="s">
        <v>14</v>
      </c>
      <c r="E343">
        <v>150</v>
      </c>
      <c r="F343">
        <v>50</v>
      </c>
      <c r="G343" t="s">
        <v>112</v>
      </c>
      <c r="K343" t="s">
        <v>60</v>
      </c>
      <c r="L343">
        <f>IF(K343="",0,IF(COUNTIF($K$4:K343,K343)=1,1,0))</f>
        <v>0</v>
      </c>
    </row>
    <row r="344" spans="1:12" x14ac:dyDescent="0.25">
      <c r="A344" s="3" t="s">
        <v>716</v>
      </c>
      <c r="B344" s="4" t="s">
        <v>717</v>
      </c>
      <c r="C344" t="s">
        <v>637</v>
      </c>
      <c r="D344" t="s">
        <v>14</v>
      </c>
      <c r="E344">
        <v>150</v>
      </c>
      <c r="F344">
        <v>65</v>
      </c>
      <c r="G344" t="s">
        <v>112</v>
      </c>
      <c r="K344" t="s">
        <v>60</v>
      </c>
      <c r="L344">
        <f>IF(K344="",0,IF(COUNTIF($K$4:K344,K344)=1,1,0))</f>
        <v>0</v>
      </c>
    </row>
    <row r="345" spans="1:12" x14ac:dyDescent="0.25">
      <c r="A345" s="5" t="s">
        <v>718</v>
      </c>
      <c r="B345" s="6" t="s">
        <v>719</v>
      </c>
      <c r="C345" t="s">
        <v>637</v>
      </c>
      <c r="D345" t="s">
        <v>14</v>
      </c>
      <c r="E345">
        <v>150</v>
      </c>
      <c r="F345">
        <v>80</v>
      </c>
      <c r="G345" t="s">
        <v>112</v>
      </c>
      <c r="K345" t="s">
        <v>60</v>
      </c>
      <c r="L345">
        <f>IF(K345="",0,IF(COUNTIF($K$4:K345,K345)=1,1,0))</f>
        <v>0</v>
      </c>
    </row>
    <row r="346" spans="1:12" x14ac:dyDescent="0.25">
      <c r="A346" s="3" t="s">
        <v>720</v>
      </c>
      <c r="B346" s="4" t="s">
        <v>721</v>
      </c>
      <c r="C346" t="s">
        <v>637</v>
      </c>
      <c r="D346" t="s">
        <v>14</v>
      </c>
      <c r="E346">
        <v>150</v>
      </c>
      <c r="F346">
        <v>100</v>
      </c>
      <c r="G346" t="s">
        <v>112</v>
      </c>
      <c r="K346" t="s">
        <v>60</v>
      </c>
      <c r="L346">
        <f>IF(K346="",0,IF(COUNTIF($K$4:K346,K346)=1,1,0))</f>
        <v>0</v>
      </c>
    </row>
    <row r="347" spans="1:12" x14ac:dyDescent="0.25">
      <c r="A347" s="5" t="s">
        <v>722</v>
      </c>
      <c r="B347" s="6" t="s">
        <v>723</v>
      </c>
      <c r="C347" t="s">
        <v>637</v>
      </c>
      <c r="D347" t="s">
        <v>14</v>
      </c>
      <c r="E347">
        <v>150</v>
      </c>
      <c r="F347">
        <v>125</v>
      </c>
      <c r="G347" t="s">
        <v>112</v>
      </c>
      <c r="K347" t="s">
        <v>60</v>
      </c>
      <c r="L347">
        <f>IF(K347="",0,IF(COUNTIF($K$4:K347,K347)=1,1,0))</f>
        <v>0</v>
      </c>
    </row>
    <row r="348" spans="1:12" x14ac:dyDescent="0.25">
      <c r="A348" s="3" t="s">
        <v>724</v>
      </c>
      <c r="B348" s="4" t="s">
        <v>725</v>
      </c>
      <c r="C348" t="s">
        <v>637</v>
      </c>
      <c r="D348" t="s">
        <v>77</v>
      </c>
      <c r="E348">
        <v>40</v>
      </c>
      <c r="F348">
        <v>32</v>
      </c>
      <c r="G348" t="s">
        <v>112</v>
      </c>
      <c r="K348" t="s">
        <v>60</v>
      </c>
      <c r="L348">
        <f>IF(K348="",0,IF(COUNTIF($K$4:K348,K348)=1,1,0))</f>
        <v>0</v>
      </c>
    </row>
    <row r="349" spans="1:12" x14ac:dyDescent="0.25">
      <c r="A349" s="5" t="s">
        <v>726</v>
      </c>
      <c r="B349" s="6" t="s">
        <v>727</v>
      </c>
      <c r="C349" t="s">
        <v>637</v>
      </c>
      <c r="D349" t="s">
        <v>77</v>
      </c>
      <c r="E349">
        <v>50</v>
      </c>
      <c r="F349">
        <v>32</v>
      </c>
      <c r="G349" t="s">
        <v>112</v>
      </c>
      <c r="K349" t="s">
        <v>60</v>
      </c>
      <c r="L349">
        <f>IF(K349="",0,IF(COUNTIF($K$4:K349,K349)=1,1,0))</f>
        <v>0</v>
      </c>
    </row>
    <row r="350" spans="1:12" x14ac:dyDescent="0.25">
      <c r="A350" s="3" t="s">
        <v>728</v>
      </c>
      <c r="B350" s="4" t="s">
        <v>729</v>
      </c>
      <c r="C350" t="s">
        <v>637</v>
      </c>
      <c r="D350" t="s">
        <v>77</v>
      </c>
      <c r="E350">
        <v>50</v>
      </c>
      <c r="F350">
        <v>40</v>
      </c>
      <c r="G350" t="s">
        <v>112</v>
      </c>
      <c r="K350" t="s">
        <v>60</v>
      </c>
      <c r="L350">
        <f>IF(K350="",0,IF(COUNTIF($K$4:K350,K350)=1,1,0))</f>
        <v>0</v>
      </c>
    </row>
    <row r="351" spans="1:12" x14ac:dyDescent="0.25">
      <c r="A351" s="5" t="s">
        <v>730</v>
      </c>
      <c r="B351" s="6" t="s">
        <v>731</v>
      </c>
      <c r="C351" t="s">
        <v>637</v>
      </c>
      <c r="D351" t="s">
        <v>77</v>
      </c>
      <c r="E351">
        <v>65</v>
      </c>
      <c r="F351">
        <v>32</v>
      </c>
      <c r="G351" t="s">
        <v>112</v>
      </c>
      <c r="K351" t="s">
        <v>60</v>
      </c>
      <c r="L351">
        <f>IF(K351="",0,IF(COUNTIF($K$4:K351,K351)=1,1,0))</f>
        <v>0</v>
      </c>
    </row>
    <row r="352" spans="1:12" x14ac:dyDescent="0.25">
      <c r="A352" s="3" t="s">
        <v>732</v>
      </c>
      <c r="B352" s="4" t="s">
        <v>733</v>
      </c>
      <c r="C352" t="s">
        <v>637</v>
      </c>
      <c r="D352" t="s">
        <v>77</v>
      </c>
      <c r="E352">
        <v>65</v>
      </c>
      <c r="F352">
        <v>40</v>
      </c>
      <c r="G352" t="s">
        <v>112</v>
      </c>
      <c r="K352" t="s">
        <v>60</v>
      </c>
      <c r="L352">
        <f>IF(K352="",0,IF(COUNTIF($K$4:K352,K352)=1,1,0))</f>
        <v>0</v>
      </c>
    </row>
    <row r="353" spans="1:12" x14ac:dyDescent="0.25">
      <c r="A353" s="5" t="s">
        <v>734</v>
      </c>
      <c r="B353" s="6" t="s">
        <v>735</v>
      </c>
      <c r="C353" t="s">
        <v>637</v>
      </c>
      <c r="D353" t="s">
        <v>77</v>
      </c>
      <c r="E353">
        <v>65</v>
      </c>
      <c r="F353">
        <v>50</v>
      </c>
      <c r="G353" t="s">
        <v>112</v>
      </c>
      <c r="K353" t="s">
        <v>60</v>
      </c>
      <c r="L353">
        <f>IF(K353="",0,IF(COUNTIF($K$4:K353,K353)=1,1,0))</f>
        <v>0</v>
      </c>
    </row>
    <row r="354" spans="1:12" x14ac:dyDescent="0.25">
      <c r="A354" s="3" t="s">
        <v>736</v>
      </c>
      <c r="B354" s="4" t="s">
        <v>737</v>
      </c>
      <c r="C354" t="s">
        <v>637</v>
      </c>
      <c r="D354" t="s">
        <v>77</v>
      </c>
      <c r="E354">
        <v>80</v>
      </c>
      <c r="F354">
        <v>32</v>
      </c>
      <c r="G354" t="s">
        <v>112</v>
      </c>
      <c r="K354" t="s">
        <v>60</v>
      </c>
      <c r="L354">
        <f>IF(K354="",0,IF(COUNTIF($K$4:K354,K354)=1,1,0))</f>
        <v>0</v>
      </c>
    </row>
    <row r="355" spans="1:12" x14ac:dyDescent="0.25">
      <c r="A355" s="5" t="s">
        <v>738</v>
      </c>
      <c r="B355" s="6" t="s">
        <v>739</v>
      </c>
      <c r="C355" t="s">
        <v>637</v>
      </c>
      <c r="D355" t="s">
        <v>77</v>
      </c>
      <c r="E355">
        <v>80</v>
      </c>
      <c r="F355">
        <v>40</v>
      </c>
      <c r="G355" t="s">
        <v>112</v>
      </c>
      <c r="K355" t="s">
        <v>60</v>
      </c>
      <c r="L355">
        <f>IF(K355="",0,IF(COUNTIF($K$4:K355,K355)=1,1,0))</f>
        <v>0</v>
      </c>
    </row>
    <row r="356" spans="1:12" x14ac:dyDescent="0.25">
      <c r="A356" s="3" t="s">
        <v>740</v>
      </c>
      <c r="B356" s="4" t="s">
        <v>741</v>
      </c>
      <c r="C356" t="s">
        <v>637</v>
      </c>
      <c r="D356" t="s">
        <v>77</v>
      </c>
      <c r="E356">
        <v>80</v>
      </c>
      <c r="F356">
        <v>50</v>
      </c>
      <c r="G356" t="s">
        <v>112</v>
      </c>
      <c r="K356" t="s">
        <v>60</v>
      </c>
      <c r="L356">
        <f>IF(K356="",0,IF(COUNTIF($K$4:K356,K356)=1,1,0))</f>
        <v>0</v>
      </c>
    </row>
    <row r="357" spans="1:12" x14ac:dyDescent="0.25">
      <c r="A357" s="5" t="s">
        <v>742</v>
      </c>
      <c r="B357" s="6" t="s">
        <v>743</v>
      </c>
      <c r="C357" t="s">
        <v>637</v>
      </c>
      <c r="D357" t="s">
        <v>77</v>
      </c>
      <c r="E357">
        <v>80</v>
      </c>
      <c r="F357">
        <v>65</v>
      </c>
      <c r="G357" t="s">
        <v>112</v>
      </c>
      <c r="K357" t="s">
        <v>60</v>
      </c>
      <c r="L357">
        <f>IF(K357="",0,IF(COUNTIF($K$4:K357,K357)=1,1,0))</f>
        <v>0</v>
      </c>
    </row>
    <row r="358" spans="1:12" x14ac:dyDescent="0.25">
      <c r="A358" s="3" t="s">
        <v>744</v>
      </c>
      <c r="B358" s="4" t="s">
        <v>745</v>
      </c>
      <c r="C358" t="s">
        <v>637</v>
      </c>
      <c r="D358" t="s">
        <v>77</v>
      </c>
      <c r="E358">
        <v>100</v>
      </c>
      <c r="F358">
        <v>50</v>
      </c>
      <c r="G358" t="s">
        <v>112</v>
      </c>
      <c r="K358" t="s">
        <v>60</v>
      </c>
      <c r="L358">
        <f>IF(K358="",0,IF(COUNTIF($K$4:K358,K358)=1,1,0))</f>
        <v>0</v>
      </c>
    </row>
    <row r="359" spans="1:12" x14ac:dyDescent="0.25">
      <c r="A359" s="5" t="s">
        <v>746</v>
      </c>
      <c r="B359" s="6" t="s">
        <v>747</v>
      </c>
      <c r="C359" t="s">
        <v>637</v>
      </c>
      <c r="D359" t="s">
        <v>77</v>
      </c>
      <c r="E359">
        <v>100</v>
      </c>
      <c r="F359">
        <v>65</v>
      </c>
      <c r="G359" t="s">
        <v>112</v>
      </c>
      <c r="K359" t="s">
        <v>60</v>
      </c>
      <c r="L359">
        <f>IF(K359="",0,IF(COUNTIF($K$4:K359,K359)=1,1,0))</f>
        <v>0</v>
      </c>
    </row>
    <row r="360" spans="1:12" x14ac:dyDescent="0.25">
      <c r="A360" s="3" t="s">
        <v>748</v>
      </c>
      <c r="B360" s="4" t="s">
        <v>749</v>
      </c>
      <c r="C360" t="s">
        <v>637</v>
      </c>
      <c r="D360" t="s">
        <v>77</v>
      </c>
      <c r="E360">
        <v>100</v>
      </c>
      <c r="F360">
        <v>80</v>
      </c>
      <c r="G360" t="s">
        <v>112</v>
      </c>
      <c r="K360" t="s">
        <v>60</v>
      </c>
      <c r="L360">
        <f>IF(K360="",0,IF(COUNTIF($K$4:K360,K360)=1,1,0))</f>
        <v>0</v>
      </c>
    </row>
    <row r="361" spans="1:12" x14ac:dyDescent="0.25">
      <c r="A361" s="5" t="s">
        <v>750</v>
      </c>
      <c r="B361" s="6" t="s">
        <v>751</v>
      </c>
      <c r="C361" t="s">
        <v>637</v>
      </c>
      <c r="D361" t="s">
        <v>77</v>
      </c>
      <c r="E361">
        <v>125</v>
      </c>
      <c r="F361">
        <v>50</v>
      </c>
      <c r="G361" t="s">
        <v>112</v>
      </c>
      <c r="K361" t="s">
        <v>60</v>
      </c>
      <c r="L361">
        <f>IF(K361="",0,IF(COUNTIF($K$4:K361,K361)=1,1,0))</f>
        <v>0</v>
      </c>
    </row>
    <row r="362" spans="1:12" x14ac:dyDescent="0.25">
      <c r="A362" s="3" t="s">
        <v>752</v>
      </c>
      <c r="B362" s="4" t="s">
        <v>753</v>
      </c>
      <c r="C362" t="s">
        <v>637</v>
      </c>
      <c r="D362" t="s">
        <v>77</v>
      </c>
      <c r="E362">
        <v>125</v>
      </c>
      <c r="F362">
        <v>65</v>
      </c>
      <c r="G362" t="s">
        <v>112</v>
      </c>
      <c r="K362" t="s">
        <v>60</v>
      </c>
      <c r="L362">
        <f>IF(K362="",0,IF(COUNTIF($K$4:K362,K362)=1,1,0))</f>
        <v>0</v>
      </c>
    </row>
    <row r="363" spans="1:12" x14ac:dyDescent="0.25">
      <c r="A363" s="5" t="s">
        <v>754</v>
      </c>
      <c r="B363" s="6" t="s">
        <v>755</v>
      </c>
      <c r="C363" t="s">
        <v>637</v>
      </c>
      <c r="D363" t="s">
        <v>77</v>
      </c>
      <c r="E363">
        <v>125</v>
      </c>
      <c r="F363">
        <v>80</v>
      </c>
      <c r="G363" t="s">
        <v>112</v>
      </c>
      <c r="K363" t="s">
        <v>60</v>
      </c>
      <c r="L363">
        <f>IF(K363="",0,IF(COUNTIF($K$4:K363,K363)=1,1,0))</f>
        <v>0</v>
      </c>
    </row>
    <row r="364" spans="1:12" x14ac:dyDescent="0.25">
      <c r="A364" s="3" t="s">
        <v>756</v>
      </c>
      <c r="B364" s="4" t="s">
        <v>757</v>
      </c>
      <c r="C364" t="s">
        <v>637</v>
      </c>
      <c r="D364" t="s">
        <v>77</v>
      </c>
      <c r="E364">
        <v>125</v>
      </c>
      <c r="F364">
        <v>100</v>
      </c>
      <c r="G364" t="s">
        <v>112</v>
      </c>
      <c r="K364" t="s">
        <v>60</v>
      </c>
      <c r="L364">
        <f>IF(K364="",0,IF(COUNTIF($K$4:K364,K364)=1,1,0))</f>
        <v>0</v>
      </c>
    </row>
    <row r="365" spans="1:12" x14ac:dyDescent="0.25">
      <c r="A365" s="5" t="s">
        <v>758</v>
      </c>
      <c r="B365" s="6" t="s">
        <v>759</v>
      </c>
      <c r="C365" t="s">
        <v>637</v>
      </c>
      <c r="D365" t="s">
        <v>77</v>
      </c>
      <c r="E365">
        <v>150</v>
      </c>
      <c r="F365">
        <v>65</v>
      </c>
      <c r="G365" t="s">
        <v>112</v>
      </c>
      <c r="K365" t="s">
        <v>60</v>
      </c>
      <c r="L365">
        <f>IF(K365="",0,IF(COUNTIF($K$4:K365,K365)=1,1,0))</f>
        <v>0</v>
      </c>
    </row>
    <row r="366" spans="1:12" x14ac:dyDescent="0.25">
      <c r="A366" s="3" t="s">
        <v>760</v>
      </c>
      <c r="B366" s="4" t="s">
        <v>761</v>
      </c>
      <c r="C366" t="s">
        <v>637</v>
      </c>
      <c r="D366" t="s">
        <v>77</v>
      </c>
      <c r="E366">
        <v>150</v>
      </c>
      <c r="F366">
        <v>80</v>
      </c>
      <c r="G366" t="s">
        <v>112</v>
      </c>
      <c r="K366" t="s">
        <v>60</v>
      </c>
      <c r="L366">
        <f>IF(K366="",0,IF(COUNTIF($K$4:K366,K366)=1,1,0))</f>
        <v>0</v>
      </c>
    </row>
    <row r="367" spans="1:12" x14ac:dyDescent="0.25">
      <c r="A367" s="5" t="s">
        <v>762</v>
      </c>
      <c r="B367" s="6" t="s">
        <v>763</v>
      </c>
      <c r="C367" t="s">
        <v>637</v>
      </c>
      <c r="D367" t="s">
        <v>77</v>
      </c>
      <c r="E367">
        <v>150</v>
      </c>
      <c r="F367">
        <v>100</v>
      </c>
      <c r="G367" t="s">
        <v>112</v>
      </c>
      <c r="K367" t="s">
        <v>60</v>
      </c>
      <c r="L367">
        <f>IF(K367="",0,IF(COUNTIF($K$4:K367,K367)=1,1,0))</f>
        <v>0</v>
      </c>
    </row>
    <row r="368" spans="1:12" x14ac:dyDescent="0.25">
      <c r="A368" s="3" t="s">
        <v>764</v>
      </c>
      <c r="B368" s="4" t="s">
        <v>765</v>
      </c>
      <c r="C368" t="s">
        <v>637</v>
      </c>
      <c r="D368" t="s">
        <v>77</v>
      </c>
      <c r="E368">
        <v>150</v>
      </c>
      <c r="F368">
        <v>125</v>
      </c>
      <c r="G368" t="s">
        <v>112</v>
      </c>
      <c r="K368" t="s">
        <v>60</v>
      </c>
      <c r="L368">
        <f>IF(K368="",0,IF(COUNTIF($K$4:K368,K368)=1,1,0))</f>
        <v>0</v>
      </c>
    </row>
    <row r="369" spans="1:12" x14ac:dyDescent="0.25">
      <c r="A369" s="5" t="s">
        <v>766</v>
      </c>
      <c r="B369" s="6" t="s">
        <v>767</v>
      </c>
      <c r="C369" t="s">
        <v>637</v>
      </c>
      <c r="D369" t="s">
        <v>77</v>
      </c>
      <c r="E369">
        <v>150</v>
      </c>
      <c r="F369">
        <v>50</v>
      </c>
      <c r="G369" t="s">
        <v>112</v>
      </c>
      <c r="K369" t="s">
        <v>768</v>
      </c>
      <c r="L369">
        <f>IF(K369="",0,IF(COUNTIF($K$4:K369,K369)=1,1,0))</f>
        <v>1</v>
      </c>
    </row>
    <row r="370" spans="1:12" x14ac:dyDescent="0.25">
      <c r="A370" s="3" t="s">
        <v>769</v>
      </c>
      <c r="B370" s="4" t="s">
        <v>770</v>
      </c>
      <c r="C370" t="s">
        <v>771</v>
      </c>
      <c r="D370" t="s">
        <v>772</v>
      </c>
      <c r="E370">
        <v>15</v>
      </c>
      <c r="G370" t="s">
        <v>773</v>
      </c>
      <c r="H370">
        <v>68</v>
      </c>
      <c r="I370">
        <v>80</v>
      </c>
      <c r="J370" t="s">
        <v>774</v>
      </c>
      <c r="K370" t="s">
        <v>768</v>
      </c>
      <c r="L370">
        <f>IF(K370="",0,IF(COUNTIF($K$4:K370,K370)=1,1,0))</f>
        <v>0</v>
      </c>
    </row>
    <row r="371" spans="1:12" x14ac:dyDescent="0.25">
      <c r="A371" s="5" t="s">
        <v>775</v>
      </c>
      <c r="B371" s="6" t="s">
        <v>776</v>
      </c>
      <c r="C371" t="s">
        <v>771</v>
      </c>
      <c r="D371" t="s">
        <v>772</v>
      </c>
      <c r="E371">
        <v>15</v>
      </c>
      <c r="G371" t="s">
        <v>773</v>
      </c>
      <c r="H371">
        <v>68</v>
      </c>
      <c r="I371">
        <v>80</v>
      </c>
      <c r="J371" t="s">
        <v>777</v>
      </c>
      <c r="K371" t="s">
        <v>768</v>
      </c>
      <c r="L371">
        <f>IF(K371="",0,IF(COUNTIF($K$4:K371,K371)=1,1,0))</f>
        <v>0</v>
      </c>
    </row>
    <row r="372" spans="1:12" x14ac:dyDescent="0.25">
      <c r="A372" s="3" t="s">
        <v>778</v>
      </c>
      <c r="B372" s="4" t="s">
        <v>779</v>
      </c>
      <c r="C372" t="s">
        <v>771</v>
      </c>
      <c r="D372" t="s">
        <v>772</v>
      </c>
      <c r="E372">
        <v>15</v>
      </c>
      <c r="G372" t="s">
        <v>773</v>
      </c>
      <c r="H372">
        <v>68</v>
      </c>
      <c r="I372">
        <v>115</v>
      </c>
      <c r="J372" t="s">
        <v>774</v>
      </c>
      <c r="K372" t="s">
        <v>768</v>
      </c>
      <c r="L372">
        <f>IF(K372="",0,IF(COUNTIF($K$4:K372,K372)=1,1,0))</f>
        <v>0</v>
      </c>
    </row>
    <row r="373" spans="1:12" x14ac:dyDescent="0.25">
      <c r="A373" s="5" t="s">
        <v>780</v>
      </c>
      <c r="B373" s="6" t="s">
        <v>781</v>
      </c>
      <c r="C373" t="s">
        <v>771</v>
      </c>
      <c r="D373" t="s">
        <v>772</v>
      </c>
      <c r="E373">
        <v>15</v>
      </c>
      <c r="G373" t="s">
        <v>773</v>
      </c>
      <c r="H373">
        <v>93</v>
      </c>
      <c r="I373">
        <v>80</v>
      </c>
      <c r="J373" t="s">
        <v>777</v>
      </c>
      <c r="K373" t="s">
        <v>768</v>
      </c>
      <c r="L373">
        <f>IF(K373="",0,IF(COUNTIF($K$4:K373,K373)=1,1,0))</f>
        <v>0</v>
      </c>
    </row>
    <row r="374" spans="1:12" x14ac:dyDescent="0.25">
      <c r="A374" s="3" t="s">
        <v>782</v>
      </c>
      <c r="B374" s="4" t="s">
        <v>783</v>
      </c>
      <c r="C374" t="s">
        <v>771</v>
      </c>
      <c r="D374" t="s">
        <v>772</v>
      </c>
      <c r="E374">
        <v>15</v>
      </c>
      <c r="G374" t="s">
        <v>773</v>
      </c>
      <c r="H374">
        <v>93</v>
      </c>
      <c r="I374">
        <v>115</v>
      </c>
      <c r="J374" t="s">
        <v>774</v>
      </c>
      <c r="K374" t="s">
        <v>768</v>
      </c>
      <c r="L374">
        <f>IF(K374="",0,IF(COUNTIF($K$4:K374,K374)=1,1,0))</f>
        <v>0</v>
      </c>
    </row>
    <row r="375" spans="1:12" x14ac:dyDescent="0.25">
      <c r="A375" s="5" t="s">
        <v>784</v>
      </c>
      <c r="B375" s="6" t="s">
        <v>785</v>
      </c>
      <c r="C375" t="s">
        <v>771</v>
      </c>
      <c r="D375" t="s">
        <v>772</v>
      </c>
      <c r="E375">
        <v>15</v>
      </c>
      <c r="G375" t="s">
        <v>773</v>
      </c>
      <c r="H375">
        <v>141</v>
      </c>
      <c r="I375">
        <v>80</v>
      </c>
      <c r="J375" t="s">
        <v>774</v>
      </c>
      <c r="K375" t="s">
        <v>768</v>
      </c>
      <c r="L375">
        <f>IF(K375="",0,IF(COUNTIF($K$4:K375,K375)=1,1,0))</f>
        <v>0</v>
      </c>
    </row>
    <row r="376" spans="1:12" x14ac:dyDescent="0.25">
      <c r="A376" s="3" t="s">
        <v>786</v>
      </c>
      <c r="B376" s="4" t="s">
        <v>787</v>
      </c>
      <c r="C376" t="s">
        <v>771</v>
      </c>
      <c r="D376" t="s">
        <v>788</v>
      </c>
      <c r="E376">
        <v>15</v>
      </c>
      <c r="G376" t="s">
        <v>773</v>
      </c>
      <c r="H376">
        <v>68</v>
      </c>
      <c r="I376">
        <v>80</v>
      </c>
      <c r="J376" t="s">
        <v>774</v>
      </c>
      <c r="K376" t="s">
        <v>768</v>
      </c>
      <c r="L376">
        <f>IF(K376="",0,IF(COUNTIF($K$4:K376,K376)=1,1,0))</f>
        <v>0</v>
      </c>
    </row>
    <row r="377" spans="1:12" x14ac:dyDescent="0.25">
      <c r="A377" s="5" t="s">
        <v>789</v>
      </c>
      <c r="B377" s="6" t="s">
        <v>790</v>
      </c>
      <c r="C377" t="s">
        <v>771</v>
      </c>
      <c r="D377" t="s">
        <v>788</v>
      </c>
      <c r="E377">
        <v>15</v>
      </c>
      <c r="G377" t="s">
        <v>773</v>
      </c>
      <c r="H377">
        <v>68</v>
      </c>
      <c r="I377">
        <v>80</v>
      </c>
      <c r="J377" t="s">
        <v>777</v>
      </c>
      <c r="K377" t="s">
        <v>768</v>
      </c>
      <c r="L377">
        <f>IF(K377="",0,IF(COUNTIF($K$4:K377,K377)=1,1,0))</f>
        <v>0</v>
      </c>
    </row>
    <row r="378" spans="1:12" x14ac:dyDescent="0.25">
      <c r="A378" s="3" t="s">
        <v>791</v>
      </c>
      <c r="B378" s="4" t="s">
        <v>792</v>
      </c>
      <c r="C378" t="s">
        <v>771</v>
      </c>
      <c r="D378" t="s">
        <v>788</v>
      </c>
      <c r="E378">
        <v>15</v>
      </c>
      <c r="G378" t="s">
        <v>773</v>
      </c>
      <c r="H378">
        <v>93</v>
      </c>
      <c r="I378">
        <v>80</v>
      </c>
      <c r="J378" t="s">
        <v>774</v>
      </c>
      <c r="K378" t="s">
        <v>768</v>
      </c>
      <c r="L378">
        <f>IF(K378="",0,IF(COUNTIF($K$4:K378,K378)=1,1,0))</f>
        <v>0</v>
      </c>
    </row>
    <row r="379" spans="1:12" x14ac:dyDescent="0.25">
      <c r="A379" s="5" t="s">
        <v>793</v>
      </c>
      <c r="B379" s="6" t="s">
        <v>794</v>
      </c>
      <c r="C379" t="s">
        <v>771</v>
      </c>
      <c r="D379" t="s">
        <v>788</v>
      </c>
      <c r="E379">
        <v>15</v>
      </c>
      <c r="G379" t="s">
        <v>773</v>
      </c>
      <c r="H379">
        <v>93</v>
      </c>
      <c r="I379">
        <v>80</v>
      </c>
      <c r="J379" t="s">
        <v>777</v>
      </c>
      <c r="K379" t="s">
        <v>768</v>
      </c>
      <c r="L379">
        <f>IF(K379="",0,IF(COUNTIF($K$4:K379,K379)=1,1,0))</f>
        <v>0</v>
      </c>
    </row>
    <row r="380" spans="1:12" x14ac:dyDescent="0.25">
      <c r="A380" s="3" t="s">
        <v>795</v>
      </c>
      <c r="B380" s="4" t="s">
        <v>796</v>
      </c>
      <c r="C380" t="s">
        <v>771</v>
      </c>
      <c r="D380" t="s">
        <v>772</v>
      </c>
      <c r="E380">
        <v>20</v>
      </c>
      <c r="G380" t="s">
        <v>773</v>
      </c>
      <c r="H380">
        <v>68</v>
      </c>
      <c r="I380">
        <v>115</v>
      </c>
      <c r="J380" t="s">
        <v>774</v>
      </c>
      <c r="K380" t="s">
        <v>768</v>
      </c>
      <c r="L380">
        <f>IF(K380="",0,IF(COUNTIF($K$4:K380,K380)=1,1,0))</f>
        <v>0</v>
      </c>
    </row>
    <row r="381" spans="1:12" x14ac:dyDescent="0.25">
      <c r="A381" s="5" t="s">
        <v>797</v>
      </c>
      <c r="B381" s="6" t="s">
        <v>798</v>
      </c>
      <c r="C381" t="s">
        <v>771</v>
      </c>
      <c r="D381" t="s">
        <v>772</v>
      </c>
      <c r="E381">
        <v>20</v>
      </c>
      <c r="G381" t="s">
        <v>773</v>
      </c>
      <c r="H381">
        <v>68</v>
      </c>
      <c r="I381">
        <v>115</v>
      </c>
      <c r="J381" t="s">
        <v>777</v>
      </c>
      <c r="K381" t="s">
        <v>768</v>
      </c>
      <c r="L381">
        <f>IF(K381="",0,IF(COUNTIF($K$4:K381,K381)=1,1,0))</f>
        <v>0</v>
      </c>
    </row>
    <row r="382" spans="1:12" x14ac:dyDescent="0.25">
      <c r="A382" s="3" t="s">
        <v>799</v>
      </c>
      <c r="B382" s="4" t="s">
        <v>800</v>
      </c>
      <c r="C382" t="s">
        <v>771</v>
      </c>
      <c r="D382" t="s">
        <v>772</v>
      </c>
      <c r="E382">
        <v>20</v>
      </c>
      <c r="G382" t="s">
        <v>773</v>
      </c>
      <c r="H382">
        <v>93</v>
      </c>
      <c r="I382">
        <v>115</v>
      </c>
      <c r="J382" t="s">
        <v>774</v>
      </c>
      <c r="K382" t="s">
        <v>768</v>
      </c>
      <c r="L382">
        <f>IF(K382="",0,IF(COUNTIF($K$4:K382,K382)=1,1,0))</f>
        <v>0</v>
      </c>
    </row>
    <row r="383" spans="1:12" x14ac:dyDescent="0.25">
      <c r="A383" s="5" t="s">
        <v>801</v>
      </c>
      <c r="B383" s="6" t="s">
        <v>802</v>
      </c>
      <c r="C383" t="s">
        <v>771</v>
      </c>
      <c r="D383" t="s">
        <v>772</v>
      </c>
      <c r="E383">
        <v>20</v>
      </c>
      <c r="G383" t="s">
        <v>773</v>
      </c>
      <c r="H383">
        <v>93</v>
      </c>
      <c r="I383">
        <v>115</v>
      </c>
      <c r="J383" t="s">
        <v>777</v>
      </c>
      <c r="K383" t="s">
        <v>768</v>
      </c>
      <c r="L383">
        <f>IF(K383="",0,IF(COUNTIF($K$4:K383,K383)=1,1,0))</f>
        <v>0</v>
      </c>
    </row>
    <row r="384" spans="1:12" x14ac:dyDescent="0.25">
      <c r="A384" s="3" t="s">
        <v>803</v>
      </c>
      <c r="B384" s="4" t="s">
        <v>804</v>
      </c>
      <c r="C384" t="s">
        <v>771</v>
      </c>
      <c r="D384" t="s">
        <v>788</v>
      </c>
      <c r="E384">
        <v>20</v>
      </c>
      <c r="G384" t="s">
        <v>773</v>
      </c>
      <c r="H384">
        <v>68</v>
      </c>
      <c r="I384">
        <v>115</v>
      </c>
      <c r="J384" t="s">
        <v>774</v>
      </c>
      <c r="K384" t="s">
        <v>768</v>
      </c>
      <c r="L384">
        <f>IF(K384="",0,IF(COUNTIF($K$4:K384,K384)=1,1,0))</f>
        <v>0</v>
      </c>
    </row>
    <row r="385" spans="1:12" x14ac:dyDescent="0.25">
      <c r="A385" s="5" t="s">
        <v>805</v>
      </c>
      <c r="B385" s="6" t="s">
        <v>806</v>
      </c>
      <c r="C385" t="s">
        <v>771</v>
      </c>
      <c r="D385" t="s">
        <v>807</v>
      </c>
      <c r="E385">
        <v>15</v>
      </c>
      <c r="G385" t="s">
        <v>808</v>
      </c>
      <c r="H385">
        <v>68</v>
      </c>
      <c r="I385">
        <v>80</v>
      </c>
      <c r="J385" t="s">
        <v>774</v>
      </c>
      <c r="K385" t="s">
        <v>768</v>
      </c>
      <c r="L385">
        <f>IF(K385="",0,IF(COUNTIF($K$4:K385,K385)=1,1,0))</f>
        <v>0</v>
      </c>
    </row>
    <row r="386" spans="1:12" x14ac:dyDescent="0.25">
      <c r="A386" s="3" t="s">
        <v>809</v>
      </c>
      <c r="B386" s="4" t="s">
        <v>810</v>
      </c>
      <c r="C386" t="s">
        <v>771</v>
      </c>
      <c r="D386" t="s">
        <v>807</v>
      </c>
      <c r="E386">
        <v>15</v>
      </c>
      <c r="G386" t="s">
        <v>808</v>
      </c>
      <c r="H386">
        <v>68</v>
      </c>
      <c r="I386">
        <v>80</v>
      </c>
      <c r="J386" t="s">
        <v>777</v>
      </c>
      <c r="K386" t="s">
        <v>768</v>
      </c>
      <c r="L386">
        <f>IF(K386="",0,IF(COUNTIF($K$4:K386,K386)=1,1,0))</f>
        <v>0</v>
      </c>
    </row>
    <row r="387" spans="1:12" x14ac:dyDescent="0.25">
      <c r="A387" s="5" t="s">
        <v>811</v>
      </c>
      <c r="B387" s="6" t="s">
        <v>812</v>
      </c>
      <c r="C387" t="s">
        <v>771</v>
      </c>
      <c r="D387" t="s">
        <v>807</v>
      </c>
      <c r="E387">
        <v>15</v>
      </c>
      <c r="G387" t="s">
        <v>808</v>
      </c>
      <c r="H387">
        <v>93</v>
      </c>
      <c r="I387">
        <v>80</v>
      </c>
      <c r="J387" t="s">
        <v>774</v>
      </c>
      <c r="K387" t="s">
        <v>768</v>
      </c>
      <c r="L387">
        <f>IF(K387="",0,IF(COUNTIF($K$4:K387,K387)=1,1,0))</f>
        <v>0</v>
      </c>
    </row>
    <row r="388" spans="1:12" x14ac:dyDescent="0.25">
      <c r="A388" s="3" t="s">
        <v>813</v>
      </c>
      <c r="B388" s="4" t="s">
        <v>814</v>
      </c>
      <c r="C388" t="s">
        <v>771</v>
      </c>
      <c r="D388" t="s">
        <v>772</v>
      </c>
      <c r="E388">
        <v>15</v>
      </c>
      <c r="G388" t="s">
        <v>808</v>
      </c>
      <c r="H388">
        <v>68</v>
      </c>
      <c r="I388">
        <v>80</v>
      </c>
      <c r="J388" t="s">
        <v>774</v>
      </c>
      <c r="K388" t="s">
        <v>768</v>
      </c>
      <c r="L388">
        <f>IF(K388="",0,IF(COUNTIF($K$4:K388,K388)=1,1,0))</f>
        <v>0</v>
      </c>
    </row>
    <row r="389" spans="1:12" x14ac:dyDescent="0.25">
      <c r="A389" s="5" t="s">
        <v>815</v>
      </c>
      <c r="B389" s="6" t="s">
        <v>816</v>
      </c>
      <c r="C389" t="s">
        <v>771</v>
      </c>
      <c r="D389" t="s">
        <v>772</v>
      </c>
      <c r="E389">
        <v>15</v>
      </c>
      <c r="G389" t="s">
        <v>808</v>
      </c>
      <c r="H389">
        <v>68</v>
      </c>
      <c r="I389">
        <v>80</v>
      </c>
      <c r="J389" t="s">
        <v>777</v>
      </c>
      <c r="K389" t="s">
        <v>768</v>
      </c>
      <c r="L389">
        <f>IF(K389="",0,IF(COUNTIF($K$4:K389,K389)=1,1,0))</f>
        <v>0</v>
      </c>
    </row>
    <row r="390" spans="1:12" x14ac:dyDescent="0.25">
      <c r="A390" s="3" t="s">
        <v>817</v>
      </c>
      <c r="B390" s="4" t="s">
        <v>818</v>
      </c>
      <c r="C390" t="s">
        <v>771</v>
      </c>
      <c r="D390" t="s">
        <v>788</v>
      </c>
      <c r="E390">
        <v>15</v>
      </c>
      <c r="G390" t="s">
        <v>808</v>
      </c>
      <c r="H390">
        <v>68</v>
      </c>
      <c r="I390">
        <v>80</v>
      </c>
      <c r="J390" t="s">
        <v>774</v>
      </c>
      <c r="K390" t="s">
        <v>768</v>
      </c>
      <c r="L390">
        <f>IF(K390="",0,IF(COUNTIF($K$4:K390,K390)=1,1,0))</f>
        <v>0</v>
      </c>
    </row>
    <row r="391" spans="1:12" x14ac:dyDescent="0.25">
      <c r="A391" s="5" t="s">
        <v>819</v>
      </c>
      <c r="B391" s="6" t="s">
        <v>820</v>
      </c>
      <c r="C391" t="s">
        <v>771</v>
      </c>
      <c r="D391" t="s">
        <v>788</v>
      </c>
      <c r="E391">
        <v>15</v>
      </c>
      <c r="G391" t="s">
        <v>808</v>
      </c>
      <c r="H391">
        <v>68</v>
      </c>
      <c r="I391">
        <v>80</v>
      </c>
      <c r="J391" t="s">
        <v>777</v>
      </c>
      <c r="K391" t="s">
        <v>768</v>
      </c>
      <c r="L391">
        <f>IF(K391="",0,IF(COUNTIF($K$4:K391,K391)=1,1,0))</f>
        <v>0</v>
      </c>
    </row>
    <row r="392" spans="1:12" x14ac:dyDescent="0.25">
      <c r="A392" s="3" t="s">
        <v>821</v>
      </c>
      <c r="B392" s="4" t="s">
        <v>822</v>
      </c>
      <c r="C392" t="s">
        <v>771</v>
      </c>
      <c r="D392" t="s">
        <v>788</v>
      </c>
      <c r="E392">
        <v>15</v>
      </c>
      <c r="G392" t="s">
        <v>808</v>
      </c>
      <c r="H392">
        <v>93</v>
      </c>
      <c r="I392">
        <v>80</v>
      </c>
      <c r="J392" t="s">
        <v>774</v>
      </c>
      <c r="K392" t="s">
        <v>768</v>
      </c>
      <c r="L392">
        <f>IF(K392="",0,IF(COUNTIF($K$4:K392,K392)=1,1,0))</f>
        <v>0</v>
      </c>
    </row>
    <row r="393" spans="1:12" x14ac:dyDescent="0.25">
      <c r="A393" s="5" t="s">
        <v>823</v>
      </c>
      <c r="B393" s="6" t="s">
        <v>824</v>
      </c>
      <c r="C393" t="s">
        <v>771</v>
      </c>
      <c r="D393" t="s">
        <v>788</v>
      </c>
      <c r="E393">
        <v>15</v>
      </c>
      <c r="G393" t="s">
        <v>808</v>
      </c>
      <c r="H393">
        <v>93</v>
      </c>
      <c r="I393">
        <v>80</v>
      </c>
      <c r="J393" t="s">
        <v>777</v>
      </c>
      <c r="K393" t="s">
        <v>768</v>
      </c>
      <c r="L393">
        <f>IF(K393="",0,IF(COUNTIF($K$4:K393,K393)=1,1,0))</f>
        <v>0</v>
      </c>
    </row>
    <row r="394" spans="1:12" x14ac:dyDescent="0.25">
      <c r="A394" s="3" t="s">
        <v>825</v>
      </c>
      <c r="B394" s="4" t="s">
        <v>826</v>
      </c>
      <c r="C394" t="s">
        <v>771</v>
      </c>
      <c r="D394" t="s">
        <v>788</v>
      </c>
      <c r="E394">
        <v>15</v>
      </c>
      <c r="G394" t="s">
        <v>808</v>
      </c>
      <c r="H394">
        <v>141</v>
      </c>
      <c r="I394">
        <v>80</v>
      </c>
      <c r="J394" t="s">
        <v>774</v>
      </c>
      <c r="K394" t="s">
        <v>768</v>
      </c>
      <c r="L394">
        <f>IF(K394="",0,IF(COUNTIF($K$4:K394,K394)=1,1,0))</f>
        <v>0</v>
      </c>
    </row>
    <row r="395" spans="1:12" x14ac:dyDescent="0.25">
      <c r="A395" s="5" t="s">
        <v>827</v>
      </c>
      <c r="B395" s="6" t="s">
        <v>828</v>
      </c>
      <c r="C395" t="s">
        <v>771</v>
      </c>
      <c r="D395" t="s">
        <v>788</v>
      </c>
      <c r="E395">
        <v>20</v>
      </c>
      <c r="G395" t="s">
        <v>808</v>
      </c>
      <c r="H395">
        <v>68</v>
      </c>
      <c r="I395">
        <v>115</v>
      </c>
      <c r="J395" t="s">
        <v>774</v>
      </c>
      <c r="K395" t="s">
        <v>768</v>
      </c>
      <c r="L395">
        <f>IF(K395="",0,IF(COUNTIF($K$4:K395,K395)=1,1,0))</f>
        <v>0</v>
      </c>
    </row>
    <row r="396" spans="1:12" x14ac:dyDescent="0.25">
      <c r="A396" s="3" t="s">
        <v>829</v>
      </c>
      <c r="B396" s="4" t="s">
        <v>830</v>
      </c>
      <c r="C396" t="s">
        <v>831</v>
      </c>
      <c r="D396" t="s">
        <v>807</v>
      </c>
      <c r="E396">
        <v>15</v>
      </c>
      <c r="K396" t="s">
        <v>768</v>
      </c>
      <c r="L396">
        <f>IF(K396="",0,IF(COUNTIF($K$4:K396,K396)=1,1,0))</f>
        <v>0</v>
      </c>
    </row>
    <row r="397" spans="1:12" x14ac:dyDescent="0.25">
      <c r="A397" s="5" t="s">
        <v>832</v>
      </c>
      <c r="B397" s="6" t="s">
        <v>833</v>
      </c>
      <c r="C397" t="s">
        <v>831</v>
      </c>
      <c r="D397" t="s">
        <v>807</v>
      </c>
      <c r="E397">
        <v>20</v>
      </c>
      <c r="K397" t="s">
        <v>768</v>
      </c>
      <c r="L397">
        <f>IF(K397="",0,IF(COUNTIF($K$4:K397,K397)=1,1,0))</f>
        <v>0</v>
      </c>
    </row>
    <row r="398" spans="1:12" x14ac:dyDescent="0.25">
      <c r="A398" s="3" t="s">
        <v>834</v>
      </c>
      <c r="B398" s="4" t="s">
        <v>834</v>
      </c>
      <c r="C398" t="s">
        <v>831</v>
      </c>
      <c r="D398" t="s">
        <v>788</v>
      </c>
      <c r="E398">
        <v>15</v>
      </c>
      <c r="K398" t="s">
        <v>768</v>
      </c>
      <c r="L398">
        <f>IF(K398="",0,IF(COUNTIF($K$4:K398,K398)=1,1,0))</f>
        <v>0</v>
      </c>
    </row>
    <row r="399" spans="1:12" x14ac:dyDescent="0.25">
      <c r="A399" s="5" t="s">
        <v>835</v>
      </c>
      <c r="B399" s="6" t="s">
        <v>836</v>
      </c>
      <c r="C399" t="s">
        <v>831</v>
      </c>
      <c r="D399" t="s">
        <v>788</v>
      </c>
      <c r="E399">
        <v>20</v>
      </c>
      <c r="K399" t="s">
        <v>768</v>
      </c>
      <c r="L399">
        <f>IF(K399="",0,IF(COUNTIF($K$4:K399,K399)=1,1,0))</f>
        <v>0</v>
      </c>
    </row>
    <row r="400" spans="1:12" x14ac:dyDescent="0.25">
      <c r="A400" s="3" t="s">
        <v>837</v>
      </c>
      <c r="B400" s="4" t="s">
        <v>838</v>
      </c>
      <c r="C400" t="s">
        <v>839</v>
      </c>
      <c r="D400" t="s">
        <v>807</v>
      </c>
      <c r="E400">
        <v>15</v>
      </c>
      <c r="K400" t="s">
        <v>768</v>
      </c>
      <c r="L400">
        <f>IF(K400="",0,IF(COUNTIF($K$4:K400,K400)=1,1,0))</f>
        <v>0</v>
      </c>
    </row>
    <row r="401" spans="1:12" x14ac:dyDescent="0.25">
      <c r="A401" s="5" t="s">
        <v>840</v>
      </c>
      <c r="B401" s="6" t="s">
        <v>841</v>
      </c>
      <c r="C401" t="s">
        <v>839</v>
      </c>
      <c r="D401" t="s">
        <v>807</v>
      </c>
      <c r="E401">
        <v>20</v>
      </c>
      <c r="K401" t="s">
        <v>768</v>
      </c>
      <c r="L401">
        <f>IF(K401="",0,IF(COUNTIF($K$4:K401,K401)=1,1,0))</f>
        <v>0</v>
      </c>
    </row>
    <row r="402" spans="1:12" x14ac:dyDescent="0.25">
      <c r="A402" s="3" t="s">
        <v>842</v>
      </c>
      <c r="B402" s="4" t="s">
        <v>843</v>
      </c>
      <c r="C402" t="s">
        <v>839</v>
      </c>
      <c r="D402" t="s">
        <v>788</v>
      </c>
      <c r="E402">
        <v>15</v>
      </c>
      <c r="K402" t="s">
        <v>768</v>
      </c>
      <c r="L402">
        <f>IF(K402="",0,IF(COUNTIF($K$4:K402,K402)=1,1,0))</f>
        <v>0</v>
      </c>
    </row>
    <row r="403" spans="1:12" x14ac:dyDescent="0.25">
      <c r="A403" s="5" t="s">
        <v>844</v>
      </c>
      <c r="B403" s="6" t="s">
        <v>845</v>
      </c>
      <c r="C403" t="s">
        <v>839</v>
      </c>
      <c r="D403" t="s">
        <v>788</v>
      </c>
      <c r="E403">
        <v>20</v>
      </c>
      <c r="K403" t="s">
        <v>768</v>
      </c>
      <c r="L403">
        <f>IF(K403="",0,IF(COUNTIF($K$4:K403,K403)=1,1,0))</f>
        <v>0</v>
      </c>
    </row>
    <row r="404" spans="1:12" x14ac:dyDescent="0.25">
      <c r="A404" s="3" t="s">
        <v>846</v>
      </c>
      <c r="B404" s="4" t="s">
        <v>847</v>
      </c>
      <c r="C404" t="s">
        <v>839</v>
      </c>
      <c r="D404" t="s">
        <v>848</v>
      </c>
      <c r="E404">
        <v>15</v>
      </c>
      <c r="K404" t="s">
        <v>768</v>
      </c>
      <c r="L404">
        <f>IF(K404="",0,IF(COUNTIF($K$4:K404,K404)=1,1,0))</f>
        <v>0</v>
      </c>
    </row>
    <row r="405" spans="1:12" x14ac:dyDescent="0.25">
      <c r="A405" s="5" t="s">
        <v>849</v>
      </c>
      <c r="B405" s="6" t="s">
        <v>850</v>
      </c>
      <c r="C405" t="s">
        <v>839</v>
      </c>
      <c r="D405" t="s">
        <v>848</v>
      </c>
      <c r="E405">
        <v>20</v>
      </c>
      <c r="K405" t="s">
        <v>768</v>
      </c>
      <c r="L405">
        <f>IF(K405="",0,IF(COUNTIF($K$4:K405,K405)=1,1,0))</f>
        <v>0</v>
      </c>
    </row>
    <row r="406" spans="1:12" x14ac:dyDescent="0.25">
      <c r="A406" s="3" t="s">
        <v>851</v>
      </c>
      <c r="B406" s="4" t="s">
        <v>852</v>
      </c>
      <c r="K406" t="s">
        <v>60</v>
      </c>
      <c r="L406">
        <f>IF(K406="",0,IF(COUNTIF($K$4:K406,K406)=1,1,0))</f>
        <v>0</v>
      </c>
    </row>
    <row r="407" spans="1:12" x14ac:dyDescent="0.25">
      <c r="A407" s="5" t="s">
        <v>853</v>
      </c>
      <c r="B407" s="6" t="s">
        <v>854</v>
      </c>
      <c r="K407" t="s">
        <v>60</v>
      </c>
      <c r="L407">
        <f>IF(K407="",0,IF(COUNTIF($K$4:K407,K407)=1,1,0))</f>
        <v>0</v>
      </c>
    </row>
    <row r="408" spans="1:12" x14ac:dyDescent="0.25">
      <c r="A408" s="3" t="s">
        <v>855</v>
      </c>
      <c r="B408" s="4" t="s">
        <v>856</v>
      </c>
      <c r="K408" t="s">
        <v>60</v>
      </c>
      <c r="L408">
        <f>IF(K408="",0,IF(COUNTIF($K$4:K408,K408)=1,1,0))</f>
        <v>0</v>
      </c>
    </row>
    <row r="409" spans="1:12" x14ac:dyDescent="0.25">
      <c r="A409" s="5" t="s">
        <v>857</v>
      </c>
      <c r="B409" s="6" t="s">
        <v>858</v>
      </c>
      <c r="K409" t="s">
        <v>60</v>
      </c>
      <c r="L409">
        <f>IF(K409="",0,IF(COUNTIF($K$4:K409,K409)=1,1,0))</f>
        <v>0</v>
      </c>
    </row>
    <row r="410" spans="1:12" x14ac:dyDescent="0.25">
      <c r="A410" s="3" t="s">
        <v>859</v>
      </c>
      <c r="B410" s="4" t="s">
        <v>860</v>
      </c>
      <c r="K410" t="s">
        <v>60</v>
      </c>
      <c r="L410">
        <f>IF(K410="",0,IF(COUNTIF($K$4:K410,K410)=1,1,0))</f>
        <v>0</v>
      </c>
    </row>
    <row r="411" spans="1:12" x14ac:dyDescent="0.25">
      <c r="A411" s="5" t="s">
        <v>861</v>
      </c>
      <c r="B411" s="6" t="s">
        <v>862</v>
      </c>
      <c r="K411" t="s">
        <v>60</v>
      </c>
      <c r="L411">
        <f>IF(K411="",0,IF(COUNTIF($K$4:K411,K411)=1,1,0))</f>
        <v>0</v>
      </c>
    </row>
    <row r="412" spans="1:12" x14ac:dyDescent="0.25">
      <c r="A412" s="3" t="s">
        <v>863</v>
      </c>
      <c r="B412" s="4" t="s">
        <v>864</v>
      </c>
      <c r="K412" t="s">
        <v>768</v>
      </c>
      <c r="L412">
        <f>IF(K412="",0,IF(COUNTIF($K$4:K412,K412)=1,1,0))</f>
        <v>0</v>
      </c>
    </row>
    <row r="413" spans="1:12" x14ac:dyDescent="0.25">
      <c r="A413" s="5" t="s">
        <v>865</v>
      </c>
      <c r="B413" s="6" t="s">
        <v>866</v>
      </c>
      <c r="K413" t="s">
        <v>768</v>
      </c>
      <c r="L413">
        <f>IF(K413="",0,IF(COUNTIF($K$4:K413,K413)=1,1,0))</f>
        <v>0</v>
      </c>
    </row>
    <row r="414" spans="1:12" x14ac:dyDescent="0.25">
      <c r="A414" s="3" t="s">
        <v>867</v>
      </c>
      <c r="B414" s="4" t="s">
        <v>868</v>
      </c>
      <c r="K414" t="s">
        <v>768</v>
      </c>
      <c r="L414">
        <f>IF(K414="",0,IF(COUNTIF($K$4:K414,K414)=1,1,0))</f>
        <v>0</v>
      </c>
    </row>
    <row r="415" spans="1:12" x14ac:dyDescent="0.25">
      <c r="A415" s="5" t="s">
        <v>869</v>
      </c>
      <c r="B415" s="6" t="s">
        <v>870</v>
      </c>
      <c r="K415" t="s">
        <v>768</v>
      </c>
      <c r="L415">
        <f>IF(K415="",0,IF(COUNTIF($K$4:K415,K415)=1,1,0))</f>
        <v>0</v>
      </c>
    </row>
    <row r="416" spans="1:12" x14ac:dyDescent="0.25">
      <c r="A416" s="3" t="s">
        <v>871</v>
      </c>
      <c r="B416" s="4" t="s">
        <v>872</v>
      </c>
      <c r="K416" t="s">
        <v>768</v>
      </c>
      <c r="L416">
        <f>IF(K416="",0,IF(COUNTIF($K$4:K416,K416)=1,1,0))</f>
        <v>0</v>
      </c>
    </row>
    <row r="417" spans="1:12" x14ac:dyDescent="0.25">
      <c r="A417" s="5" t="s">
        <v>873</v>
      </c>
      <c r="B417" s="6" t="s">
        <v>874</v>
      </c>
      <c r="K417" t="s">
        <v>60</v>
      </c>
      <c r="L417">
        <f>IF(K417="",0,IF(COUNTIF($K$4:K417,K417)=1,1,0))</f>
        <v>0</v>
      </c>
    </row>
    <row r="418" spans="1:12" x14ac:dyDescent="0.25">
      <c r="A418" s="3" t="s">
        <v>875</v>
      </c>
      <c r="B418" s="4" t="s">
        <v>876</v>
      </c>
      <c r="K418" t="s">
        <v>60</v>
      </c>
      <c r="L418">
        <f>IF(K418="",0,IF(COUNTIF($K$4:K418,K418)=1,1,0))</f>
        <v>0</v>
      </c>
    </row>
    <row r="419" spans="1:12" x14ac:dyDescent="0.25">
      <c r="A419" s="5" t="s">
        <v>877</v>
      </c>
      <c r="B419" s="6" t="s">
        <v>878</v>
      </c>
      <c r="K419" t="s">
        <v>60</v>
      </c>
      <c r="L419">
        <f>IF(K419="",0,IF(COUNTIF($K$4:K419,K419)=1,1,0))</f>
        <v>0</v>
      </c>
    </row>
    <row r="420" spans="1:12" x14ac:dyDescent="0.25">
      <c r="A420" s="3" t="s">
        <v>879</v>
      </c>
      <c r="B420" s="4" t="s">
        <v>880</v>
      </c>
      <c r="K420" t="s">
        <v>60</v>
      </c>
      <c r="L420">
        <f>IF(K420="",0,IF(COUNTIF($K$4:K420,K420)=1,1,0))</f>
        <v>0</v>
      </c>
    </row>
    <row r="421" spans="1:12" x14ac:dyDescent="0.25">
      <c r="A421" s="5" t="s">
        <v>881</v>
      </c>
      <c r="B421" s="6" t="s">
        <v>882</v>
      </c>
      <c r="K421" t="s">
        <v>60</v>
      </c>
      <c r="L421">
        <f>IF(K421="",0,IF(COUNTIF($K$4:K421,K421)=1,1,0))</f>
        <v>0</v>
      </c>
    </row>
    <row r="422" spans="1:12" x14ac:dyDescent="0.25">
      <c r="A422" s="3" t="s">
        <v>883</v>
      </c>
      <c r="B422" s="4" t="s">
        <v>884</v>
      </c>
      <c r="K422" t="s">
        <v>885</v>
      </c>
      <c r="L422">
        <f>IF(K422="",0,IF(COUNTIF($K$4:K422,K422)=1,1,0))</f>
        <v>1</v>
      </c>
    </row>
    <row r="423" spans="1:12" x14ac:dyDescent="0.25">
      <c r="A423" s="5" t="s">
        <v>886</v>
      </c>
      <c r="B423" s="6" t="s">
        <v>886</v>
      </c>
      <c r="K423" t="s">
        <v>885</v>
      </c>
      <c r="L423">
        <f>IF(K423="",0,IF(COUNTIF($K$4:K423,K423)=1,1,0))</f>
        <v>0</v>
      </c>
    </row>
    <row r="424" spans="1:12" x14ac:dyDescent="0.25">
      <c r="A424" s="3" t="s">
        <v>887</v>
      </c>
      <c r="B424" s="4" t="s">
        <v>888</v>
      </c>
      <c r="K424" t="s">
        <v>60</v>
      </c>
      <c r="L424">
        <f>IF(K424="",0,IF(COUNTIF($K$4:K424,K424)=1,1,0))</f>
        <v>0</v>
      </c>
    </row>
    <row r="425" spans="1:12" x14ac:dyDescent="0.25">
      <c r="A425" s="5" t="s">
        <v>889</v>
      </c>
      <c r="B425" s="6" t="s">
        <v>890</v>
      </c>
      <c r="K425" t="s">
        <v>60</v>
      </c>
      <c r="L425">
        <f>IF(K425="",0,IF(COUNTIF($K$4:K425,K425)=1,1,0))</f>
        <v>0</v>
      </c>
    </row>
    <row r="426" spans="1:12" x14ac:dyDescent="0.25">
      <c r="A426" s="3" t="s">
        <v>891</v>
      </c>
      <c r="B426" s="4" t="s">
        <v>892</v>
      </c>
      <c r="K426" t="s">
        <v>60</v>
      </c>
      <c r="L426">
        <f>IF(K426="",0,IF(COUNTIF($K$4:K426,K426)=1,1,0))</f>
        <v>0</v>
      </c>
    </row>
    <row r="427" spans="1:12" x14ac:dyDescent="0.25">
      <c r="A427" s="5" t="s">
        <v>893</v>
      </c>
      <c r="B427" s="6" t="s">
        <v>894</v>
      </c>
      <c r="K427" t="s">
        <v>768</v>
      </c>
      <c r="L427">
        <f>IF(K427="",0,IF(COUNTIF($K$4:K427,K427)=1,1,0))</f>
        <v>0</v>
      </c>
    </row>
    <row r="428" spans="1:12" x14ac:dyDescent="0.25">
      <c r="A428" s="3" t="s">
        <v>895</v>
      </c>
      <c r="B428" s="4" t="s">
        <v>896</v>
      </c>
      <c r="K428" t="s">
        <v>885</v>
      </c>
      <c r="L428">
        <f>IF(K428="",0,IF(COUNTIF($K$4:K428,K428)=1,1,0))</f>
        <v>0</v>
      </c>
    </row>
    <row r="429" spans="1:12" x14ac:dyDescent="0.25">
      <c r="A429" s="5" t="s">
        <v>897</v>
      </c>
      <c r="B429" s="6" t="s">
        <v>898</v>
      </c>
      <c r="K429" t="s">
        <v>885</v>
      </c>
      <c r="L429">
        <f>IF(K429="",0,IF(COUNTIF($K$4:K429,K429)=1,1,0))</f>
        <v>0</v>
      </c>
    </row>
    <row r="430" spans="1:12" x14ac:dyDescent="0.25">
      <c r="A430" s="3" t="s">
        <v>899</v>
      </c>
      <c r="B430" s="4" t="s">
        <v>900</v>
      </c>
      <c r="K430" t="s">
        <v>885</v>
      </c>
      <c r="L430">
        <f>IF(K430="",0,IF(COUNTIF($K$4:K430,K430)=1,1,0))</f>
        <v>0</v>
      </c>
    </row>
    <row r="431" spans="1:12" x14ac:dyDescent="0.25">
      <c r="A431" s="5" t="s">
        <v>901</v>
      </c>
      <c r="B431" s="6" t="s">
        <v>902</v>
      </c>
      <c r="K431" t="s">
        <v>60</v>
      </c>
      <c r="L431">
        <f>IF(K431="",0,IF(COUNTIF($K$4:K431,K431)=1,1,0))</f>
        <v>0</v>
      </c>
    </row>
    <row r="432" spans="1:12" x14ac:dyDescent="0.25">
      <c r="A432" s="3" t="s">
        <v>903</v>
      </c>
      <c r="B432" s="4" t="s">
        <v>904</v>
      </c>
      <c r="K432" t="s">
        <v>885</v>
      </c>
      <c r="L432">
        <f>IF(K432="",0,IF(COUNTIF($K$4:K432,K432)=1,1,0))</f>
        <v>0</v>
      </c>
    </row>
    <row r="433" spans="1:12" x14ac:dyDescent="0.25">
      <c r="A433" s="5" t="s">
        <v>905</v>
      </c>
      <c r="B433" s="6" t="s">
        <v>906</v>
      </c>
      <c r="K433" t="s">
        <v>885</v>
      </c>
      <c r="L433">
        <f>IF(K433="",0,IF(COUNTIF($K$4:K433,K433)=1,1,0))</f>
        <v>0</v>
      </c>
    </row>
    <row r="434" spans="1:12" x14ac:dyDescent="0.25">
      <c r="A434" s="3" t="s">
        <v>907</v>
      </c>
      <c r="B434" s="4" t="s">
        <v>908</v>
      </c>
      <c r="K434" t="s">
        <v>885</v>
      </c>
      <c r="L434">
        <f>IF(K434="",0,IF(COUNTIF($K$4:K434,K434)=1,1,0))</f>
        <v>0</v>
      </c>
    </row>
    <row r="435" spans="1:12" x14ac:dyDescent="0.25">
      <c r="A435" s="5" t="s">
        <v>909</v>
      </c>
      <c r="B435" s="6" t="s">
        <v>910</v>
      </c>
      <c r="K435" t="s">
        <v>911</v>
      </c>
      <c r="L435">
        <f>IF(K435="",0,IF(COUNTIF($K$4:K435,K435)=1,1,0))</f>
        <v>1</v>
      </c>
    </row>
    <row r="436" spans="1:12" x14ac:dyDescent="0.25">
      <c r="A436" s="3" t="s">
        <v>912</v>
      </c>
      <c r="B436" s="4" t="s">
        <v>913</v>
      </c>
      <c r="K436" t="s">
        <v>911</v>
      </c>
      <c r="L436">
        <f>IF(K436="",0,IF(COUNTIF($K$4:K436,K436)=1,1,0))</f>
        <v>0</v>
      </c>
    </row>
    <row r="437" spans="1:12" x14ac:dyDescent="0.25">
      <c r="A437" s="5" t="s">
        <v>914</v>
      </c>
      <c r="B437" s="6" t="s">
        <v>915</v>
      </c>
      <c r="K437" t="s">
        <v>911</v>
      </c>
      <c r="L437">
        <f>IF(K437="",0,IF(COUNTIF($K$4:K437,K437)=1,1,0))</f>
        <v>0</v>
      </c>
    </row>
    <row r="438" spans="1:12" x14ac:dyDescent="0.25">
      <c r="A438" s="3" t="s">
        <v>916</v>
      </c>
      <c r="B438" s="4" t="s">
        <v>917</v>
      </c>
      <c r="K438" t="s">
        <v>60</v>
      </c>
      <c r="L438">
        <f>IF(K438="",0,IF(COUNTIF($K$4:K438,K438)=1,1,0))</f>
        <v>0</v>
      </c>
    </row>
    <row r="439" spans="1:12" x14ac:dyDescent="0.25">
      <c r="A439" s="5" t="s">
        <v>918</v>
      </c>
      <c r="B439" s="6" t="s">
        <v>919</v>
      </c>
      <c r="K439" t="s">
        <v>768</v>
      </c>
      <c r="L439">
        <f>IF(K439="",0,IF(COUNTIF($K$4:K439,K439)=1,1,0))</f>
        <v>0</v>
      </c>
    </row>
    <row r="440" spans="1:12" x14ac:dyDescent="0.25">
      <c r="A440" s="3" t="s">
        <v>920</v>
      </c>
      <c r="B440" s="4" t="s">
        <v>921</v>
      </c>
      <c r="K440" t="s">
        <v>60</v>
      </c>
      <c r="L440">
        <f>IF(K440="",0,IF(COUNTIF($K$4:K440,K440)=1,1,0))</f>
        <v>0</v>
      </c>
    </row>
    <row r="441" spans="1:12" x14ac:dyDescent="0.25">
      <c r="A441" s="5" t="s">
        <v>922</v>
      </c>
      <c r="B441" s="6" t="s">
        <v>923</v>
      </c>
      <c r="K441" t="s">
        <v>60</v>
      </c>
      <c r="L441">
        <f>IF(K441="",0,IF(COUNTIF($K$4:K441,K441)=1,1,0))</f>
        <v>0</v>
      </c>
    </row>
    <row r="442" spans="1:12" x14ac:dyDescent="0.25">
      <c r="A442" s="3" t="s">
        <v>924</v>
      </c>
      <c r="B442" s="4" t="s">
        <v>925</v>
      </c>
      <c r="C442" t="s">
        <v>637</v>
      </c>
      <c r="D442" t="s">
        <v>14</v>
      </c>
      <c r="E442">
        <v>40</v>
      </c>
      <c r="F442">
        <v>25</v>
      </c>
      <c r="G442" t="s">
        <v>643</v>
      </c>
      <c r="K442" t="s">
        <v>60</v>
      </c>
      <c r="L442">
        <f>IF(K442="",0,IF(COUNTIF($K$4:K442,K442)=1,1,0))</f>
        <v>0</v>
      </c>
    </row>
    <row r="443" spans="1:12" x14ac:dyDescent="0.25">
      <c r="A443" s="5" t="s">
        <v>926</v>
      </c>
      <c r="B443" s="6" t="s">
        <v>927</v>
      </c>
      <c r="C443" t="s">
        <v>928</v>
      </c>
      <c r="D443" t="s">
        <v>14</v>
      </c>
      <c r="E443">
        <v>50</v>
      </c>
      <c r="G443" t="s">
        <v>112</v>
      </c>
      <c r="K443" t="s">
        <v>60</v>
      </c>
      <c r="L443">
        <f>IF(K443="",0,IF(COUNTIF($K$4:K443,K443)=1,1,0))</f>
        <v>0</v>
      </c>
    </row>
    <row r="444" spans="1:12" x14ac:dyDescent="0.25">
      <c r="A444" s="3" t="s">
        <v>929</v>
      </c>
      <c r="B444" s="4" t="s">
        <v>930</v>
      </c>
      <c r="C444" t="s">
        <v>928</v>
      </c>
      <c r="D444" t="s">
        <v>14</v>
      </c>
      <c r="E444">
        <v>65</v>
      </c>
      <c r="G444" t="s">
        <v>112</v>
      </c>
      <c r="K444" t="s">
        <v>60</v>
      </c>
      <c r="L444">
        <f>IF(K444="",0,IF(COUNTIF($K$4:K444,K444)=1,1,0))</f>
        <v>0</v>
      </c>
    </row>
    <row r="445" spans="1:12" x14ac:dyDescent="0.25">
      <c r="A445" s="5" t="s">
        <v>931</v>
      </c>
      <c r="B445" s="6" t="s">
        <v>932</v>
      </c>
      <c r="C445" t="s">
        <v>928</v>
      </c>
      <c r="D445" t="s">
        <v>14</v>
      </c>
      <c r="E445">
        <v>80</v>
      </c>
      <c r="G445" t="s">
        <v>112</v>
      </c>
      <c r="K445" t="s">
        <v>60</v>
      </c>
      <c r="L445">
        <f>IF(K445="",0,IF(COUNTIF($K$4:K445,K445)=1,1,0))</f>
        <v>0</v>
      </c>
    </row>
    <row r="446" spans="1:12" x14ac:dyDescent="0.25">
      <c r="A446" s="3" t="s">
        <v>933</v>
      </c>
      <c r="B446" s="4" t="s">
        <v>934</v>
      </c>
      <c r="C446" t="s">
        <v>935</v>
      </c>
      <c r="D446" t="s">
        <v>14</v>
      </c>
      <c r="E446">
        <v>50</v>
      </c>
      <c r="G446" t="s">
        <v>112</v>
      </c>
      <c r="K446" t="s">
        <v>60</v>
      </c>
      <c r="L446">
        <f>IF(K446="",0,IF(COUNTIF($K$4:K446,K446)=1,1,0))</f>
        <v>0</v>
      </c>
    </row>
    <row r="447" spans="1:12" x14ac:dyDescent="0.25">
      <c r="A447" s="5" t="s">
        <v>936</v>
      </c>
      <c r="B447" s="6" t="s">
        <v>937</v>
      </c>
      <c r="C447" t="s">
        <v>935</v>
      </c>
      <c r="D447" t="s">
        <v>14</v>
      </c>
      <c r="E447">
        <v>65</v>
      </c>
      <c r="G447" t="s">
        <v>112</v>
      </c>
      <c r="K447" t="s">
        <v>60</v>
      </c>
      <c r="L447">
        <f>IF(K447="",0,IF(COUNTIF($K$4:K447,K447)=1,1,0))</f>
        <v>0</v>
      </c>
    </row>
    <row r="448" spans="1:12" x14ac:dyDescent="0.25">
      <c r="A448" s="3" t="s">
        <v>938</v>
      </c>
      <c r="B448" s="4" t="s">
        <v>939</v>
      </c>
      <c r="C448" t="s">
        <v>935</v>
      </c>
      <c r="D448" t="s">
        <v>14</v>
      </c>
      <c r="E448">
        <v>80</v>
      </c>
      <c r="G448" t="s">
        <v>112</v>
      </c>
      <c r="K448" t="s">
        <v>60</v>
      </c>
      <c r="L448">
        <f>IF(K448="",0,IF(COUNTIF($K$4:K448,K448)=1,1,0))</f>
        <v>0</v>
      </c>
    </row>
    <row r="449" spans="1:12" x14ac:dyDescent="0.25">
      <c r="A449" s="5" t="s">
        <v>940</v>
      </c>
      <c r="B449" s="6" t="s">
        <v>941</v>
      </c>
      <c r="C449" t="s">
        <v>942</v>
      </c>
      <c r="D449" t="s">
        <v>14</v>
      </c>
      <c r="E449">
        <v>50</v>
      </c>
      <c r="G449" t="s">
        <v>943</v>
      </c>
      <c r="K449" t="s">
        <v>60</v>
      </c>
      <c r="L449">
        <f>IF(K449="",0,IF(COUNTIF($K$4:K449,K449)=1,1,0))</f>
        <v>0</v>
      </c>
    </row>
    <row r="450" spans="1:12" x14ac:dyDescent="0.25">
      <c r="A450" s="3" t="s">
        <v>944</v>
      </c>
      <c r="B450" s="4" t="s">
        <v>945</v>
      </c>
      <c r="C450" t="s">
        <v>942</v>
      </c>
      <c r="D450" t="s">
        <v>14</v>
      </c>
      <c r="E450">
        <v>65</v>
      </c>
      <c r="G450" t="s">
        <v>943</v>
      </c>
      <c r="K450" t="s">
        <v>60</v>
      </c>
      <c r="L450">
        <f>IF(K450="",0,IF(COUNTIF($K$4:K450,K450)=1,1,0))</f>
        <v>0</v>
      </c>
    </row>
    <row r="451" spans="1:12" x14ac:dyDescent="0.25">
      <c r="A451" s="5" t="s">
        <v>946</v>
      </c>
      <c r="B451" s="6" t="s">
        <v>947</v>
      </c>
      <c r="C451" t="s">
        <v>942</v>
      </c>
      <c r="D451" t="s">
        <v>14</v>
      </c>
      <c r="E451">
        <v>80</v>
      </c>
      <c r="G451" t="s">
        <v>943</v>
      </c>
      <c r="K451" t="s">
        <v>60</v>
      </c>
      <c r="L451">
        <f>IF(K451="",0,IF(COUNTIF($K$4:K451,K451)=1,1,0))</f>
        <v>0</v>
      </c>
    </row>
    <row r="452" spans="1:12" x14ac:dyDescent="0.25">
      <c r="A452" s="3" t="s">
        <v>948</v>
      </c>
      <c r="B452" s="4" t="s">
        <v>949</v>
      </c>
      <c r="K452" t="s">
        <v>60</v>
      </c>
      <c r="L452">
        <f>IF(K452="",0,IF(COUNTIF($K$4:K452,K452)=1,1,0))</f>
        <v>0</v>
      </c>
    </row>
    <row r="453" spans="1:12" x14ac:dyDescent="0.25">
      <c r="A453" s="5" t="s">
        <v>950</v>
      </c>
      <c r="B453" s="6" t="s">
        <v>951</v>
      </c>
      <c r="L453">
        <f>IF(K453="",0,IF(COUNTIF($K$4:K453,K453)=1,1,0))</f>
        <v>0</v>
      </c>
    </row>
    <row r="454" spans="1:12" x14ac:dyDescent="0.25">
      <c r="A454" s="3" t="s">
        <v>952</v>
      </c>
      <c r="B454" s="4" t="s">
        <v>953</v>
      </c>
      <c r="L454">
        <f>IF(K454="",0,IF(COUNTIF($K$4:K454,K454)=1,1,0))</f>
        <v>0</v>
      </c>
    </row>
    <row r="455" spans="1:12" x14ac:dyDescent="0.25">
      <c r="A455" s="5" t="s">
        <v>954</v>
      </c>
      <c r="B455" s="6" t="s">
        <v>955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3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16" sqref="E16"/>
    </sheetView>
  </sheetViews>
  <sheetFormatPr baseColWidth="10" defaultColWidth="8.5703125" defaultRowHeight="15" x14ac:dyDescent="0.25"/>
  <cols>
    <col min="1" max="1" width="6.140625" customWidth="1"/>
    <col min="2" max="2" width="33.28515625" customWidth="1"/>
    <col min="3" max="3" width="40" customWidth="1"/>
    <col min="4" max="4" width="13.7109375" customWidth="1"/>
    <col min="5" max="5" width="40" customWidth="1"/>
    <col min="6" max="6" width="13.7109375" customWidth="1"/>
    <col min="7" max="7" width="40" customWidth="1"/>
    <col min="8" max="8" width="13.7109375" customWidth="1"/>
    <col min="9" max="9" width="40" customWidth="1"/>
    <col min="10" max="10" width="13.7109375" customWidth="1"/>
    <col min="11" max="11" width="40" customWidth="1"/>
    <col min="12" max="12" width="13.7109375" customWidth="1"/>
    <col min="13" max="13" width="40" customWidth="1"/>
    <col min="14" max="14" width="13.7109375" customWidth="1"/>
  </cols>
  <sheetData>
    <row r="1" spans="1:14" ht="27.75" customHeight="1" x14ac:dyDescent="0.25">
      <c r="A1" s="57" t="s">
        <v>1134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33.75" customHeight="1" x14ac:dyDescent="0.25">
      <c r="A2" s="126" t="s">
        <v>1135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21.75" customHeight="1" x14ac:dyDescent="0.25">
      <c r="A3" s="81" t="s">
        <v>1136</v>
      </c>
      <c r="B3" s="82" t="s">
        <v>1137</v>
      </c>
      <c r="C3" s="82" t="s">
        <v>1138</v>
      </c>
      <c r="D3" s="82" t="s">
        <v>1139</v>
      </c>
      <c r="E3" s="82" t="s">
        <v>1140</v>
      </c>
      <c r="F3" s="82" t="s">
        <v>1141</v>
      </c>
      <c r="G3" s="82" t="s">
        <v>1142</v>
      </c>
      <c r="H3" s="82" t="s">
        <v>1143</v>
      </c>
      <c r="I3" s="82" t="s">
        <v>1144</v>
      </c>
      <c r="J3" s="82" t="s">
        <v>1145</v>
      </c>
      <c r="K3" s="82" t="s">
        <v>1146</v>
      </c>
      <c r="L3" s="82" t="s">
        <v>1147</v>
      </c>
      <c r="M3" s="82" t="s">
        <v>1148</v>
      </c>
      <c r="N3" s="83" t="s">
        <v>1149</v>
      </c>
    </row>
    <row r="4" spans="1:14" ht="18" customHeight="1" x14ac:dyDescent="0.25">
      <c r="A4" s="84">
        <v>1</v>
      </c>
      <c r="B4" s="85" t="s">
        <v>1150</v>
      </c>
      <c r="C4" s="85" t="s">
        <v>568</v>
      </c>
      <c r="D4" s="16">
        <v>1</v>
      </c>
      <c r="E4" s="85" t="s">
        <v>951</v>
      </c>
      <c r="F4" s="16">
        <v>1</v>
      </c>
      <c r="G4" s="85" t="s">
        <v>574</v>
      </c>
      <c r="H4" s="16">
        <v>2</v>
      </c>
      <c r="I4" s="85" t="s">
        <v>542</v>
      </c>
      <c r="J4" s="16">
        <v>2</v>
      </c>
      <c r="K4" s="85"/>
      <c r="L4" s="16"/>
      <c r="M4" s="85"/>
      <c r="N4" s="66"/>
    </row>
    <row r="5" spans="1:14" ht="18" customHeight="1" x14ac:dyDescent="0.25">
      <c r="A5" s="84">
        <v>2</v>
      </c>
      <c r="B5" s="85" t="s">
        <v>977</v>
      </c>
      <c r="C5" s="85" t="s">
        <v>546</v>
      </c>
      <c r="D5" s="16">
        <v>1</v>
      </c>
      <c r="E5" s="85" t="s">
        <v>951</v>
      </c>
      <c r="F5" s="16">
        <v>1</v>
      </c>
      <c r="G5" s="85" t="s">
        <v>574</v>
      </c>
      <c r="H5" s="16">
        <v>2</v>
      </c>
      <c r="I5" s="85" t="s">
        <v>542</v>
      </c>
      <c r="J5" s="16">
        <v>2</v>
      </c>
      <c r="K5" s="85" t="s">
        <v>586</v>
      </c>
      <c r="L5" s="16">
        <v>1</v>
      </c>
      <c r="M5" s="85"/>
      <c r="N5" s="66"/>
    </row>
    <row r="6" spans="1:14" ht="18" customHeight="1" x14ac:dyDescent="0.25">
      <c r="A6" s="84">
        <v>3</v>
      </c>
      <c r="B6" s="85" t="s">
        <v>996</v>
      </c>
      <c r="C6" s="85" t="s">
        <v>546</v>
      </c>
      <c r="D6" s="16">
        <v>1</v>
      </c>
      <c r="E6" s="85" t="s">
        <v>951</v>
      </c>
      <c r="F6" s="16">
        <v>1</v>
      </c>
      <c r="G6" s="85" t="s">
        <v>574</v>
      </c>
      <c r="H6" s="16">
        <v>2</v>
      </c>
      <c r="I6" s="85" t="s">
        <v>542</v>
      </c>
      <c r="J6" s="16">
        <v>2</v>
      </c>
      <c r="K6" s="85" t="s">
        <v>921</v>
      </c>
      <c r="L6" s="16">
        <v>1</v>
      </c>
      <c r="M6" s="85"/>
      <c r="N6" s="66"/>
    </row>
    <row r="7" spans="1:14" ht="18" customHeight="1" x14ac:dyDescent="0.25">
      <c r="A7" s="84">
        <v>4</v>
      </c>
      <c r="B7" s="85" t="s">
        <v>980</v>
      </c>
      <c r="C7" s="85" t="s">
        <v>568</v>
      </c>
      <c r="D7" s="16">
        <v>1</v>
      </c>
      <c r="E7" s="85" t="s">
        <v>953</v>
      </c>
      <c r="F7" s="16">
        <v>1</v>
      </c>
      <c r="G7" s="85" t="s">
        <v>574</v>
      </c>
      <c r="H7" s="16">
        <v>0.5</v>
      </c>
      <c r="I7" s="85" t="s">
        <v>542</v>
      </c>
      <c r="J7" s="16">
        <v>2</v>
      </c>
      <c r="K7" s="85"/>
      <c r="L7" s="16"/>
      <c r="M7" s="85"/>
      <c r="N7" s="66"/>
    </row>
    <row r="8" spans="1:14" ht="18" customHeight="1" x14ac:dyDescent="0.25">
      <c r="A8" s="84">
        <v>5</v>
      </c>
      <c r="B8" s="85"/>
      <c r="C8" s="85"/>
      <c r="D8" s="16"/>
      <c r="E8" s="85"/>
      <c r="F8" s="16"/>
      <c r="G8" s="85"/>
      <c r="H8" s="16"/>
      <c r="I8" s="85"/>
      <c r="J8" s="16"/>
      <c r="K8" s="85"/>
      <c r="L8" s="16"/>
      <c r="M8" s="85"/>
      <c r="N8" s="66"/>
    </row>
    <row r="9" spans="1:14" ht="18" customHeight="1" x14ac:dyDescent="0.25">
      <c r="A9" s="84">
        <v>6</v>
      </c>
      <c r="B9" s="85"/>
      <c r="C9" s="85"/>
      <c r="D9" s="16"/>
      <c r="E9" s="85"/>
      <c r="F9" s="16"/>
      <c r="G9" s="85"/>
      <c r="H9" s="16"/>
      <c r="I9" s="85"/>
      <c r="J9" s="16"/>
      <c r="K9" s="85"/>
      <c r="L9" s="16"/>
      <c r="M9" s="85"/>
      <c r="N9" s="66"/>
    </row>
    <row r="10" spans="1:14" ht="18" customHeight="1" x14ac:dyDescent="0.25">
      <c r="A10" s="84">
        <v>7</v>
      </c>
      <c r="B10" s="85"/>
      <c r="C10" s="85"/>
      <c r="D10" s="16"/>
      <c r="E10" s="85"/>
      <c r="F10" s="16"/>
      <c r="G10" s="85"/>
      <c r="H10" s="16"/>
      <c r="I10" s="85"/>
      <c r="J10" s="16"/>
      <c r="K10" s="85"/>
      <c r="L10" s="16"/>
      <c r="M10" s="85"/>
      <c r="N10" s="66"/>
    </row>
    <row r="11" spans="1:14" ht="18" customHeight="1" x14ac:dyDescent="0.25">
      <c r="A11" s="84">
        <v>8</v>
      </c>
      <c r="B11" s="85"/>
      <c r="C11" s="85"/>
      <c r="D11" s="16"/>
      <c r="E11" s="85"/>
      <c r="F11" s="16"/>
      <c r="G11" s="85"/>
      <c r="H11" s="16"/>
      <c r="I11" s="85"/>
      <c r="J11" s="16"/>
      <c r="K11" s="85"/>
      <c r="L11" s="16"/>
      <c r="M11" s="85"/>
      <c r="N11" s="66"/>
    </row>
    <row r="12" spans="1:14" ht="18" customHeight="1" x14ac:dyDescent="0.25">
      <c r="A12" s="84">
        <v>9</v>
      </c>
      <c r="B12" s="85"/>
      <c r="C12" s="85"/>
      <c r="D12" s="16"/>
      <c r="E12" s="85"/>
      <c r="F12" s="16"/>
      <c r="G12" s="85"/>
      <c r="H12" s="16"/>
      <c r="I12" s="85"/>
      <c r="J12" s="16"/>
      <c r="K12" s="85"/>
      <c r="L12" s="16"/>
      <c r="M12" s="85"/>
      <c r="N12" s="66"/>
    </row>
    <row r="13" spans="1:14" ht="18" customHeight="1" x14ac:dyDescent="0.25">
      <c r="A13" s="84">
        <v>10</v>
      </c>
      <c r="B13" s="85"/>
      <c r="C13" s="85"/>
      <c r="D13" s="16"/>
      <c r="E13" s="85"/>
      <c r="F13" s="16"/>
      <c r="G13" s="85"/>
      <c r="H13" s="16"/>
      <c r="I13" s="85"/>
      <c r="J13" s="16"/>
      <c r="K13" s="85"/>
      <c r="L13" s="16"/>
      <c r="M13" s="85"/>
      <c r="N13" s="66"/>
    </row>
    <row r="14" spans="1:14" ht="18" customHeight="1" x14ac:dyDescent="0.25">
      <c r="A14" s="84">
        <v>11</v>
      </c>
      <c r="B14" s="85"/>
      <c r="C14" s="85"/>
      <c r="D14" s="16"/>
      <c r="E14" s="85"/>
      <c r="F14" s="16"/>
      <c r="G14" s="85"/>
      <c r="H14" s="16"/>
      <c r="I14" s="85"/>
      <c r="J14" s="16"/>
      <c r="K14" s="85"/>
      <c r="L14" s="16"/>
      <c r="M14" s="85"/>
      <c r="N14" s="66"/>
    </row>
    <row r="15" spans="1:14" ht="18" customHeight="1" x14ac:dyDescent="0.25">
      <c r="A15" s="84">
        <v>12</v>
      </c>
      <c r="B15" s="85"/>
      <c r="C15" s="85"/>
      <c r="D15" s="16"/>
      <c r="E15" s="85"/>
      <c r="F15" s="16"/>
      <c r="G15" s="85"/>
      <c r="H15" s="16"/>
      <c r="I15" s="85"/>
      <c r="J15" s="16"/>
      <c r="K15" s="85"/>
      <c r="L15" s="16"/>
      <c r="M15" s="85"/>
      <c r="N15" s="66"/>
    </row>
    <row r="16" spans="1:14" ht="18" customHeight="1" x14ac:dyDescent="0.25">
      <c r="A16" s="84">
        <v>13</v>
      </c>
      <c r="B16" s="85"/>
      <c r="C16" s="85"/>
      <c r="D16" s="16"/>
      <c r="E16" s="85"/>
      <c r="F16" s="16"/>
      <c r="G16" s="85"/>
      <c r="H16" s="16"/>
      <c r="I16" s="85"/>
      <c r="J16" s="16"/>
      <c r="K16" s="85"/>
      <c r="L16" s="16"/>
      <c r="M16" s="85"/>
      <c r="N16" s="66"/>
    </row>
    <row r="17" spans="1:14" ht="18" customHeight="1" x14ac:dyDescent="0.25">
      <c r="A17" s="84">
        <v>14</v>
      </c>
      <c r="B17" s="85"/>
      <c r="C17" s="85"/>
      <c r="D17" s="16"/>
      <c r="E17" s="85"/>
      <c r="F17" s="16"/>
      <c r="G17" s="85"/>
      <c r="H17" s="16"/>
      <c r="I17" s="85"/>
      <c r="J17" s="16"/>
      <c r="K17" s="85"/>
      <c r="L17" s="16"/>
      <c r="M17" s="85"/>
      <c r="N17" s="66"/>
    </row>
    <row r="18" spans="1:14" ht="18" customHeight="1" x14ac:dyDescent="0.25">
      <c r="A18" s="84">
        <v>15</v>
      </c>
      <c r="B18" s="85"/>
      <c r="C18" s="85"/>
      <c r="D18" s="16"/>
      <c r="E18" s="85"/>
      <c r="F18" s="16"/>
      <c r="G18" s="85"/>
      <c r="H18" s="16"/>
      <c r="I18" s="85"/>
      <c r="J18" s="16"/>
      <c r="K18" s="85"/>
      <c r="L18" s="16"/>
      <c r="M18" s="85"/>
      <c r="N18" s="66"/>
    </row>
    <row r="19" spans="1:14" ht="18" customHeight="1" x14ac:dyDescent="0.25">
      <c r="A19" s="84">
        <v>16</v>
      </c>
      <c r="B19" s="85"/>
      <c r="C19" s="85"/>
      <c r="D19" s="16"/>
      <c r="E19" s="85"/>
      <c r="F19" s="16"/>
      <c r="G19" s="85"/>
      <c r="H19" s="16"/>
      <c r="I19" s="85"/>
      <c r="J19" s="16"/>
      <c r="K19" s="85"/>
      <c r="L19" s="16"/>
      <c r="M19" s="85"/>
      <c r="N19" s="66"/>
    </row>
    <row r="20" spans="1:14" ht="18" customHeight="1" x14ac:dyDescent="0.25">
      <c r="A20" s="84">
        <v>17</v>
      </c>
      <c r="B20" s="85"/>
      <c r="C20" s="85"/>
      <c r="D20" s="16"/>
      <c r="E20" s="85"/>
      <c r="F20" s="16"/>
      <c r="G20" s="85"/>
      <c r="H20" s="16"/>
      <c r="I20" s="85"/>
      <c r="J20" s="16"/>
      <c r="K20" s="85"/>
      <c r="L20" s="16"/>
      <c r="M20" s="85"/>
      <c r="N20" s="66"/>
    </row>
    <row r="21" spans="1:14" ht="18" customHeight="1" x14ac:dyDescent="0.25">
      <c r="A21" s="84">
        <v>18</v>
      </c>
      <c r="B21" s="85"/>
      <c r="C21" s="85"/>
      <c r="D21" s="16"/>
      <c r="E21" s="85"/>
      <c r="F21" s="16"/>
      <c r="G21" s="85"/>
      <c r="H21" s="16"/>
      <c r="I21" s="85"/>
      <c r="J21" s="16"/>
      <c r="K21" s="85"/>
      <c r="L21" s="16"/>
      <c r="M21" s="85"/>
      <c r="N21" s="66"/>
    </row>
    <row r="22" spans="1:14" ht="18" customHeight="1" x14ac:dyDescent="0.25">
      <c r="A22" s="84">
        <v>19</v>
      </c>
      <c r="B22" s="85"/>
      <c r="C22" s="85"/>
      <c r="D22" s="16"/>
      <c r="E22" s="85"/>
      <c r="F22" s="16"/>
      <c r="G22" s="85"/>
      <c r="H22" s="16"/>
      <c r="I22" s="85"/>
      <c r="J22" s="16"/>
      <c r="K22" s="85"/>
      <c r="L22" s="16"/>
      <c r="M22" s="85"/>
      <c r="N22" s="66"/>
    </row>
    <row r="23" spans="1:14" ht="18" customHeight="1" x14ac:dyDescent="0.25">
      <c r="A23" s="86">
        <v>20</v>
      </c>
      <c r="B23" s="87"/>
      <c r="C23" s="87"/>
      <c r="D23" s="88"/>
      <c r="E23" s="87"/>
      <c r="F23" s="88"/>
      <c r="G23" s="87"/>
      <c r="H23" s="88"/>
      <c r="I23" s="87"/>
      <c r="J23" s="88"/>
      <c r="K23" s="87"/>
      <c r="L23" s="88"/>
      <c r="M23" s="87"/>
      <c r="N23" s="89"/>
    </row>
  </sheetData>
  <sheetProtection algorithmName="SHA-512" hashValue="S0w+pJfnHOa/SUc2ZxCH6nP+FMLCr6Ob0fe44upK1cBqPOnbxvL1es+fj27A9E8mJ5QRQC1CZI97kbfaR1WSqA==" saltValue="FVrsr3pqh3w40xIlyL2FDQ==" spinCount="100000" sheet="1" objects="1" scenarios="1"/>
  <mergeCells count="1"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showGridLines="0" tabSelected="1" zoomScale="145" zoomScaleNormal="145" workbookViewId="0">
      <pane xSplit="2" ySplit="2" topLeftCell="C3" activePane="bottomRight" state="frozen"/>
      <selection pane="topRight" activeCell="C1" sqref="C1"/>
      <selection pane="bottomLeft" activeCell="A21" sqref="A21"/>
      <selection pane="bottomRight" activeCell="D48" sqref="D48"/>
    </sheetView>
  </sheetViews>
  <sheetFormatPr baseColWidth="10" defaultColWidth="10.5703125" defaultRowHeight="15" x14ac:dyDescent="0.25"/>
  <cols>
    <col min="1" max="2" width="3" customWidth="1"/>
    <col min="3" max="3" width="36.140625" customWidth="1"/>
    <col min="4" max="4" width="22.42578125" customWidth="1"/>
    <col min="5" max="5" width="1.7109375" customWidth="1"/>
    <col min="6" max="6" width="22.42578125" customWidth="1"/>
    <col min="7" max="7" width="1.7109375" customWidth="1"/>
    <col min="8" max="8" width="22.42578125" customWidth="1"/>
    <col min="9" max="9" width="1.7109375" customWidth="1"/>
    <col min="10" max="10" width="22.42578125" customWidth="1"/>
  </cols>
  <sheetData>
    <row r="1" spans="1:10" ht="15.75" customHeight="1" x14ac:dyDescent="0.25">
      <c r="A1" s="7"/>
      <c r="B1" s="7"/>
      <c r="C1" s="8" t="s">
        <v>956</v>
      </c>
      <c r="D1" s="9"/>
      <c r="E1" s="9"/>
      <c r="F1" s="9"/>
      <c r="G1" s="9"/>
      <c r="H1" s="9"/>
      <c r="I1" s="9"/>
      <c r="J1" s="9"/>
    </row>
    <row r="2" spans="1:10" ht="33.75" customHeight="1" x14ac:dyDescent="0.25">
      <c r="A2" s="7"/>
      <c r="B2" s="7"/>
      <c r="C2" s="132" t="s">
        <v>957</v>
      </c>
      <c r="D2" s="132"/>
      <c r="E2" s="132"/>
      <c r="F2" s="132"/>
      <c r="G2" s="132"/>
      <c r="H2" s="132"/>
      <c r="I2" s="132"/>
      <c r="J2" s="132"/>
    </row>
    <row r="3" spans="1:10" ht="18" customHeight="1" x14ac:dyDescent="0.25">
      <c r="A3" s="7"/>
      <c r="B3" s="7"/>
      <c r="C3" s="133" t="s">
        <v>958</v>
      </c>
      <c r="D3" s="10" t="s">
        <v>959</v>
      </c>
      <c r="E3" s="11"/>
      <c r="F3" s="12" t="s">
        <v>960</v>
      </c>
      <c r="G3" s="11"/>
      <c r="H3" s="13" t="s">
        <v>961</v>
      </c>
      <c r="I3" s="14"/>
      <c r="J3" s="15"/>
    </row>
    <row r="4" spans="1:10" ht="18" customHeight="1" x14ac:dyDescent="0.25">
      <c r="A4" s="7"/>
      <c r="B4" s="7"/>
      <c r="C4" s="133"/>
      <c r="D4" s="16"/>
      <c r="E4" s="17"/>
      <c r="F4" s="18"/>
      <c r="G4" s="17"/>
      <c r="H4" s="16"/>
      <c r="I4" s="19"/>
      <c r="J4" s="15"/>
    </row>
    <row r="5" spans="1:10" ht="18" customHeight="1" x14ac:dyDescent="0.25">
      <c r="A5" s="7"/>
      <c r="B5" s="7"/>
      <c r="C5" s="134" t="s">
        <v>962</v>
      </c>
      <c r="D5" s="20" t="s">
        <v>961</v>
      </c>
      <c r="E5" s="17"/>
      <c r="F5" s="21" t="s">
        <v>963</v>
      </c>
      <c r="G5" s="19"/>
      <c r="H5" s="22"/>
      <c r="I5" s="7"/>
      <c r="J5" s="15"/>
    </row>
    <row r="6" spans="1:10" ht="18" customHeight="1" x14ac:dyDescent="0.25">
      <c r="A6" s="7"/>
      <c r="B6" s="7"/>
      <c r="C6" s="134"/>
      <c r="D6" s="16"/>
      <c r="E6" s="17"/>
      <c r="F6" s="16"/>
      <c r="G6" s="19"/>
      <c r="H6" s="7"/>
      <c r="I6" s="7"/>
      <c r="J6" s="15"/>
    </row>
    <row r="7" spans="1:10" ht="7.5" customHeight="1" x14ac:dyDescent="0.25">
      <c r="A7" s="7"/>
      <c r="B7" s="7"/>
      <c r="C7" s="23"/>
      <c r="D7" s="7"/>
      <c r="E7" s="7"/>
      <c r="F7" s="7"/>
      <c r="G7" s="7"/>
      <c r="H7" s="7"/>
      <c r="I7" s="7"/>
      <c r="J7" s="15"/>
    </row>
    <row r="8" spans="1:10" ht="21.75" customHeight="1" x14ac:dyDescent="0.25">
      <c r="A8" s="7"/>
      <c r="B8" s="7"/>
      <c r="C8" s="24" t="s">
        <v>964</v>
      </c>
      <c r="D8" s="25" t="s">
        <v>965</v>
      </c>
      <c r="E8" s="17"/>
      <c r="F8" s="26" t="s">
        <v>966</v>
      </c>
      <c r="G8" s="17"/>
      <c r="H8" s="26" t="s">
        <v>967</v>
      </c>
      <c r="I8" s="17"/>
      <c r="J8" s="27" t="s">
        <v>968</v>
      </c>
    </row>
    <row r="9" spans="1:10" ht="18" customHeight="1" x14ac:dyDescent="0.25">
      <c r="A9" s="7"/>
      <c r="B9" s="127" t="s">
        <v>969</v>
      </c>
      <c r="C9" s="28" t="s">
        <v>970</v>
      </c>
      <c r="D9" s="29"/>
      <c r="E9" s="17"/>
      <c r="F9" s="30"/>
      <c r="G9" s="17"/>
      <c r="H9" s="31"/>
      <c r="I9" s="17"/>
      <c r="J9" s="32"/>
    </row>
    <row r="10" spans="1:10" ht="18" customHeight="1" x14ac:dyDescent="0.25">
      <c r="A10" s="7"/>
      <c r="B10" s="127"/>
      <c r="C10" s="28" t="s">
        <v>971</v>
      </c>
      <c r="D10" s="33"/>
      <c r="E10" s="17"/>
      <c r="F10" s="34"/>
      <c r="G10" s="17"/>
      <c r="H10" s="35"/>
      <c r="I10" s="17"/>
      <c r="J10" s="36"/>
    </row>
    <row r="11" spans="1:10" ht="18" customHeight="1" x14ac:dyDescent="0.25">
      <c r="A11" s="7"/>
      <c r="B11" s="127"/>
      <c r="C11" s="28" t="s">
        <v>972</v>
      </c>
      <c r="D11" s="33"/>
      <c r="E11" s="17"/>
      <c r="F11" s="34"/>
      <c r="G11" s="17"/>
      <c r="H11" s="35"/>
      <c r="I11" s="17"/>
      <c r="J11" s="36"/>
    </row>
    <row r="12" spans="1:10" ht="18" customHeight="1" x14ac:dyDescent="0.25">
      <c r="A12" s="7"/>
      <c r="B12" s="127"/>
      <c r="C12" s="28" t="s">
        <v>973</v>
      </c>
      <c r="D12" s="33"/>
      <c r="E12" s="17"/>
      <c r="F12" s="34"/>
      <c r="G12" s="17"/>
      <c r="H12" s="35"/>
      <c r="I12" s="17"/>
      <c r="J12" s="36"/>
    </row>
    <row r="13" spans="1:10" ht="18" customHeight="1" x14ac:dyDescent="0.25">
      <c r="A13" s="7"/>
      <c r="B13" s="127"/>
      <c r="C13" s="28" t="s">
        <v>974</v>
      </c>
      <c r="D13" s="33"/>
      <c r="E13" s="17"/>
      <c r="F13" s="34"/>
      <c r="G13" s="17"/>
      <c r="H13" s="35"/>
      <c r="I13" s="17"/>
      <c r="J13" s="36"/>
    </row>
    <row r="14" spans="1:10" ht="18" customHeight="1" x14ac:dyDescent="0.25">
      <c r="A14" s="7"/>
      <c r="B14" s="135" t="s">
        <v>975</v>
      </c>
      <c r="C14" s="28" t="s">
        <v>976</v>
      </c>
      <c r="D14" s="33"/>
      <c r="E14" s="17"/>
      <c r="F14" s="34"/>
      <c r="G14" s="17"/>
      <c r="H14" s="35"/>
      <c r="I14" s="17"/>
      <c r="J14" s="36"/>
    </row>
    <row r="15" spans="1:10" ht="18" customHeight="1" x14ac:dyDescent="0.25">
      <c r="A15" s="7"/>
      <c r="B15" s="135"/>
      <c r="C15" s="28" t="s">
        <v>978</v>
      </c>
      <c r="D15" s="33"/>
      <c r="E15" s="17"/>
      <c r="F15" s="34"/>
      <c r="G15" s="17"/>
      <c r="H15" s="35"/>
      <c r="I15" s="17"/>
      <c r="J15" s="36"/>
    </row>
    <row r="16" spans="1:10" ht="18" customHeight="1" x14ac:dyDescent="0.25">
      <c r="A16" s="7"/>
      <c r="B16" s="135"/>
      <c r="C16" s="28" t="s">
        <v>979</v>
      </c>
      <c r="D16" s="33"/>
      <c r="E16" s="17"/>
      <c r="F16" s="34"/>
      <c r="G16" s="17"/>
      <c r="H16" s="35"/>
      <c r="I16" s="17"/>
      <c r="J16" s="36"/>
    </row>
    <row r="17" spans="1:10" ht="18" customHeight="1" x14ac:dyDescent="0.25">
      <c r="A17" s="7"/>
      <c r="B17" s="135"/>
      <c r="C17" s="28" t="s">
        <v>981</v>
      </c>
      <c r="D17" s="33"/>
      <c r="E17" s="17"/>
      <c r="F17" s="34"/>
      <c r="G17" s="17"/>
      <c r="H17" s="35"/>
      <c r="I17" s="17"/>
      <c r="J17" s="36"/>
    </row>
    <row r="18" spans="1:10" ht="18" customHeight="1" x14ac:dyDescent="0.25">
      <c r="A18" s="7"/>
      <c r="B18" s="135"/>
      <c r="C18" s="28" t="s">
        <v>982</v>
      </c>
      <c r="D18" s="33"/>
      <c r="E18" s="17"/>
      <c r="F18" s="34"/>
      <c r="G18" s="17"/>
      <c r="H18" s="35"/>
      <c r="I18" s="17"/>
      <c r="J18" s="36"/>
    </row>
    <row r="19" spans="1:10" ht="18" customHeight="1" x14ac:dyDescent="0.25">
      <c r="A19" s="7"/>
      <c r="B19" s="135"/>
      <c r="C19" s="28" t="s">
        <v>983</v>
      </c>
      <c r="D19" s="33"/>
      <c r="E19" s="17"/>
      <c r="F19" s="34"/>
      <c r="G19" s="17"/>
      <c r="H19" s="35"/>
      <c r="I19" s="17"/>
      <c r="J19" s="36"/>
    </row>
    <row r="20" spans="1:10" ht="7.5" customHeight="1" x14ac:dyDescent="0.25">
      <c r="A20" s="7"/>
      <c r="B20" s="7"/>
      <c r="C20" s="23"/>
      <c r="D20" s="7"/>
      <c r="E20" s="7"/>
      <c r="F20" s="7"/>
      <c r="G20" s="7"/>
      <c r="H20" s="7"/>
      <c r="I20" s="7"/>
      <c r="J20" s="15"/>
    </row>
    <row r="21" spans="1:10" ht="21.75" customHeight="1" x14ac:dyDescent="0.25">
      <c r="A21" s="7"/>
      <c r="B21" s="7"/>
      <c r="C21" s="24" t="s">
        <v>984</v>
      </c>
      <c r="D21" s="25" t="s">
        <v>965</v>
      </c>
      <c r="E21" s="17"/>
      <c r="F21" s="26" t="s">
        <v>966</v>
      </c>
      <c r="G21" s="17"/>
      <c r="H21" s="26" t="s">
        <v>967</v>
      </c>
      <c r="I21" s="17"/>
      <c r="J21" s="27" t="s">
        <v>968</v>
      </c>
    </row>
    <row r="22" spans="1:10" ht="18" customHeight="1" x14ac:dyDescent="0.25">
      <c r="A22" s="7"/>
      <c r="B22" s="127" t="s">
        <v>969</v>
      </c>
      <c r="C22" s="28" t="s">
        <v>970</v>
      </c>
      <c r="D22" s="33"/>
      <c r="E22" s="17"/>
      <c r="F22" s="35"/>
      <c r="G22" s="17"/>
      <c r="H22" s="35"/>
      <c r="I22" s="17"/>
      <c r="J22" s="36"/>
    </row>
    <row r="23" spans="1:10" ht="18" customHeight="1" x14ac:dyDescent="0.25">
      <c r="A23" s="7"/>
      <c r="B23" s="127"/>
      <c r="C23" s="28" t="s">
        <v>985</v>
      </c>
      <c r="D23" s="33"/>
      <c r="E23" s="17"/>
      <c r="F23" s="35"/>
      <c r="G23" s="17"/>
      <c r="H23" s="35"/>
      <c r="I23" s="17"/>
      <c r="J23" s="36"/>
    </row>
    <row r="24" spans="1:10" ht="18" customHeight="1" x14ac:dyDescent="0.25">
      <c r="A24" s="7"/>
      <c r="B24" s="127"/>
      <c r="C24" s="28" t="s">
        <v>974</v>
      </c>
      <c r="D24" s="37"/>
      <c r="E24" s="17"/>
      <c r="F24" s="38"/>
      <c r="G24" s="17"/>
      <c r="H24" s="38"/>
      <c r="I24" s="17"/>
      <c r="J24" s="39"/>
    </row>
    <row r="25" spans="1:10" ht="18" customHeight="1" x14ac:dyDescent="0.25">
      <c r="A25" s="7"/>
      <c r="B25" s="127"/>
      <c r="C25" s="28" t="s">
        <v>986</v>
      </c>
      <c r="D25" s="33"/>
      <c r="E25" s="17"/>
      <c r="F25" s="35"/>
      <c r="G25" s="17"/>
      <c r="H25" s="35"/>
      <c r="I25" s="17"/>
      <c r="J25" s="36"/>
    </row>
    <row r="26" spans="1:10" ht="18" customHeight="1" x14ac:dyDescent="0.25">
      <c r="A26" s="7"/>
      <c r="B26" s="127"/>
      <c r="C26" s="28" t="s">
        <v>987</v>
      </c>
      <c r="D26" s="33"/>
      <c r="E26" s="17"/>
      <c r="F26" s="35"/>
      <c r="G26" s="17"/>
      <c r="H26" s="35"/>
      <c r="I26" s="17"/>
      <c r="J26" s="36"/>
    </row>
    <row r="27" spans="1:10" ht="18" customHeight="1" x14ac:dyDescent="0.25">
      <c r="A27" s="7"/>
      <c r="B27" s="127"/>
      <c r="C27" s="40" t="s">
        <v>988</v>
      </c>
      <c r="D27" s="41"/>
      <c r="E27" s="17"/>
      <c r="F27" s="42"/>
      <c r="G27" s="17"/>
      <c r="H27" s="42"/>
      <c r="I27" s="17"/>
      <c r="J27" s="43"/>
    </row>
    <row r="28" spans="1:10" ht="18" customHeight="1" thickBot="1" x14ac:dyDescent="0.3">
      <c r="A28" s="7"/>
      <c r="B28" s="127"/>
      <c r="C28" s="28" t="s">
        <v>972</v>
      </c>
      <c r="D28" s="33"/>
      <c r="E28" s="17"/>
      <c r="F28" s="35"/>
      <c r="G28" s="17"/>
      <c r="H28" s="35"/>
      <c r="I28" s="17"/>
      <c r="J28" s="36"/>
    </row>
    <row r="29" spans="1:10" ht="18" customHeight="1" thickBot="1" x14ac:dyDescent="0.3">
      <c r="A29" s="7"/>
      <c r="B29" s="128" t="s">
        <v>989</v>
      </c>
      <c r="C29" s="28" t="s">
        <v>990</v>
      </c>
      <c r="D29" s="37"/>
      <c r="E29" s="17"/>
      <c r="F29" s="38"/>
      <c r="G29" s="17"/>
      <c r="H29" s="38"/>
      <c r="I29" s="17"/>
      <c r="J29" s="39"/>
    </row>
    <row r="30" spans="1:10" ht="18" customHeight="1" thickBot="1" x14ac:dyDescent="0.3">
      <c r="A30" s="7"/>
      <c r="B30" s="128"/>
      <c r="C30" s="28" t="s">
        <v>991</v>
      </c>
      <c r="D30" s="33"/>
      <c r="E30" s="17"/>
      <c r="F30" s="35"/>
      <c r="G30" s="17"/>
      <c r="H30" s="35"/>
      <c r="I30" s="17"/>
      <c r="J30" s="36"/>
    </row>
    <row r="31" spans="1:10" ht="18" customHeight="1" thickBot="1" x14ac:dyDescent="0.3">
      <c r="A31" s="7"/>
      <c r="B31" s="128"/>
      <c r="C31" s="28" t="s">
        <v>992</v>
      </c>
      <c r="D31" s="37"/>
      <c r="E31" s="17"/>
      <c r="F31" s="38"/>
      <c r="G31" s="17"/>
      <c r="H31" s="38"/>
      <c r="I31" s="17"/>
      <c r="J31" s="39"/>
    </row>
    <row r="32" spans="1:10" ht="18" customHeight="1" thickBot="1" x14ac:dyDescent="0.3">
      <c r="A32" s="7"/>
      <c r="B32" s="128"/>
      <c r="C32" s="28" t="s">
        <v>993</v>
      </c>
      <c r="D32" s="33"/>
      <c r="E32" s="17"/>
      <c r="F32" s="35"/>
      <c r="G32" s="17"/>
      <c r="H32" s="35"/>
      <c r="I32" s="17"/>
      <c r="J32" s="36"/>
    </row>
    <row r="33" spans="1:10" ht="18" customHeight="1" thickBot="1" x14ac:dyDescent="0.3">
      <c r="A33" s="7"/>
      <c r="B33" s="128"/>
      <c r="C33" s="28" t="s">
        <v>994</v>
      </c>
      <c r="D33" s="33"/>
      <c r="E33" s="17"/>
      <c r="F33" s="35"/>
      <c r="G33" s="17"/>
      <c r="H33" s="35"/>
      <c r="I33" s="17"/>
      <c r="J33" s="36"/>
    </row>
    <row r="34" spans="1:10" ht="18" customHeight="1" thickBot="1" x14ac:dyDescent="0.3">
      <c r="A34" s="7"/>
      <c r="B34" s="128"/>
      <c r="C34" s="28" t="s">
        <v>995</v>
      </c>
      <c r="D34" s="37"/>
      <c r="E34" s="17"/>
      <c r="F34" s="38"/>
      <c r="G34" s="17"/>
      <c r="H34" s="38"/>
      <c r="I34" s="17"/>
      <c r="J34" s="39"/>
    </row>
    <row r="35" spans="1:10" ht="18" customHeight="1" x14ac:dyDescent="0.25">
      <c r="A35" s="7"/>
      <c r="B35" s="128"/>
      <c r="C35" s="28" t="s">
        <v>976</v>
      </c>
      <c r="D35" s="33"/>
      <c r="E35" s="17"/>
      <c r="F35" s="35"/>
      <c r="G35" s="17"/>
      <c r="H35" s="35"/>
      <c r="I35" s="17"/>
      <c r="J35" s="36"/>
    </row>
    <row r="36" spans="1:10" ht="18" customHeight="1" x14ac:dyDescent="0.25">
      <c r="A36" s="7"/>
      <c r="B36" s="129"/>
      <c r="C36" s="28" t="s">
        <v>978</v>
      </c>
      <c r="D36" s="33"/>
      <c r="E36" s="17"/>
      <c r="F36" s="35"/>
      <c r="G36" s="17"/>
      <c r="H36" s="35"/>
      <c r="I36" s="17"/>
      <c r="J36" s="36"/>
    </row>
    <row r="37" spans="1:10" ht="18" customHeight="1" x14ac:dyDescent="0.25">
      <c r="A37" s="7"/>
      <c r="B37" s="129"/>
      <c r="C37" s="28" t="s">
        <v>979</v>
      </c>
      <c r="D37" s="33"/>
      <c r="E37" s="17"/>
      <c r="F37" s="35"/>
      <c r="G37" s="17"/>
      <c r="H37" s="35"/>
      <c r="I37" s="17"/>
      <c r="J37" s="36"/>
    </row>
    <row r="38" spans="1:10" ht="18" customHeight="1" x14ac:dyDescent="0.25">
      <c r="A38" s="7"/>
      <c r="B38" s="129"/>
      <c r="C38" s="28" t="s">
        <v>981</v>
      </c>
      <c r="D38" s="33"/>
      <c r="E38" s="17"/>
      <c r="F38" s="35"/>
      <c r="G38" s="17"/>
      <c r="H38" s="35"/>
      <c r="I38" s="17"/>
      <c r="J38" s="36"/>
    </row>
    <row r="39" spans="1:10" ht="18" customHeight="1" x14ac:dyDescent="0.25">
      <c r="A39" s="7"/>
      <c r="B39" s="129"/>
      <c r="C39" s="28" t="s">
        <v>982</v>
      </c>
      <c r="D39" s="33"/>
      <c r="E39" s="17"/>
      <c r="F39" s="35"/>
      <c r="G39" s="17"/>
      <c r="H39" s="35"/>
      <c r="I39" s="17"/>
      <c r="J39" s="36"/>
    </row>
    <row r="40" spans="1:10" ht="18" customHeight="1" x14ac:dyDescent="0.25">
      <c r="A40" s="7"/>
      <c r="B40" s="129"/>
      <c r="C40" s="44" t="s">
        <v>983</v>
      </c>
      <c r="D40" s="33"/>
      <c r="E40" s="17"/>
      <c r="F40" s="33"/>
      <c r="G40" s="17"/>
      <c r="H40" s="33"/>
      <c r="I40" s="17"/>
      <c r="J40" s="45"/>
    </row>
    <row r="41" spans="1:10" ht="18" customHeight="1" x14ac:dyDescent="0.25">
      <c r="A41" s="7"/>
      <c r="B41" s="129"/>
      <c r="C41" s="23"/>
      <c r="D41" s="7"/>
      <c r="E41" s="7"/>
      <c r="F41" s="7"/>
      <c r="G41" s="7"/>
      <c r="H41" s="7"/>
      <c r="I41" s="7"/>
      <c r="J41" s="15"/>
    </row>
    <row r="42" spans="1:10" ht="16.5" thickBot="1" x14ac:dyDescent="0.3">
      <c r="A42" s="7"/>
      <c r="B42" s="7"/>
      <c r="C42" s="24" t="s">
        <v>997</v>
      </c>
      <c r="D42" s="46" t="s">
        <v>998</v>
      </c>
      <c r="E42" s="19"/>
      <c r="F42" s="7"/>
      <c r="G42" s="7"/>
      <c r="H42" s="7"/>
      <c r="I42" s="7"/>
      <c r="J42" s="15"/>
    </row>
    <row r="43" spans="1:10" ht="21.75" customHeight="1" x14ac:dyDescent="0.25">
      <c r="A43" s="7"/>
      <c r="B43" s="130" t="s">
        <v>1159</v>
      </c>
      <c r="C43" s="47"/>
      <c r="D43" s="33"/>
      <c r="E43" s="19"/>
      <c r="F43" s="7"/>
      <c r="G43" s="7"/>
      <c r="H43" s="7"/>
      <c r="I43" s="7"/>
      <c r="J43" s="15"/>
    </row>
    <row r="44" spans="1:10" ht="18" customHeight="1" x14ac:dyDescent="0.25">
      <c r="A44" s="7"/>
      <c r="B44" s="131"/>
      <c r="C44" s="47"/>
      <c r="D44" s="33"/>
      <c r="E44" s="19"/>
      <c r="F44" s="7"/>
      <c r="G44" s="7"/>
      <c r="H44" s="7"/>
      <c r="I44" s="7"/>
      <c r="J44" s="15"/>
    </row>
    <row r="45" spans="1:10" ht="18" customHeight="1" x14ac:dyDescent="0.25">
      <c r="A45" s="7"/>
      <c r="B45" s="131"/>
      <c r="C45" s="47"/>
      <c r="D45" s="33"/>
      <c r="E45" s="19"/>
      <c r="F45" s="7"/>
      <c r="G45" s="7"/>
      <c r="H45" s="7"/>
      <c r="I45" s="7"/>
      <c r="J45" s="15"/>
    </row>
    <row r="46" spans="1:10" ht="18" customHeight="1" x14ac:dyDescent="0.25">
      <c r="A46" s="7"/>
      <c r="B46" s="131"/>
      <c r="C46" s="47"/>
      <c r="D46" s="33"/>
      <c r="E46" s="19"/>
      <c r="F46" s="7"/>
      <c r="G46" s="7"/>
      <c r="H46" s="7"/>
      <c r="I46" s="7"/>
      <c r="J46" s="15"/>
    </row>
    <row r="47" spans="1:10" ht="18" customHeight="1" x14ac:dyDescent="0.25">
      <c r="A47" s="7"/>
      <c r="B47" s="131"/>
      <c r="C47" s="47"/>
      <c r="D47" s="33"/>
      <c r="E47" s="19"/>
      <c r="F47" s="7"/>
      <c r="G47" s="7"/>
      <c r="H47" s="7"/>
      <c r="I47" s="7"/>
      <c r="J47" s="15"/>
    </row>
    <row r="48" spans="1:10" ht="18" customHeight="1" x14ac:dyDescent="0.25">
      <c r="A48" s="7"/>
      <c r="B48" s="131"/>
      <c r="C48" s="47"/>
      <c r="D48" s="33"/>
      <c r="E48" s="19"/>
      <c r="F48" s="7"/>
      <c r="G48" s="7"/>
      <c r="H48" s="7"/>
      <c r="I48" s="7"/>
      <c r="J48" s="15"/>
    </row>
    <row r="49" spans="1:10" ht="18" customHeight="1" x14ac:dyDescent="0.25">
      <c r="A49" s="7"/>
      <c r="B49" s="131"/>
      <c r="C49" s="47"/>
      <c r="D49" s="33"/>
      <c r="E49" s="19"/>
      <c r="F49" s="7"/>
      <c r="G49" s="7"/>
      <c r="H49" s="7"/>
      <c r="I49" s="7"/>
      <c r="J49" s="15"/>
    </row>
    <row r="50" spans="1:10" ht="18" customHeight="1" x14ac:dyDescent="0.25">
      <c r="A50" s="7"/>
      <c r="B50" s="131"/>
      <c r="C50" s="47"/>
      <c r="D50" s="33"/>
      <c r="E50" s="19"/>
      <c r="F50" s="7"/>
      <c r="G50" s="7"/>
      <c r="H50" s="7"/>
      <c r="I50" s="7"/>
      <c r="J50" s="15"/>
    </row>
    <row r="51" spans="1:10" ht="18" customHeight="1" x14ac:dyDescent="0.25">
      <c r="A51" s="7"/>
      <c r="B51" s="131"/>
      <c r="C51" s="47"/>
      <c r="D51" s="33"/>
      <c r="E51" s="19"/>
      <c r="F51" s="7"/>
      <c r="G51" s="7"/>
      <c r="H51" s="7"/>
      <c r="I51" s="7"/>
      <c r="J51" s="15"/>
    </row>
    <row r="52" spans="1:10" ht="18" customHeight="1" x14ac:dyDescent="0.25">
      <c r="A52" s="7"/>
      <c r="B52" s="131"/>
      <c r="C52" s="47"/>
      <c r="D52" s="33"/>
      <c r="E52" s="19"/>
      <c r="F52" s="7"/>
      <c r="G52" s="7"/>
      <c r="H52" s="7"/>
      <c r="I52" s="7"/>
      <c r="J52" s="15"/>
    </row>
    <row r="53" spans="1:10" ht="18" customHeight="1" x14ac:dyDescent="0.25">
      <c r="A53" s="7"/>
      <c r="B53" s="7"/>
      <c r="C53" s="23"/>
      <c r="D53" s="7"/>
      <c r="E53" s="7"/>
      <c r="F53" s="7"/>
      <c r="G53" s="7"/>
      <c r="H53" s="7"/>
      <c r="I53" s="7"/>
      <c r="J53" s="15"/>
    </row>
    <row r="54" spans="1:10" ht="15.75" x14ac:dyDescent="0.25">
      <c r="A54" s="7"/>
      <c r="B54" s="7"/>
      <c r="C54" s="24" t="s">
        <v>999</v>
      </c>
      <c r="D54" s="48" t="s">
        <v>998</v>
      </c>
      <c r="E54" s="49"/>
      <c r="F54" s="49"/>
      <c r="G54" s="49"/>
      <c r="H54" s="49"/>
      <c r="I54" s="49"/>
      <c r="J54" s="50"/>
    </row>
    <row r="55" spans="1:10" ht="21.75" customHeight="1" x14ac:dyDescent="0.25">
      <c r="A55" s="7"/>
      <c r="B55" s="7"/>
      <c r="C55" s="28" t="s">
        <v>1000</v>
      </c>
      <c r="D55" s="37"/>
      <c r="E55" s="19"/>
      <c r="F55" s="7"/>
      <c r="G55" s="7"/>
      <c r="H55" s="7"/>
      <c r="I55" s="7"/>
      <c r="J55" s="15"/>
    </row>
    <row r="56" spans="1:10" ht="18" customHeight="1" x14ac:dyDescent="0.25">
      <c r="A56" s="7"/>
      <c r="B56" s="7"/>
      <c r="C56" s="28" t="s">
        <v>1001</v>
      </c>
      <c r="D56" s="37"/>
      <c r="E56" s="19"/>
      <c r="F56" s="7"/>
      <c r="G56" s="7"/>
      <c r="H56" s="7"/>
      <c r="I56" s="7"/>
      <c r="J56" s="15"/>
    </row>
    <row r="57" spans="1:10" ht="18" customHeight="1" x14ac:dyDescent="0.25">
      <c r="A57" s="7"/>
      <c r="B57" s="7"/>
      <c r="C57" s="40" t="s">
        <v>1002</v>
      </c>
      <c r="D57" s="37"/>
      <c r="E57" s="19"/>
      <c r="F57" s="7"/>
      <c r="G57" s="7"/>
      <c r="H57" s="7"/>
      <c r="I57" s="7"/>
      <c r="J57" s="15"/>
    </row>
    <row r="58" spans="1:10" ht="18" customHeight="1" x14ac:dyDescent="0.25">
      <c r="A58" s="7"/>
      <c r="B58" s="7"/>
      <c r="C58" s="28" t="s">
        <v>1003</v>
      </c>
      <c r="D58" s="33"/>
      <c r="E58" s="19"/>
      <c r="G58" s="7"/>
      <c r="H58" s="7"/>
      <c r="I58" s="7"/>
      <c r="J58" s="15"/>
    </row>
    <row r="59" spans="1:10" ht="18" customHeight="1" x14ac:dyDescent="0.25">
      <c r="A59" s="7"/>
      <c r="B59" s="7"/>
      <c r="C59" s="51" t="s">
        <v>1004</v>
      </c>
      <c r="D59" s="52"/>
      <c r="E59" s="53" t="s">
        <v>1005</v>
      </c>
      <c r="F59" s="54"/>
      <c r="G59" s="54"/>
      <c r="H59" s="54"/>
      <c r="I59" s="54"/>
      <c r="J59" s="55"/>
    </row>
    <row r="60" spans="1:10" ht="18" customHeight="1" x14ac:dyDescent="0.25">
      <c r="A60" s="7"/>
      <c r="B60" s="7"/>
    </row>
    <row r="61" spans="1:10" ht="18" customHeight="1" x14ac:dyDescent="0.25"/>
  </sheetData>
  <mergeCells count="9">
    <mergeCell ref="B22:B28"/>
    <mergeCell ref="B29:B35"/>
    <mergeCell ref="B36:B41"/>
    <mergeCell ref="B43:B52"/>
    <mergeCell ref="C2:J2"/>
    <mergeCell ref="C3:C4"/>
    <mergeCell ref="C5:C6"/>
    <mergeCell ref="B9:B13"/>
    <mergeCell ref="B14:B19"/>
  </mergeCells>
  <conditionalFormatting sqref="C44:C53">
    <cfRule type="expression" dxfId="16" priority="2">
      <formula>LEFT(C44,5)="Choix"</formula>
    </cfRule>
  </conditionalFormatting>
  <dataValidations count="10">
    <dataValidation type="list" allowBlank="1" sqref="D4 F4 H4 D6 F6" xr:uid="{00000000-0002-0000-0100-000000000000}">
      <formula1>"X"</formula1>
      <formula2>0</formula2>
    </dataValidation>
    <dataValidation type="list" allowBlank="1" sqref="D13 F13 H13 J13 D24 F24 H24 J24" xr:uid="{00000000-0002-0000-0100-000001000000}">
      <formula1>"Rainuré,Taraudé"</formula1>
      <formula2>0</formula2>
    </dataValidation>
    <dataValidation type="list" allowBlank="1" sqref="D30 F30 H30 J30" xr:uid="{00000000-0002-0000-0100-000002000000}">
      <formula1>"15,20"</formula1>
      <formula2>0</formula2>
    </dataValidation>
    <dataValidation type="list" allowBlank="1" sqref="D31 F31 H31 J31" xr:uid="{00000000-0002-0000-0100-000003000000}">
      <formula1>"Bronze,Chrome,Blanche,Noire"</formula1>
      <formula2>0</formula2>
    </dataValidation>
    <dataValidation type="list" allowBlank="1" sqref="D32 F32 H32 J32" xr:uid="{00000000-0002-0000-0100-000004000000}">
      <formula1>"68,93,141"</formula1>
      <formula2>0</formula2>
    </dataValidation>
    <dataValidation type="list" allowBlank="1" sqref="D33 F33 H33 J33" xr:uid="{00000000-0002-0000-0100-000005000000}">
      <formula1>"80,115"</formula1>
      <formula2>0</formula2>
    </dataValidation>
    <dataValidation type="list" allowBlank="1" sqref="D34 F34 H34 J34" xr:uid="{00000000-0002-0000-0100-000006000000}">
      <formula1>"Rapide,Standard"</formula1>
      <formula2>0</formula2>
    </dataValidation>
    <dataValidation allowBlank="1" sqref="C3 C5 C9:C19 C22:C40" xr:uid="{00000000-0002-0000-0100-000007000000}">
      <formula1>0</formula1>
      <formula2>0</formula2>
    </dataValidation>
    <dataValidation type="list" allowBlank="1" sqref="D9 F9 H9 J9 D12 F12 H12 J12 D22:D23 F22:F23 H22:H23 J22:J23" xr:uid="{00000000-0002-0000-0100-000008000000}">
      <formula1>"25,33,40,50,65,80,100,125,200"</formula1>
      <formula2>0</formula2>
    </dataValidation>
    <dataValidation type="list" allowBlank="1" sqref="D29 F29 H29 J29" xr:uid="{00000000-0002-0000-0100-000009000000}">
      <formula1>"SSP Labo,SSP Faux plafond,SSP Placo,SSP Toiture,SSU Toiture"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A000000}">
          <x14:formula1>
            <xm:f>Supports!$B$4:$B$23</xm:f>
          </x14:formula1>
          <x14:formula2>
            <xm:f>0</xm:f>
          </x14:formula2>
          <xm:sqref>D14 F14 H14 J14 D16 F16 H16 J16 D18 F18 H18 J18 D35 F35 H35 J35 D37 F37 H37 J37 D39 F39 H39 J39</xm:sqref>
        </x14:dataValidation>
        <x14:dataValidation type="list" allowBlank="1" xr:uid="{00000000-0002-0000-0100-00000B000000}">
          <x14:formula1>
            <xm:f>Catalogue!$B$4:$B$454</xm:f>
          </x14:formula1>
          <x14:formula2>
            <xm:f>0</xm:f>
          </x14:formula2>
          <xm:sqref>C43:C52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showGridLines="0" zoomScale="130" zoomScaleNormal="13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C33" sqref="C33"/>
    </sheetView>
  </sheetViews>
  <sheetFormatPr baseColWidth="10" defaultColWidth="8.5703125" defaultRowHeight="15" x14ac:dyDescent="0.25"/>
  <cols>
    <col min="1" max="2" width="3" customWidth="1"/>
    <col min="3" max="3" width="37.42578125" customWidth="1"/>
    <col min="4" max="4" width="22.42578125" customWidth="1"/>
    <col min="5" max="5" width="1.7109375" customWidth="1"/>
    <col min="6" max="6" width="22.42578125" customWidth="1"/>
    <col min="7" max="7" width="1.7109375" customWidth="1"/>
    <col min="8" max="8" width="22.42578125" customWidth="1"/>
    <col min="9" max="9" width="1.7109375" customWidth="1"/>
    <col min="10" max="10" width="22.42578125" customWidth="1"/>
  </cols>
  <sheetData>
    <row r="1" spans="1:10" ht="15.75" customHeight="1" x14ac:dyDescent="0.25">
      <c r="A1" s="56"/>
      <c r="B1" s="56"/>
      <c r="C1" s="57" t="s">
        <v>1006</v>
      </c>
      <c r="D1" s="8"/>
      <c r="E1" s="8"/>
      <c r="F1" s="8"/>
      <c r="G1" s="8"/>
      <c r="H1" s="8"/>
      <c r="I1" s="8"/>
      <c r="J1" s="8"/>
    </row>
    <row r="2" spans="1:10" ht="33.75" customHeight="1" x14ac:dyDescent="0.25">
      <c r="A2" s="56"/>
      <c r="B2" s="56"/>
      <c r="C2" s="136" t="s">
        <v>1007</v>
      </c>
      <c r="D2" s="136"/>
      <c r="E2" s="136"/>
      <c r="F2" s="136"/>
      <c r="G2" s="136"/>
      <c r="H2" s="136"/>
      <c r="I2" s="136"/>
      <c r="J2" s="136"/>
    </row>
    <row r="3" spans="1:10" ht="7.5" customHeight="1" x14ac:dyDescent="0.25">
      <c r="A3" s="7"/>
      <c r="B3" s="7"/>
      <c r="C3" s="58"/>
      <c r="D3" s="59"/>
      <c r="E3" s="60"/>
      <c r="F3" s="59"/>
      <c r="G3" s="60"/>
      <c r="H3" s="59"/>
      <c r="I3" s="60"/>
      <c r="J3" s="61"/>
    </row>
    <row r="4" spans="1:10" ht="21.75" customHeight="1" x14ac:dyDescent="0.25">
      <c r="A4" s="56"/>
      <c r="B4" s="56"/>
      <c r="C4" s="24" t="s">
        <v>1008</v>
      </c>
      <c r="D4" s="62" t="s">
        <v>965</v>
      </c>
      <c r="E4" s="17"/>
      <c r="F4" s="63" t="s">
        <v>966</v>
      </c>
      <c r="G4" s="17"/>
      <c r="H4" s="63" t="s">
        <v>967</v>
      </c>
      <c r="I4" s="17"/>
      <c r="J4" s="64" t="s">
        <v>968</v>
      </c>
    </row>
    <row r="5" spans="1:10" ht="18" customHeight="1" x14ac:dyDescent="0.25">
      <c r="A5" s="56"/>
      <c r="B5" s="137" t="s">
        <v>969</v>
      </c>
      <c r="C5" s="40" t="s">
        <v>970</v>
      </c>
      <c r="D5" s="37"/>
      <c r="E5" s="17"/>
      <c r="F5" s="38"/>
      <c r="G5" s="17"/>
      <c r="H5" s="38"/>
      <c r="I5" s="17"/>
      <c r="J5" s="39"/>
    </row>
    <row r="6" spans="1:10" ht="18" customHeight="1" x14ac:dyDescent="0.25">
      <c r="A6" s="56"/>
      <c r="B6" s="137"/>
      <c r="C6" s="40" t="s">
        <v>1009</v>
      </c>
      <c r="D6" s="37"/>
      <c r="E6" s="17"/>
      <c r="F6" s="38"/>
      <c r="G6" s="17"/>
      <c r="H6" s="38"/>
      <c r="I6" s="17"/>
      <c r="J6" s="39"/>
    </row>
    <row r="7" spans="1:10" ht="18" customHeight="1" x14ac:dyDescent="0.25">
      <c r="A7" s="56"/>
      <c r="B7" s="137"/>
      <c r="C7" s="40" t="s">
        <v>1010</v>
      </c>
      <c r="D7" s="37"/>
      <c r="E7" s="17"/>
      <c r="F7" s="38"/>
      <c r="G7" s="17"/>
      <c r="H7" s="38"/>
      <c r="I7" s="17"/>
      <c r="J7" s="39"/>
    </row>
    <row r="8" spans="1:10" ht="18" customHeight="1" x14ac:dyDescent="0.25">
      <c r="A8" s="56"/>
      <c r="B8" s="137"/>
      <c r="C8" s="40" t="s">
        <v>111</v>
      </c>
      <c r="D8" s="37"/>
      <c r="E8" s="17"/>
      <c r="F8" s="38"/>
      <c r="G8" s="17"/>
      <c r="H8" s="38"/>
      <c r="I8" s="17"/>
      <c r="J8" s="39"/>
    </row>
    <row r="9" spans="1:10" ht="18" customHeight="1" x14ac:dyDescent="0.25">
      <c r="A9" s="56"/>
      <c r="B9" s="137"/>
      <c r="C9" s="40" t="s">
        <v>1011</v>
      </c>
      <c r="D9" s="65"/>
      <c r="E9" s="17"/>
      <c r="F9" s="38"/>
      <c r="G9" s="17"/>
      <c r="H9" s="38"/>
      <c r="I9" s="17"/>
      <c r="J9" s="39"/>
    </row>
    <row r="10" spans="1:10" ht="18" customHeight="1" x14ac:dyDescent="0.25">
      <c r="A10" s="56"/>
      <c r="B10" s="138" t="s">
        <v>975</v>
      </c>
      <c r="C10" s="40" t="s">
        <v>976</v>
      </c>
      <c r="D10" s="37"/>
      <c r="E10" s="17"/>
      <c r="F10" s="38"/>
      <c r="G10" s="17"/>
      <c r="H10" s="38"/>
      <c r="I10" s="17"/>
      <c r="J10" s="39"/>
    </row>
    <row r="11" spans="1:10" ht="18" customHeight="1" x14ac:dyDescent="0.25">
      <c r="A11" s="56"/>
      <c r="B11" s="138"/>
      <c r="C11" s="40" t="s">
        <v>978</v>
      </c>
      <c r="D11" s="37"/>
      <c r="E11" s="17"/>
      <c r="F11" s="38"/>
      <c r="G11" s="17"/>
      <c r="H11" s="38"/>
      <c r="I11" s="17"/>
      <c r="J11" s="39"/>
    </row>
    <row r="12" spans="1:10" ht="18" customHeight="1" x14ac:dyDescent="0.25">
      <c r="A12" s="56"/>
      <c r="B12" s="138"/>
      <c r="C12" s="40" t="s">
        <v>979</v>
      </c>
      <c r="D12" s="37"/>
      <c r="E12" s="17"/>
      <c r="F12" s="38"/>
      <c r="G12" s="17"/>
      <c r="H12" s="38"/>
      <c r="I12" s="17"/>
      <c r="J12" s="39"/>
    </row>
    <row r="13" spans="1:10" ht="18" customHeight="1" x14ac:dyDescent="0.25">
      <c r="A13" s="56"/>
      <c r="B13" s="138"/>
      <c r="C13" s="40" t="s">
        <v>981</v>
      </c>
      <c r="D13" s="37"/>
      <c r="E13" s="17"/>
      <c r="F13" s="38"/>
      <c r="G13" s="17"/>
      <c r="H13" s="38"/>
      <c r="I13" s="17"/>
      <c r="J13" s="39"/>
    </row>
    <row r="14" spans="1:10" ht="18" customHeight="1" x14ac:dyDescent="0.25">
      <c r="A14" s="56"/>
      <c r="B14" s="138"/>
      <c r="C14" s="40" t="s">
        <v>982</v>
      </c>
      <c r="D14" s="37"/>
      <c r="E14" s="17"/>
      <c r="F14" s="38"/>
      <c r="G14" s="17"/>
      <c r="H14" s="38"/>
      <c r="I14" s="17"/>
      <c r="J14" s="39"/>
    </row>
    <row r="15" spans="1:10" ht="18" customHeight="1" x14ac:dyDescent="0.25">
      <c r="A15" s="56"/>
      <c r="B15" s="138"/>
      <c r="C15" s="40" t="s">
        <v>983</v>
      </c>
      <c r="D15" s="37"/>
      <c r="E15" s="17"/>
      <c r="F15" s="38"/>
      <c r="G15" s="17"/>
      <c r="H15" s="38"/>
      <c r="I15" s="17"/>
      <c r="J15" s="39"/>
    </row>
    <row r="16" spans="1:10" ht="18" customHeight="1" x14ac:dyDescent="0.25">
      <c r="A16" s="56"/>
      <c r="B16" s="139" t="s">
        <v>1012</v>
      </c>
      <c r="C16" s="40" t="s">
        <v>1013</v>
      </c>
      <c r="D16" s="37"/>
      <c r="E16" s="17"/>
      <c r="F16" s="38"/>
      <c r="G16" s="17"/>
      <c r="H16" s="38"/>
      <c r="I16" s="17"/>
      <c r="J16" s="39"/>
    </row>
    <row r="17" spans="1:10" ht="18" customHeight="1" x14ac:dyDescent="0.25">
      <c r="A17" s="56"/>
      <c r="B17" s="139"/>
      <c r="C17" s="40" t="s">
        <v>1014</v>
      </c>
      <c r="D17" s="16"/>
      <c r="E17" s="17"/>
      <c r="F17" s="16"/>
      <c r="G17" s="17"/>
      <c r="H17" s="16"/>
      <c r="I17" s="17"/>
      <c r="J17" s="66"/>
    </row>
    <row r="18" spans="1:10" ht="7.5" customHeight="1" x14ac:dyDescent="0.25">
      <c r="A18" s="7"/>
      <c r="B18" s="7"/>
      <c r="C18" s="23"/>
      <c r="D18" s="7"/>
      <c r="E18" s="7"/>
      <c r="F18" s="7"/>
      <c r="G18" s="7"/>
      <c r="H18" s="7"/>
      <c r="I18" s="7"/>
      <c r="J18" s="15"/>
    </row>
    <row r="19" spans="1:10" ht="21.75" customHeight="1" x14ac:dyDescent="0.25">
      <c r="A19" s="56"/>
      <c r="B19" s="56"/>
      <c r="C19" s="24" t="s">
        <v>1015</v>
      </c>
      <c r="D19" s="46" t="s">
        <v>998</v>
      </c>
      <c r="E19" s="67" t="s">
        <v>1016</v>
      </c>
      <c r="F19" s="56"/>
      <c r="G19" s="56"/>
      <c r="H19" s="56"/>
      <c r="I19" s="56"/>
      <c r="J19" s="68"/>
    </row>
    <row r="20" spans="1:10" ht="18" customHeight="1" x14ac:dyDescent="0.25">
      <c r="A20" s="56"/>
      <c r="B20" s="137" t="s">
        <v>969</v>
      </c>
      <c r="C20" s="40" t="s">
        <v>1017</v>
      </c>
      <c r="D20" s="33"/>
      <c r="E20" s="69"/>
      <c r="F20" s="56"/>
      <c r="G20" s="56"/>
      <c r="H20" s="56"/>
      <c r="I20" s="56"/>
      <c r="J20" s="68"/>
    </row>
    <row r="21" spans="1:10" ht="18" customHeight="1" x14ac:dyDescent="0.25">
      <c r="A21" s="56"/>
      <c r="B21" s="137"/>
      <c r="C21" s="40" t="s">
        <v>1018</v>
      </c>
      <c r="D21" s="33"/>
      <c r="E21" s="69"/>
      <c r="F21" s="56"/>
      <c r="G21" s="56"/>
      <c r="H21" s="56"/>
      <c r="I21" s="56"/>
      <c r="J21" s="68"/>
    </row>
    <row r="22" spans="1:10" ht="18" customHeight="1" x14ac:dyDescent="0.25">
      <c r="A22" s="56"/>
      <c r="B22" s="137"/>
      <c r="C22" s="40" t="s">
        <v>1019</v>
      </c>
      <c r="D22" s="33"/>
      <c r="E22" s="69"/>
      <c r="F22" s="56"/>
      <c r="G22" s="56"/>
      <c r="H22" s="56"/>
      <c r="I22" s="56"/>
      <c r="J22" s="68"/>
    </row>
    <row r="23" spans="1:10" ht="18" customHeight="1" x14ac:dyDescent="0.25">
      <c r="A23" s="56"/>
      <c r="B23" s="137"/>
      <c r="C23" s="40" t="s">
        <v>1020</v>
      </c>
      <c r="D23" s="33"/>
      <c r="E23" s="69"/>
      <c r="F23" s="56"/>
      <c r="G23" s="56"/>
      <c r="H23" s="56"/>
      <c r="I23" s="56"/>
      <c r="J23" s="68"/>
    </row>
    <row r="24" spans="1:10" ht="18" customHeight="1" x14ac:dyDescent="0.25">
      <c r="A24" s="56"/>
      <c r="B24" s="137"/>
      <c r="C24" s="40" t="s">
        <v>1021</v>
      </c>
      <c r="D24" s="33"/>
      <c r="E24" s="69"/>
      <c r="F24" s="56"/>
      <c r="G24" s="56"/>
      <c r="H24" s="56"/>
      <c r="I24" s="56"/>
      <c r="J24" s="68"/>
    </row>
    <row r="25" spans="1:10" ht="18" customHeight="1" x14ac:dyDescent="0.25">
      <c r="A25" s="56"/>
      <c r="B25" s="137"/>
      <c r="C25" s="40" t="s">
        <v>1022</v>
      </c>
      <c r="D25" s="33"/>
      <c r="E25" s="69"/>
      <c r="F25" s="56"/>
      <c r="G25" s="56"/>
      <c r="H25" s="56"/>
      <c r="I25" s="56"/>
      <c r="J25" s="68"/>
    </row>
    <row r="26" spans="1:10" ht="7.5" customHeight="1" x14ac:dyDescent="0.25">
      <c r="A26" s="7"/>
      <c r="B26" s="7"/>
      <c r="C26" s="23"/>
      <c r="D26" s="7"/>
      <c r="E26" s="7"/>
      <c r="F26" s="7"/>
      <c r="G26" s="7"/>
      <c r="H26" s="7"/>
      <c r="I26" s="7"/>
      <c r="J26" s="15"/>
    </row>
    <row r="27" spans="1:10" ht="21.75" customHeight="1" thickBot="1" x14ac:dyDescent="0.3">
      <c r="A27" s="56"/>
      <c r="B27" s="56"/>
      <c r="C27" s="70" t="s">
        <v>997</v>
      </c>
      <c r="D27" s="46" t="s">
        <v>998</v>
      </c>
      <c r="E27" s="69"/>
      <c r="F27" s="56"/>
      <c r="G27" s="56"/>
      <c r="H27" s="56"/>
      <c r="I27" s="56"/>
      <c r="J27" s="68"/>
    </row>
    <row r="28" spans="1:10" ht="18" customHeight="1" x14ac:dyDescent="0.25">
      <c r="A28" s="56"/>
      <c r="B28" s="130" t="s">
        <v>1159</v>
      </c>
      <c r="C28" s="47"/>
      <c r="D28" s="37"/>
      <c r="E28" s="69"/>
      <c r="F28" s="56"/>
      <c r="G28" s="56"/>
      <c r="H28" s="56"/>
      <c r="I28" s="56"/>
      <c r="J28" s="68"/>
    </row>
    <row r="29" spans="1:10" ht="18" customHeight="1" x14ac:dyDescent="0.25">
      <c r="A29" s="56"/>
      <c r="B29" s="131"/>
      <c r="C29" s="47"/>
      <c r="D29" s="37"/>
      <c r="E29" s="69"/>
      <c r="F29" s="56"/>
      <c r="G29" s="56"/>
      <c r="H29" s="56"/>
      <c r="I29" s="56"/>
      <c r="J29" s="68"/>
    </row>
    <row r="30" spans="1:10" ht="18" customHeight="1" x14ac:dyDescent="0.25">
      <c r="A30" s="56"/>
      <c r="B30" s="131"/>
      <c r="C30" s="47"/>
      <c r="D30" s="37"/>
      <c r="E30" s="69"/>
      <c r="F30" s="56"/>
      <c r="G30" s="56"/>
      <c r="H30" s="56"/>
      <c r="I30" s="56"/>
      <c r="J30" s="68"/>
    </row>
    <row r="31" spans="1:10" ht="18" customHeight="1" x14ac:dyDescent="0.25">
      <c r="A31" s="56"/>
      <c r="B31" s="131"/>
      <c r="C31" s="47"/>
      <c r="D31" s="37"/>
      <c r="E31" s="69"/>
      <c r="F31" s="56"/>
      <c r="G31" s="56"/>
      <c r="H31" s="56"/>
      <c r="I31" s="56"/>
      <c r="J31" s="68"/>
    </row>
    <row r="32" spans="1:10" ht="18" customHeight="1" x14ac:dyDescent="0.25">
      <c r="A32" s="56"/>
      <c r="B32" s="131"/>
      <c r="C32" s="47"/>
      <c r="D32" s="37"/>
      <c r="E32" s="69"/>
      <c r="F32" s="56"/>
      <c r="G32" s="56"/>
      <c r="H32" s="56"/>
      <c r="I32" s="56"/>
      <c r="J32" s="68"/>
    </row>
    <row r="33" spans="1:10" ht="18" customHeight="1" x14ac:dyDescent="0.25">
      <c r="A33" s="56"/>
      <c r="B33" s="131"/>
      <c r="C33" s="47"/>
      <c r="D33" s="37"/>
      <c r="E33" s="69"/>
      <c r="F33" s="56"/>
      <c r="G33" s="56"/>
      <c r="H33" s="56"/>
      <c r="I33" s="56"/>
      <c r="J33" s="68"/>
    </row>
    <row r="34" spans="1:10" ht="18" customHeight="1" x14ac:dyDescent="0.25">
      <c r="A34" s="56"/>
      <c r="B34" s="131"/>
      <c r="C34" s="47"/>
      <c r="D34" s="37"/>
      <c r="E34" s="69"/>
      <c r="F34" s="56"/>
      <c r="G34" s="56"/>
      <c r="H34" s="56"/>
      <c r="I34" s="56"/>
      <c r="J34" s="68"/>
    </row>
    <row r="35" spans="1:10" ht="18" customHeight="1" x14ac:dyDescent="0.25">
      <c r="A35" s="56"/>
      <c r="B35" s="131"/>
      <c r="C35" s="47"/>
      <c r="D35" s="37"/>
      <c r="E35" s="69"/>
      <c r="F35" s="56"/>
      <c r="G35" s="56"/>
      <c r="H35" s="56"/>
      <c r="I35" s="56"/>
      <c r="J35" s="68"/>
    </row>
    <row r="36" spans="1:10" ht="18" customHeight="1" x14ac:dyDescent="0.25">
      <c r="A36" s="56"/>
      <c r="B36" s="131"/>
      <c r="C36" s="47"/>
      <c r="D36" s="37"/>
      <c r="E36" s="69"/>
      <c r="F36" s="56"/>
      <c r="G36" s="56"/>
      <c r="H36" s="56"/>
      <c r="I36" s="56"/>
      <c r="J36" s="68"/>
    </row>
    <row r="37" spans="1:10" ht="18" customHeight="1" x14ac:dyDescent="0.25">
      <c r="A37" s="56"/>
      <c r="B37" s="131"/>
      <c r="C37" s="47"/>
      <c r="D37" s="37"/>
      <c r="E37" s="69"/>
      <c r="F37" s="56"/>
      <c r="G37" s="56"/>
      <c r="H37" s="56"/>
      <c r="I37" s="56"/>
      <c r="J37" s="68"/>
    </row>
    <row r="38" spans="1:10" ht="7.5" customHeight="1" x14ac:dyDescent="0.25">
      <c r="A38" s="56"/>
      <c r="B38" s="56"/>
      <c r="C38" s="71"/>
      <c r="D38" s="56"/>
      <c r="E38" s="56"/>
      <c r="F38" s="56"/>
      <c r="G38" s="56"/>
      <c r="H38" s="56"/>
      <c r="I38" s="56"/>
      <c r="J38" s="68"/>
    </row>
    <row r="39" spans="1:10" ht="21.75" customHeight="1" x14ac:dyDescent="0.25">
      <c r="A39" s="56"/>
      <c r="B39" s="56"/>
      <c r="C39" s="70" t="s">
        <v>999</v>
      </c>
      <c r="D39" s="46" t="s">
        <v>998</v>
      </c>
      <c r="E39" s="69"/>
      <c r="F39" s="56"/>
      <c r="G39" s="56"/>
      <c r="H39" s="56"/>
      <c r="I39" s="56"/>
      <c r="J39" s="68"/>
    </row>
    <row r="40" spans="1:10" ht="18" customHeight="1" x14ac:dyDescent="0.25">
      <c r="A40" s="56"/>
      <c r="B40" s="56"/>
      <c r="C40" s="40" t="s">
        <v>1000</v>
      </c>
      <c r="D40" s="37"/>
      <c r="E40" s="69"/>
      <c r="F40" s="56"/>
      <c r="G40" s="56"/>
      <c r="H40" s="56"/>
      <c r="I40" s="56"/>
      <c r="J40" s="68"/>
    </row>
    <row r="41" spans="1:10" ht="18" customHeight="1" x14ac:dyDescent="0.25">
      <c r="A41" s="56"/>
      <c r="B41" s="56"/>
      <c r="C41" s="40" t="s">
        <v>1001</v>
      </c>
      <c r="D41" s="37"/>
      <c r="E41" s="69"/>
      <c r="F41" s="56"/>
      <c r="G41" s="56"/>
      <c r="H41" s="56"/>
      <c r="I41" s="56"/>
      <c r="J41" s="68"/>
    </row>
    <row r="42" spans="1:10" ht="18" customHeight="1" x14ac:dyDescent="0.25">
      <c r="A42" s="56"/>
      <c r="B42" s="56"/>
      <c r="C42" s="40" t="s">
        <v>1023</v>
      </c>
      <c r="D42" s="37"/>
      <c r="E42" s="69"/>
      <c r="F42" s="56"/>
      <c r="G42" s="56"/>
      <c r="H42" s="56"/>
      <c r="I42" s="56"/>
      <c r="J42" s="68"/>
    </row>
    <row r="43" spans="1:10" ht="18" customHeight="1" x14ac:dyDescent="0.25">
      <c r="A43" s="56"/>
      <c r="B43" s="56"/>
      <c r="C43" s="40" t="s">
        <v>1003</v>
      </c>
      <c r="D43" s="37"/>
      <c r="E43" s="69"/>
      <c r="F43" s="56"/>
      <c r="G43" s="56"/>
      <c r="H43" s="56"/>
      <c r="I43" s="56"/>
      <c r="J43" s="68"/>
    </row>
    <row r="44" spans="1:10" ht="18" customHeight="1" thickBot="1" x14ac:dyDescent="0.3">
      <c r="A44" s="56"/>
      <c r="B44" s="56"/>
      <c r="C44" s="51" t="s">
        <v>1024</v>
      </c>
      <c r="D44" s="72"/>
      <c r="E44" s="73"/>
      <c r="F44" s="74"/>
      <c r="G44" s="74"/>
      <c r="H44" s="74"/>
      <c r="I44" s="74"/>
      <c r="J44" s="75"/>
    </row>
  </sheetData>
  <sheetProtection algorithmName="SHA-512" hashValue="E3kk9QCcAyBpg3myeq1pejeqA3nuyPljENFB4rDyScb1KiRIQz5QsKaMrVm5kBnjwU1tXD8sCjwbO/9AZoUJvQ==" saltValue="gL8cs+nQ91Vh7xhMW0nSKg==" spinCount="100000" sheet="1" objects="1" scenarios="1"/>
  <mergeCells count="6">
    <mergeCell ref="B28:B37"/>
    <mergeCell ref="C2:J2"/>
    <mergeCell ref="B5:B9"/>
    <mergeCell ref="B10:B15"/>
    <mergeCell ref="B16:B17"/>
    <mergeCell ref="B20:B25"/>
  </mergeCells>
  <conditionalFormatting sqref="C29:C37">
    <cfRule type="expression" dxfId="0" priority="1">
      <formula>LEFT(C29,5)="Choix"</formula>
    </cfRule>
  </conditionalFormatting>
  <dataValidations count="21">
    <dataValidation allowBlank="1" showInputMessage="1" showErrorMessage="1" promptTitle="Diamètre nominal" prompt="DN du tube de cette boucle RIA, en mm." sqref="C5" xr:uid="{00000000-0002-0000-0200-000000000000}">
      <formula1>0</formula1>
      <formula2>0</formula2>
    </dataValidation>
    <dataValidation allowBlank="1" showInputMessage="1" showErrorMessage="1" promptTitle="Longueur de boucle" prompt="Longueur totale de tube de la boucle, en mètres." sqref="C6" xr:uid="{00000000-0002-0000-0200-000001000000}">
      <formula1>0</formula1>
      <formula2>0</formula2>
    </dataValidation>
    <dataValidation allowBlank="1" showInputMessage="1" showErrorMessage="1" promptTitle="Coudes 90°" prompt="Nombre de coudes à 90° sur la boucle." sqref="C7" xr:uid="{00000000-0002-0000-0200-000002000000}">
      <formula1>0</formula1>
      <formula2>0</formula2>
    </dataValidation>
    <dataValidation allowBlank="1" showInputMessage="1" showErrorMessage="1" promptTitle="Tés" prompt="Nombre de tés sur la boucle." sqref="C8" xr:uid="{00000000-0002-0000-0200-000003000000}">
      <formula1>0</formula1>
      <formula2>0</formula2>
    </dataValidation>
    <dataValidation allowBlank="1" showInputMessage="1" showErrorMessage="1" promptTitle="Réduction de boucle" prompt="Nombre de départs RIA depuis la boucle précédente (case grise = non applicable pour la boucle N°1)." sqref="C9" xr:uid="{00000000-0002-0000-0200-000004000000}">
      <formula1>0</formula1>
      <formula2>0</formula2>
    </dataValidation>
    <dataValidation allowBlank="1" showInputMessage="1" showErrorMessage="1" promptTitle="Groupe de supports" prompt="Nom du groupe de support à utiliser (voir feuille Supports)." sqref="C10 C12 C14" xr:uid="{00000000-0002-0000-0200-000005000000}">
      <formula1>0</formula1>
      <formula2>0</formula2>
    </dataValidation>
    <dataValidation allowBlank="1" showInputMessage="1" showErrorMessage="1" promptTitle="Nombre de supports" prompt="Nombre de supports de ce groupe pour la boucle." sqref="C11 C13 C15" xr:uid="{00000000-0002-0000-0200-000006000000}">
      <formula1>0</formula1>
      <formula2>0</formula2>
    </dataValidation>
    <dataValidation allowBlank="1" showInputMessage="1" showErrorMessage="1" promptTitle="RIA 33/30" prompt="Nombre de RIA DN33 / tuyau 30 m sur cette boucle." sqref="C16" xr:uid="{00000000-0002-0000-0200-000007000000}">
      <formula1>0</formula1>
      <formula2>0</formula2>
    </dataValidation>
    <dataValidation allowBlank="1" showInputMessage="1" showErrorMessage="1" promptTitle="RIA 25/30" prompt="Nombre de RIA DN25 / tuyau 30 m sur cette boucle." sqref="C17" xr:uid="{00000000-0002-0000-0200-000008000000}">
      <formula1>0</formula1>
      <formula2>0</formula2>
    </dataValidation>
    <dataValidation allowBlank="1" showInputMessage="1" showErrorMessage="1" promptTitle="FAVO" prompt="Nombre de robinets FAVO à prévoir." sqref="C20" xr:uid="{00000000-0002-0000-0200-000009000000}">
      <formula1>0</formula1>
      <formula2>0</formula2>
    </dataValidation>
    <dataValidation allowBlank="1" showInputMessage="1" showErrorMessage="1" promptTitle="DEFAVO" prompt="Nombre de dispositifs DEFAVO à prévoir." sqref="C21" xr:uid="{00000000-0002-0000-0200-00000A000000}">
      <formula1>0</formula1>
      <formula2>0</formula2>
    </dataValidation>
    <dataValidation allowBlank="1" showInputMessage="1" showErrorMessage="1" promptTitle="Poteau RIA tournant" prompt="Nombre de poteaux RIA tournants à prévoir." sqref="C22" xr:uid="{00000000-0002-0000-0200-00000B000000}">
      <formula1>0</formula1>
      <formula2>0</formula2>
    </dataValidation>
    <dataValidation allowBlank="1" showInputMessage="1" showErrorMessage="1" promptTitle="Vanne papillon" prompt="Nombre de vannes papillon, au DN de la Boucle N°1." sqref="C23" xr:uid="{00000000-0002-0000-0200-00000C000000}">
      <formula1>0</formula1>
      <formula2>0</formula2>
    </dataValidation>
    <dataValidation allowBlank="1" showInputMessage="1" showErrorMessage="1" promptTitle="Clapet anti-retour" prompt="Nombre de clapets anti-retour, au DN de la Boucle N°1." sqref="C24" xr:uid="{00000000-0002-0000-0200-00000D000000}">
      <formula1>0</formula1>
      <formula2>0</formula2>
    </dataValidation>
    <dataValidation allowBlank="1" showInputMessage="1" showErrorMessage="1" promptTitle="Filtre" prompt="Nombre de filtres, au DN de la Boucle N°1." sqref="C25" xr:uid="{00000000-0002-0000-0200-00000E000000}">
      <formula1>0</formula1>
      <formula2>0</formula2>
    </dataValidation>
    <dataValidation allowBlank="1" showInputMessage="1" showErrorMessage="1" promptTitle="Kolmat" prompt="Nombre de pots de Kolmat (360 ml) à commander." sqref="C40" xr:uid="{00000000-0002-0000-0200-00000F000000}">
      <formula1>0</formula1>
      <formula2>0</formula2>
    </dataValidation>
    <dataValidation allowBlank="1" showInputMessage="1" showErrorMessage="1" promptTitle="Filasse" prompt="Nombre de bobines de filasse (200 g) à commander." sqref="C41" xr:uid="{00000000-0002-0000-0200-000010000000}">
      <formula1>0</formula1>
      <formula2>0</formula2>
    </dataValidation>
    <dataValidation allowBlank="1" showInputMessage="1" showErrorMessage="1" promptTitle="Téflon" prompt="Nombre de rouleaux de téflon à commander." sqref="C42" xr:uid="{00000000-0002-0000-0200-000011000000}">
      <formula1>0</formula1>
      <formula2>0</formula2>
    </dataValidation>
    <dataValidation allowBlank="1" showInputMessage="1" showErrorMessage="1" promptTitle="Graisse Gruvlock" prompt="Nombre de pots de graisse Gruvlock (1 kg) à commander." sqref="C43" xr:uid="{00000000-0002-0000-0200-000012000000}">
      <formula1>0</formula1>
      <formula2>0</formula2>
    </dataValidation>
    <dataValidation allowBlank="1" showInputMessage="1" showErrorMessage="1" promptTitle="Peinture" prompt="Quantité de bombes de peinture galva (teinte automatique selon le tube)." sqref="C44" xr:uid="{00000000-0002-0000-0200-000013000000}">
      <formula1>0</formula1>
      <formula2>0</formula2>
    </dataValidation>
    <dataValidation type="list" allowBlank="1" showInputMessage="1" showErrorMessage="1" sqref="D5 F5 H5 J5" xr:uid="{00000000-0002-0000-0200-000014000000}">
      <formula1>"25,33,40,50,65,80,100,125,200"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2936071-C795-4C96-88DF-98B26EBC4412}">
          <x14:formula1>
            <xm:f>Catalogue!$B$4:$B$454</xm:f>
          </x14:formula1>
          <x14:formula2>
            <xm:f>0</xm:f>
          </x14:formula2>
          <xm:sqref>C28:C37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4"/>
  <sheetViews>
    <sheetView topLeftCell="A67" zoomScale="130" zoomScaleNormal="130" workbookViewId="0">
      <selection activeCell="C172" sqref="C172"/>
    </sheetView>
  </sheetViews>
  <sheetFormatPr baseColWidth="10" defaultColWidth="8.5703125" defaultRowHeight="15" x14ac:dyDescent="0.25"/>
  <cols>
    <col min="1" max="1" width="28.5703125" customWidth="1"/>
    <col min="2" max="2" width="25.5703125" customWidth="1"/>
    <col min="3" max="3" width="51.85546875" customWidth="1"/>
  </cols>
  <sheetData>
    <row r="1" spans="1:7" x14ac:dyDescent="0.25">
      <c r="A1" s="76" t="s">
        <v>1025</v>
      </c>
      <c r="B1" s="76" t="s">
        <v>1026</v>
      </c>
      <c r="C1" s="76" t="s">
        <v>1027</v>
      </c>
      <c r="D1" s="76" t="s">
        <v>1028</v>
      </c>
      <c r="E1" s="76" t="s">
        <v>1029</v>
      </c>
      <c r="F1" s="77" t="s">
        <v>1030</v>
      </c>
      <c r="G1" s="77" t="s">
        <v>1031</v>
      </c>
    </row>
    <row r="2" spans="1:7" x14ac:dyDescent="0.25">
      <c r="A2" s="76" t="s">
        <v>1032</v>
      </c>
      <c r="B2" s="76" t="str">
        <f>IFERROR(INDEX(Catalogue!$A$4:$A$454,SUMPRODUCT(((Catalogue!$C$4:$C$454="TUBE")*(Catalogue!$G$4:$G$454&lt;&gt;"SL")*(Catalogue!$D$4:$D$454=IF(SPK!$D$6="X","GALVA",IF(SPK!$F$6="X","NOIR","")))*(Catalogue!$E$4:$E$454=(SPK!$D$9+0)))*ROW(Catalogue!$C$4:$C$454))-3),"Non trouvé - vérifier")</f>
        <v>Non trouvé - vérifier</v>
      </c>
      <c r="C2" s="76" t="str">
        <f>IFERROR(INDEX(Catalogue!$B$4:$B$454,SUMPRODUCT(((Catalogue!$C$4:$C$454="TUBE")*(Catalogue!$G$4:$G$454&lt;&gt;"SL")*(Catalogue!$D$4:$D$454=IF(SPK!$D$6="X","GALVA",IF(SPK!$F$6="X","NOIR","")))*(Catalogue!$E$4:$E$454=(SPK!$D$9+0)))*ROW(Catalogue!$C$4:$C$454))-3),"")</f>
        <v/>
      </c>
      <c r="D2" s="78">
        <f>CEILING((SPK!$D$10),6)</f>
        <v>0</v>
      </c>
      <c r="E2" s="76" t="s">
        <v>1033</v>
      </c>
      <c r="F2" s="76" t="str">
        <f t="shared" ref="F2:F65" si="0">IF(AND(B2&lt;&gt;"",B2&lt;&gt;"Non trouvé - vérifier",D2&lt;&gt;"",D2&lt;&gt;0),SUMIF($B$2:$B$244,B2,$D$2:$D$244),"")</f>
        <v/>
      </c>
      <c r="G2" s="76">
        <f>IF(AND(B2&lt;&gt;"",B2&lt;&gt;"Non trouvé - vérifier",D2&lt;&gt;"",D2&lt;&gt;0),IF(COUNTIF($B$2:B2,B2)=1,1,0),0)</f>
        <v>0</v>
      </c>
    </row>
    <row r="3" spans="1:7" x14ac:dyDescent="0.25">
      <c r="A3" s="76" t="s">
        <v>1032</v>
      </c>
      <c r="B3" s="76" t="str">
        <f>IFERROR(INDEX(Catalogue!$A$4:$A$454,SUMPRODUCT(((Catalogue!$C$4:$C$454="COUDE90")*(Catalogue!$D$4:$D$454=IF(SPK!$D$4="X","ROUGE",IF(SPK!$F$4="X","BLANC",IF(SPK!$H$4="X","GALVA",""))))*(Catalogue!$E$4:$E$454=(SPK!$D$9+0)))*ROW(Catalogue!$C$4:$C$454))-3),"Non trouvé - vérifier")</f>
        <v>Non trouvé - vérifier</v>
      </c>
      <c r="C3" s="76" t="str">
        <f>IFERROR(INDEX(Catalogue!$B$4:$B$454,SUMPRODUCT(((Catalogue!$C$4:$C$454="COUDE90")*(Catalogue!$D$4:$D$454=IF(SPK!$D$4="X","ROUGE",IF(SPK!$F$4="X","BLANC",IF(SPK!$H$4="X","GALVA",""))))*(Catalogue!$E$4:$E$454=(SPK!$D$9+0)))*ROW(Catalogue!$C$4:$C$454))-3),"")</f>
        <v/>
      </c>
      <c r="D3" s="78">
        <f>SPK!$D$11</f>
        <v>0</v>
      </c>
      <c r="E3" s="76" t="s">
        <v>1034</v>
      </c>
      <c r="F3" s="76" t="str">
        <f t="shared" si="0"/>
        <v/>
      </c>
      <c r="G3" s="76">
        <f>IF(AND(B3&lt;&gt;"",B3&lt;&gt;"Non trouvé - vérifier",D3&lt;&gt;"",D3&lt;&gt;0),IF(COUNTIF($B$2:B3,B3)=1,1,0),0)</f>
        <v>0</v>
      </c>
    </row>
    <row r="4" spans="1:7" x14ac:dyDescent="0.25">
      <c r="A4" s="76" t="s">
        <v>1032</v>
      </c>
      <c r="B4" s="76" t="str">
        <f>IFERROR(INDEX(Catalogue!$A$4:$A$454,SUMPRODUCT(((Catalogue!$C$4:$C$454="CPC")*(Catalogue!$D$4:$D$454=IF(SPK!$D$4="X","ROUGE",IF(SPK!$F$4="X","GALVA",IF(SPK!$H$4="X","GALVA",""))))*(Catalogue!$F$4:$F$454=(SPK!$D$9+0))*(Catalogue!$E$4:$E$454=(SPK!$D$12+0))*(Catalogue!$G$4:$G$454=IF(LEFT(SPK!$D$13,1)="R","RAINURE",IF(LEFT(SPK!$D$13,1)="T","TARAUDE",""))))*ROW(Catalogue!$C$4:$C$454))-3),"Non trouvé - vérifier")</f>
        <v>Non trouvé - vérifier</v>
      </c>
      <c r="C4" s="76" t="str">
        <f>IFERROR(INDEX(Catalogue!$B$4:$B$454,SUMPRODUCT(((Catalogue!$C$4:$C$454="CPC")*(Catalogue!$D$4:$D$454=IF(SPK!$D$4="X","ROUGE",IF(SPK!$F$4="X","GALVA",IF(SPK!$H$4="X","GALVA",""))))*(Catalogue!$F$4:$F$454=(SPK!$D$9+0))*(Catalogue!$E$4:$E$454=(SPK!$D$12+0))*(Catalogue!$G$4:$G$454=IF(LEFT(SPK!$D$13,1)="R","RAINURE",IF(LEFT(SPK!$D$13,1)="T","TARAUDE",""))))*ROW(Catalogue!$C$4:$C$454))-3),"")</f>
        <v/>
      </c>
      <c r="D4" s="76">
        <f>1</f>
        <v>1</v>
      </c>
      <c r="E4" s="76" t="s">
        <v>1034</v>
      </c>
      <c r="F4" s="76" t="str">
        <f t="shared" si="0"/>
        <v/>
      </c>
      <c r="G4" s="76">
        <f>IF(AND(B4&lt;&gt;"",B4&lt;&gt;"Non trouvé - vérifier",D4&lt;&gt;"",D4&lt;&gt;0),IF(COUNTIF($B$2:B4,B4)=1,1,0),0)</f>
        <v>0</v>
      </c>
    </row>
    <row r="5" spans="1:7" x14ac:dyDescent="0.25">
      <c r="A5" s="76" t="s">
        <v>1032</v>
      </c>
      <c r="B5" s="76" t="str">
        <f>IFERROR(INDEX(Catalogue!$A$4:$A$454,SUMPRODUCT(((Catalogue!$C$4:$C$454="RACCORD")*(Catalogue!$D$4:$D$454=IF(SPK!$D$4="X","ROUGE",IF(SPK!$F$4="X","BLANC",IF(SPK!$H$4="X","GALVA",""))))*(Catalogue!$E$4:$E$454=(SPK!$D$9+0)))*ROW(Catalogue!$C$4:$C$454))-3),"Non trouvé - vérifier")</f>
        <v>Non trouvé - vérifier</v>
      </c>
      <c r="C5" s="76" t="str">
        <f>IFERROR(INDEX(Catalogue!$B$4:$B$454,SUMPRODUCT(((Catalogue!$C$4:$C$454="RACCORD")*(Catalogue!$D$4:$D$454=IF(SPK!$D$4="X","ROUGE",IF(SPK!$F$4="X","BLANC",IF(SPK!$H$4="X","GALVA",""))))*(Catalogue!$E$4:$E$454=(SPK!$D$9+0)))*ROW(Catalogue!$C$4:$C$454))-3),"")</f>
        <v/>
      </c>
      <c r="D5" s="76">
        <f>ROUNDUP(((SPK!$D$10/6)+(SPK!$D$11*2))*1.1,0)</f>
        <v>0</v>
      </c>
      <c r="E5" s="76" t="s">
        <v>1034</v>
      </c>
      <c r="F5" s="76" t="str">
        <f t="shared" si="0"/>
        <v/>
      </c>
      <c r="G5" s="76">
        <f>IF(AND(B5&lt;&gt;"",B5&lt;&gt;"Non trouvé - vérifier",D5&lt;&gt;"",D5&lt;&gt;0),IF(COUNTIF($B$2:B5,B5)=1,1,0),0)</f>
        <v>0</v>
      </c>
    </row>
    <row r="6" spans="1:7" x14ac:dyDescent="0.25">
      <c r="A6" s="76" t="s">
        <v>1035</v>
      </c>
      <c r="B6" s="76" t="str">
        <f>IF((IFERROR(INDEX(Supports!$C$4:$C$23,MATCH(SPK!$D$14,Supports!$B$4:$B$23,0)),""))="","",IF(IFERROR(INDEX(Supports!$C$4:$C$23,MATCH(SPK!$D$14,Supports!$B$4:$B$23,0)),"")="ETRIER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vérifier"),IF(IFERROR(INDEX(Supports!$C$4:$C$23,MATCH(SPK!$D$14,Supports!$B$4:$B$23,0)),"")="COLLIER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vérifier"),IF(IFERROR(INDEX(Supports!$C$4:$C$23,MATCH(SPK!$D$14,Supports!$B$4:$B$23,0)),"")="COLLIER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vérifier"),IFERROR(INDEX(Catalogue!$A$4:$A$454,MATCH(IFERROR(INDEX(Supports!$C$4:$C$23,MATCH(SPK!$D$14,Supports!$B$4:$B$23,0)),""),Catalogue!$B$4:$B$454,0)),"")))))</f>
        <v/>
      </c>
      <c r="C6" s="76" t="str">
        <f>IF((IFERROR(INDEX(Supports!$C$4:$C$23,MATCH(SPK!$D$14,Supports!$B$4:$B$23,0)),""))="","",IF(IFERROR(INDEX(Supports!$C$4:$C$23,MATCH(SPK!$D$14,Supports!$B$4:$B$23,0)),"")="ETRIER RALLONGE (DN automatique = DN du tube)",IFERROR(INDEX(Catalogue!$B$4:$B$454,SUMPRODUCT(((Catalogue!$C$4:$C$454="ETRIER")*(Catalogue!$E$4:$E$454=(SPK!$D$9+0)))*ROW(Catalogue!$C$4:$C$454))-3),""),IF(IFERROR(INDEX(Supports!$C$4:$C$23,MATCH(SPK!$D$14,Supports!$B$4:$B$23,0)),"")="COLLIER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tube)",IFERROR(INDEX(Catalogue!$B$4:$B$454,SUMPRODUCT(((Catalogue!$C$4:$C$454="COLLIERINDUS")*(Catalogue!$E$4:$E$454=(SPK!$D$9+0)))*ROW(Catalogue!$C$4:$C$454))-3),""),IF(IFERROR(INDEX(Supports!$C$4:$C$23,MATCH(SPK!$D$14,Supports!$B$4:$B$23,0)),"")="COLLIER POIRE (DN automatique = DN du tube)",IFERROR(INDEX(Catalogue!$B$4:$B$454,SUMPRODUCT(((Catalogue!$C$4:$C$454="COLLIERPOIRE")*(Catalogue!$E$4:$E$454=(SPK!$D$9+0)))*ROW(Catalogue!$C$4:$C$454))-3),""),IFERROR(INDEX(Supports!$C$4:$C$23,MATCH(SPK!$D$14,Supports!$B$4:$B$23,0)),"")))))</f>
        <v/>
      </c>
      <c r="D6" s="76" t="str">
        <f>IF((IFERROR(INDEX(Supports!$C$4:$C$23,MATCH(SPK!$D$14,Supports!$B$4:$B$23,0)),""))="","",(IFERROR(INDEX(Supports!$D$4:$D$23,MATCH(SPK!$D$14,Supports!$B$4:$B$23,0)),0))*SPK!$D$15)</f>
        <v/>
      </c>
      <c r="E6" s="76" t="s">
        <v>1036</v>
      </c>
      <c r="F6" s="76" t="str">
        <f t="shared" si="0"/>
        <v/>
      </c>
      <c r="G6" s="76">
        <f>IF(AND(B6&lt;&gt;"",B6&lt;&gt;"Non trouvé - vérifier",D6&lt;&gt;"",D6&lt;&gt;0),IF(COUNTIF($B$2:B6,B6)=1,1,0),0)</f>
        <v>0</v>
      </c>
    </row>
    <row r="7" spans="1:7" x14ac:dyDescent="0.25">
      <c r="A7" s="76" t="s">
        <v>1035</v>
      </c>
      <c r="B7" s="76" t="str">
        <f>IF((IFERROR(INDEX(Supports!$E$4:$E$23,MATCH(SPK!$D$14,Supports!$B$4:$B$23,0)),""))="","",IF(IFERROR(INDEX(Supports!$E$4:$E$23,MATCH(SPK!$D$14,Supports!$B$4:$B$23,0)),"")="ETRIER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vérifier"),IF(IFERROR(INDEX(Supports!$E$4:$E$23,MATCH(SPK!$D$14,Supports!$B$4:$B$23,0)),"")="COLLIER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vérifier"),IF(IFERROR(INDEX(Supports!$E$4:$E$23,MATCH(SPK!$D$14,Supports!$B$4:$B$23,0)),"")="COLLIER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vérifier"),IFERROR(INDEX(Catalogue!$A$4:$A$454,MATCH(IFERROR(INDEX(Supports!$E$4:$E$23,MATCH(SPK!$D$14,Supports!$B$4:$B$23,0)),""),Catalogue!$B$4:$B$454,0)),"")))))</f>
        <v/>
      </c>
      <c r="C7" s="76" t="str">
        <f>IF((IFERROR(INDEX(Supports!$E$4:$E$23,MATCH(SPK!$D$14,Supports!$B$4:$B$23,0)),""))="","",IF(IFERROR(INDEX(Supports!$E$4:$E$23,MATCH(SPK!$D$14,Supports!$B$4:$B$23,0)),"")="ETRIER RALLONGE (DN automatique = DN du tube)",IFERROR(INDEX(Catalogue!$B$4:$B$454,SUMPRODUCT(((Catalogue!$C$4:$C$454="ETRIER")*(Catalogue!$E$4:$E$454=(SPK!$D$9+0)))*ROW(Catalogue!$C$4:$C$454))-3),""),IF(IFERROR(INDEX(Supports!$E$4:$E$23,MATCH(SPK!$D$14,Supports!$B$4:$B$23,0)),"")="COLLIER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tube)",IFERROR(INDEX(Catalogue!$B$4:$B$454,SUMPRODUCT(((Catalogue!$C$4:$C$454="COLLIERINDUS")*(Catalogue!$E$4:$E$454=(SPK!$D$9+0)))*ROW(Catalogue!$C$4:$C$454))-3),""),IF(IFERROR(INDEX(Supports!$E$4:$E$23,MATCH(SPK!$D$14,Supports!$B$4:$B$23,0)),"")="COLLIER POIRE (DN automatique = DN du tube)",IFERROR(INDEX(Catalogue!$B$4:$B$454,SUMPRODUCT(((Catalogue!$C$4:$C$454="COLLIERPOIRE")*(Catalogue!$E$4:$E$454=(SPK!$D$9+0)))*ROW(Catalogue!$C$4:$C$454))-3),""),IFERROR(INDEX(Supports!$E$4:$E$23,MATCH(SPK!$D$14,Supports!$B$4:$B$23,0)),"")))))</f>
        <v/>
      </c>
      <c r="D7" s="76" t="str">
        <f>IF((IFERROR(INDEX(Supports!$E$4:$E$23,MATCH(SPK!$D$14,Supports!$B$4:$B$23,0)),""))="","",(IFERROR(INDEX(Supports!$F$4:$F$23,MATCH(SPK!$D$14,Supports!$B$4:$B$23,0)),0))*SPK!$D$15)</f>
        <v/>
      </c>
      <c r="E7" s="76" t="s">
        <v>1036</v>
      </c>
      <c r="F7" s="76" t="str">
        <f t="shared" si="0"/>
        <v/>
      </c>
      <c r="G7" s="76">
        <f>IF(AND(B7&lt;&gt;"",B7&lt;&gt;"Non trouvé - vérifier",D7&lt;&gt;"",D7&lt;&gt;0),IF(COUNTIF($B$2:B7,B7)=1,1,0),0)</f>
        <v>0</v>
      </c>
    </row>
    <row r="8" spans="1:7" x14ac:dyDescent="0.25">
      <c r="A8" s="76" t="s">
        <v>1035</v>
      </c>
      <c r="B8" s="76" t="str">
        <f>IF((IFERROR(INDEX(Supports!$G$4:$G$23,MATCH(SPK!$D$14,Supports!$B$4:$B$23,0)),""))="","",IF(IFERROR(INDEX(Supports!$G$4:$G$23,MATCH(SPK!$D$14,Supports!$B$4:$B$23,0)),"")="ETRIER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vérifier"),IF(IFERROR(INDEX(Supports!$G$4:$G$23,MATCH(SPK!$D$14,Supports!$B$4:$B$23,0)),"")="COLLIER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vérifier"),IF(IFERROR(INDEX(Supports!$G$4:$G$23,MATCH(SPK!$D$14,Supports!$B$4:$B$23,0)),"")="COLLIER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vérifier"),IFERROR(INDEX(Catalogue!$A$4:$A$454,MATCH(IFERROR(INDEX(Supports!$G$4:$G$23,MATCH(SPK!$D$14,Supports!$B$4:$B$23,0)),""),Catalogue!$B$4:$B$454,0)),"")))))</f>
        <v/>
      </c>
      <c r="C8" s="76" t="str">
        <f>IF((IFERROR(INDEX(Supports!$G$4:$G$23,MATCH(SPK!$D$14,Supports!$B$4:$B$23,0)),""))="","",IF(IFERROR(INDEX(Supports!$G$4:$G$23,MATCH(SPK!$D$14,Supports!$B$4:$B$23,0)),"")="ETRIER RALLONGE (DN automatique = DN du tube)",IFERROR(INDEX(Catalogue!$B$4:$B$454,SUMPRODUCT(((Catalogue!$C$4:$C$454="ETRIER")*(Catalogue!$E$4:$E$454=(SPK!$D$9+0)))*ROW(Catalogue!$C$4:$C$454))-3),""),IF(IFERROR(INDEX(Supports!$G$4:$G$23,MATCH(SPK!$D$14,Supports!$B$4:$B$23,0)),"")="COLLIER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tube)",IFERROR(INDEX(Catalogue!$B$4:$B$454,SUMPRODUCT(((Catalogue!$C$4:$C$454="COLLIERINDUS")*(Catalogue!$E$4:$E$454=(SPK!$D$9+0)))*ROW(Catalogue!$C$4:$C$454))-3),""),IF(IFERROR(INDEX(Supports!$G$4:$G$23,MATCH(SPK!$D$14,Supports!$B$4:$B$23,0)),"")="COLLIER POIRE (DN automatique = DN du tube)",IFERROR(INDEX(Catalogue!$B$4:$B$454,SUMPRODUCT(((Catalogue!$C$4:$C$454="COLLIERPOIRE")*(Catalogue!$E$4:$E$454=(SPK!$D$9+0)))*ROW(Catalogue!$C$4:$C$454))-3),""),IFERROR(INDEX(Supports!$G$4:$G$23,MATCH(SPK!$D$14,Supports!$B$4:$B$23,0)),"")))))</f>
        <v/>
      </c>
      <c r="D8" s="76" t="str">
        <f>IF((IFERROR(INDEX(Supports!$G$4:$G$23,MATCH(SPK!$D$14,Supports!$B$4:$B$23,0)),""))="","",(IFERROR(INDEX(Supports!$H$4:$H$23,MATCH(SPK!$D$14,Supports!$B$4:$B$23,0)),0))*SPK!$D$15)</f>
        <v/>
      </c>
      <c r="E8" s="76" t="s">
        <v>1036</v>
      </c>
      <c r="F8" s="76" t="str">
        <f t="shared" si="0"/>
        <v/>
      </c>
      <c r="G8" s="76">
        <f>IF(AND(B8&lt;&gt;"",B8&lt;&gt;"Non trouvé - vérifier",D8&lt;&gt;"",D8&lt;&gt;0),IF(COUNTIF($B$2:B8,B8)=1,1,0),0)</f>
        <v>0</v>
      </c>
    </row>
    <row r="9" spans="1:7" x14ac:dyDescent="0.25">
      <c r="A9" s="76" t="s">
        <v>1035</v>
      </c>
      <c r="B9" s="76" t="str">
        <f>IF((IFERROR(INDEX(Supports!$I$4:$I$23,MATCH(SPK!$D$14,Supports!$B$4:$B$23,0)),""))="","",IF(IFERROR(INDEX(Supports!$I$4:$I$23,MATCH(SPK!$D$14,Supports!$B$4:$B$23,0)),"")="ETRIER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vérifier"),IF(IFERROR(INDEX(Supports!$I$4:$I$23,MATCH(SPK!$D$14,Supports!$B$4:$B$23,0)),"")="COLLIER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vérifier"),IF(IFERROR(INDEX(Supports!$I$4:$I$23,MATCH(SPK!$D$14,Supports!$B$4:$B$23,0)),"")="COLLIER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vérifier"),IFERROR(INDEX(Catalogue!$A$4:$A$454,MATCH(IFERROR(INDEX(Supports!$I$4:$I$23,MATCH(SPK!$D$14,Supports!$B$4:$B$23,0)),""),Catalogue!$B$4:$B$454,0)),"")))))</f>
        <v/>
      </c>
      <c r="C9" s="76" t="str">
        <f>IF((IFERROR(INDEX(Supports!$I$4:$I$23,MATCH(SPK!$D$14,Supports!$B$4:$B$23,0)),""))="","",IF(IFERROR(INDEX(Supports!$I$4:$I$23,MATCH(SPK!$D$14,Supports!$B$4:$B$23,0)),"")="ETRIER RALLONGE (DN automatique = DN du tube)",IFERROR(INDEX(Catalogue!$B$4:$B$454,SUMPRODUCT(((Catalogue!$C$4:$C$454="ETRIER")*(Catalogue!$E$4:$E$454=(SPK!$D$9+0)))*ROW(Catalogue!$C$4:$C$454))-3),""),IF(IFERROR(INDEX(Supports!$I$4:$I$23,MATCH(SPK!$D$14,Supports!$B$4:$B$23,0)),"")="COLLIER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tube)",IFERROR(INDEX(Catalogue!$B$4:$B$454,SUMPRODUCT(((Catalogue!$C$4:$C$454="COLLIERINDUS")*(Catalogue!$E$4:$E$454=(SPK!$D$9+0)))*ROW(Catalogue!$C$4:$C$454))-3),""),IF(IFERROR(INDEX(Supports!$I$4:$I$23,MATCH(SPK!$D$14,Supports!$B$4:$B$23,0)),"")="COLLIER POIRE (DN automatique = DN du tube)",IFERROR(INDEX(Catalogue!$B$4:$B$454,SUMPRODUCT(((Catalogue!$C$4:$C$454="COLLIERPOIRE")*(Catalogue!$E$4:$E$454=(SPK!$D$9+0)))*ROW(Catalogue!$C$4:$C$454))-3),""),IFERROR(INDEX(Supports!$I$4:$I$23,MATCH(SPK!$D$14,Supports!$B$4:$B$23,0)),"")))))</f>
        <v/>
      </c>
      <c r="D9" s="76" t="str">
        <f>IF((IFERROR(INDEX(Supports!$I$4:$I$23,MATCH(SPK!$D$14,Supports!$B$4:$B$23,0)),""))="","",(IFERROR(INDEX(Supports!$J$4:$J$23,MATCH(SPK!$D$14,Supports!$B$4:$B$23,0)),0))*SPK!$D$15)</f>
        <v/>
      </c>
      <c r="E9" s="76" t="s">
        <v>1036</v>
      </c>
      <c r="F9" s="76" t="str">
        <f t="shared" si="0"/>
        <v/>
      </c>
      <c r="G9" s="76">
        <f>IF(AND(B9&lt;&gt;"",B9&lt;&gt;"Non trouvé - vérifier",D9&lt;&gt;"",D9&lt;&gt;0),IF(COUNTIF($B$2:B9,B9)=1,1,0),0)</f>
        <v>0</v>
      </c>
    </row>
    <row r="10" spans="1:7" x14ac:dyDescent="0.25">
      <c r="A10" s="76" t="s">
        <v>1035</v>
      </c>
      <c r="B10" s="76" t="str">
        <f>IF((IFERROR(INDEX(Supports!$K$4:$K$23,MATCH(SPK!$D$14,Supports!$B$4:$B$23,0)),""))="","",IF(IFERROR(INDEX(Supports!$K$4:$K$23,MATCH(SPK!$D$14,Supports!$B$4:$B$23,0)),"")="ETRIER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vérifier"),IF(IFERROR(INDEX(Supports!$K$4:$K$23,MATCH(SPK!$D$14,Supports!$B$4:$B$23,0)),"")="COLLIER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vérifier"),IF(IFERROR(INDEX(Supports!$K$4:$K$23,MATCH(SPK!$D$14,Supports!$B$4:$B$23,0)),"")="COLLIER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vérifier"),IFERROR(INDEX(Catalogue!$A$4:$A$454,MATCH(IFERROR(INDEX(Supports!$K$4:$K$23,MATCH(SPK!$D$14,Supports!$B$4:$B$23,0)),""),Catalogue!$B$4:$B$454,0)),"")))))</f>
        <v/>
      </c>
      <c r="C10" s="76" t="str">
        <f>IF((IFERROR(INDEX(Supports!$K$4:$K$23,MATCH(SPK!$D$14,Supports!$B$4:$B$23,0)),""))="","",IF(IFERROR(INDEX(Supports!$K$4:$K$23,MATCH(SPK!$D$14,Supports!$B$4:$B$23,0)),"")="ETRIER RALLONGE (DN automatique = DN du tube)",IFERROR(INDEX(Catalogue!$B$4:$B$454,SUMPRODUCT(((Catalogue!$C$4:$C$454="ETRIER")*(Catalogue!$E$4:$E$454=(SPK!$D$9+0)))*ROW(Catalogue!$C$4:$C$454))-3),""),IF(IFERROR(INDEX(Supports!$K$4:$K$23,MATCH(SPK!$D$14,Supports!$B$4:$B$23,0)),"")="COLLIER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tube)",IFERROR(INDEX(Catalogue!$B$4:$B$454,SUMPRODUCT(((Catalogue!$C$4:$C$454="COLLIERINDUS")*(Catalogue!$E$4:$E$454=(SPK!$D$9+0)))*ROW(Catalogue!$C$4:$C$454))-3),""),IF(IFERROR(INDEX(Supports!$K$4:$K$23,MATCH(SPK!$D$14,Supports!$B$4:$B$23,0)),"")="COLLIER POIRE (DN automatique = DN du tube)",IFERROR(INDEX(Catalogue!$B$4:$B$454,SUMPRODUCT(((Catalogue!$C$4:$C$454="COLLIERPOIRE")*(Catalogue!$E$4:$E$454=(SPK!$D$9+0)))*ROW(Catalogue!$C$4:$C$454))-3),""),IFERROR(INDEX(Supports!$K$4:$K$23,MATCH(SPK!$D$14,Supports!$B$4:$B$23,0)),"")))))</f>
        <v/>
      </c>
      <c r="D10" s="76" t="str">
        <f>IF((IFERROR(INDEX(Supports!$K$4:$K$23,MATCH(SPK!$D$14,Supports!$B$4:$B$23,0)),""))="","",(IFERROR(INDEX(Supports!$L$4:$L$23,MATCH(SPK!$D$14,Supports!$B$4:$B$23,0)),0))*SPK!$D$15)</f>
        <v/>
      </c>
      <c r="E10" s="76" t="s">
        <v>1036</v>
      </c>
      <c r="F10" s="76" t="str">
        <f t="shared" si="0"/>
        <v/>
      </c>
      <c r="G10" s="76">
        <f>IF(AND(B10&lt;&gt;"",B10&lt;&gt;"Non trouvé - vérifier",D10&lt;&gt;"",D10&lt;&gt;0),IF(COUNTIF($B$2:B10,B10)=1,1,0),0)</f>
        <v>0</v>
      </c>
    </row>
    <row r="11" spans="1:7" x14ac:dyDescent="0.25">
      <c r="A11" s="76" t="s">
        <v>1035</v>
      </c>
      <c r="B11" s="76" t="str">
        <f>IF((IFERROR(INDEX(Supports!$M$4:$M$23,MATCH(SPK!$D$14,Supports!$B$4:$B$23,0)),""))="","",IF(IFERROR(INDEX(Supports!$M$4:$M$23,MATCH(SPK!$D$14,Supports!$B$4:$B$23,0)),"")="ETRIER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vérifier"),IF(IFERROR(INDEX(Supports!$M$4:$M$23,MATCH(SPK!$D$14,Supports!$B$4:$B$23,0)),"")="COLLIER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vérifier"),IF(IFERROR(INDEX(Supports!$M$4:$M$23,MATCH(SPK!$D$14,Supports!$B$4:$B$23,0)),"")="COLLIER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vérifier"),IFERROR(INDEX(Catalogue!$A$4:$A$454,MATCH(IFERROR(INDEX(Supports!$M$4:$M$23,MATCH(SPK!$D$14,Supports!$B$4:$B$23,0)),""),Catalogue!$B$4:$B$454,0)),"")))))</f>
        <v/>
      </c>
      <c r="C11" s="76" t="str">
        <f>IF((IFERROR(INDEX(Supports!$M$4:$M$23,MATCH(SPK!$D$14,Supports!$B$4:$B$23,0)),""))="","",IF(IFERROR(INDEX(Supports!$M$4:$M$23,MATCH(SPK!$D$14,Supports!$B$4:$B$23,0)),"")="ETRIER RALLONGE (DN automatique = DN du tube)",IFERROR(INDEX(Catalogue!$B$4:$B$454,SUMPRODUCT(((Catalogue!$C$4:$C$454="ETRIER")*(Catalogue!$E$4:$E$454=(SPK!$D$9+0)))*ROW(Catalogue!$C$4:$C$454))-3),""),IF(IFERROR(INDEX(Supports!$M$4:$M$23,MATCH(SPK!$D$14,Supports!$B$4:$B$23,0)),"")="COLLIER INDUSTRIEL (DN automatique = DN du tube)",IFERROR(INDEX(Catalogue!$B$4:$B$454,SUMPRODUCT(((Catalogue!$C$4:$C$454="COLLIERINDUS")*(Catalogue!$E$4:$E$454=(SPK!$D$9+0)))*ROW(Catalogue!$C$4:$C$454))-3),""),IF(IFERROR(INDEX(Supports!$M$4:$M$23,MATCH(SPK!$D$14,Supports!$B$4:$B$23,0)),"")="COLLIER POIRE (DN automatique = DN du tube)",IFERROR(INDEX(Catalogue!$B$4:$B$454,SUMPRODUCT(((Catalogue!$C$4:$C$454="COLLIERPOIRE")*(Catalogue!$E$4:$E$454=(SPK!$D$9+0)))*ROW(Catalogue!$C$4:$C$454))-3),""),IFERROR(INDEX(Supports!$M$4:$M$23,MATCH(SPK!$D$14,Supports!$B$4:$B$23,0)),"")))))</f>
        <v/>
      </c>
      <c r="D11" s="76" t="str">
        <f>IF((IFERROR(INDEX(Supports!$M$4:$M$23,MATCH(SPK!$D$14,Supports!$B$4:$B$23,0)),""))="","",(IFERROR(INDEX(Supports!$N$4:$N$23,MATCH(SPK!$D$14,Supports!$B$4:$B$23,0)),0))*SPK!$D$15)</f>
        <v/>
      </c>
      <c r="E11" s="76" t="s">
        <v>1036</v>
      </c>
      <c r="F11" s="76" t="str">
        <f t="shared" si="0"/>
        <v/>
      </c>
      <c r="G11" s="76">
        <f>IF(AND(B11&lt;&gt;"",B11&lt;&gt;"Non trouvé - vérifier",D11&lt;&gt;"",D11&lt;&gt;0),IF(COUNTIF($B$2:B11,B11)=1,1,0),0)</f>
        <v>0</v>
      </c>
    </row>
    <row r="12" spans="1:7" x14ac:dyDescent="0.25">
      <c r="A12" s="76" t="s">
        <v>1037</v>
      </c>
      <c r="B12" s="76" t="str">
        <f>IF((IFERROR(INDEX(Supports!$C$4:$C$23,MATCH(SPK!$D$16,Supports!$B$4:$B$23,0)),""))="","",IF(IFERROR(INDEX(Supports!$C$4:$C$23,MATCH(SPK!$D$16,Supports!$B$4:$B$23,0)),"")="ETRIER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vérifier"),IF(IFERROR(INDEX(Supports!$C$4:$C$23,MATCH(SPK!$D$16,Supports!$B$4:$B$23,0)),"")="COLLIER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vérifier"),IF(IFERROR(INDEX(Supports!$C$4:$C$23,MATCH(SPK!$D$16,Supports!$B$4:$B$23,0)),"")="COLLIER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vérifier"),IFERROR(INDEX(Catalogue!$A$4:$A$454,MATCH(IFERROR(INDEX(Supports!$C$4:$C$23,MATCH(SPK!$D$16,Supports!$B$4:$B$23,0)),""),Catalogue!$B$4:$B$454,0)),"")))))</f>
        <v/>
      </c>
      <c r="C12" s="76" t="str">
        <f>IF((IFERROR(INDEX(Supports!$C$4:$C$23,MATCH(SPK!$D$16,Supports!$B$4:$B$23,0)),""))="","",IF(IFERROR(INDEX(Supports!$C$4:$C$23,MATCH(SPK!$D$16,Supports!$B$4:$B$23,0)),"")="ETRIER RALLONGE (DN automatique = DN du tube)",IFERROR(INDEX(Catalogue!$B$4:$B$454,SUMPRODUCT(((Catalogue!$C$4:$C$454="ETRIER")*(Catalogue!$E$4:$E$454=(SPK!$D$9+0)))*ROW(Catalogue!$C$4:$C$454))-3),""),IF(IFERROR(INDEX(Supports!$C$4:$C$23,MATCH(SPK!$D$16,Supports!$B$4:$B$23,0)),"")="COLLIER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tube)",IFERROR(INDEX(Catalogue!$B$4:$B$454,SUMPRODUCT(((Catalogue!$C$4:$C$454="COLLIERINDUS")*(Catalogue!$E$4:$E$454=(SPK!$D$9+0)))*ROW(Catalogue!$C$4:$C$454))-3),""),IF(IFERROR(INDEX(Supports!$C$4:$C$23,MATCH(SPK!$D$16,Supports!$B$4:$B$23,0)),"")="COLLIER POIRE (DN automatique = DN du tube)",IFERROR(INDEX(Catalogue!$B$4:$B$454,SUMPRODUCT(((Catalogue!$C$4:$C$454="COLLIERPOIRE")*(Catalogue!$E$4:$E$454=(SPK!$D$9+0)))*ROW(Catalogue!$C$4:$C$454))-3),""),IFERROR(INDEX(Supports!$C$4:$C$23,MATCH(SPK!$D$16,Supports!$B$4:$B$23,0)),"")))))</f>
        <v/>
      </c>
      <c r="D12" s="76" t="str">
        <f>IF((IFERROR(INDEX(Supports!$C$4:$C$23,MATCH(SPK!$D$16,Supports!$B$4:$B$23,0)),""))="","",(IFERROR(INDEX(Supports!$D$4:$D$23,MATCH(SPK!$D$16,Supports!$B$4:$B$23,0)),0))*SPK!$D$17)</f>
        <v/>
      </c>
      <c r="E12" s="76" t="s">
        <v>1036</v>
      </c>
      <c r="F12" s="76" t="str">
        <f t="shared" si="0"/>
        <v/>
      </c>
      <c r="G12" s="76">
        <f>IF(AND(B12&lt;&gt;"",B12&lt;&gt;"Non trouvé - vérifier",D12&lt;&gt;"",D12&lt;&gt;0),IF(COUNTIF($B$2:B12,B12)=1,1,0),0)</f>
        <v>0</v>
      </c>
    </row>
    <row r="13" spans="1:7" x14ac:dyDescent="0.25">
      <c r="A13" s="76" t="s">
        <v>1037</v>
      </c>
      <c r="B13" s="76" t="str">
        <f>IF((IFERROR(INDEX(Supports!$E$4:$E$23,MATCH(SPK!$D$16,Supports!$B$4:$B$23,0)),""))="","",IF(IFERROR(INDEX(Supports!$E$4:$E$23,MATCH(SPK!$D$16,Supports!$B$4:$B$23,0)),"")="ETRIER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vérifier"),IF(IFERROR(INDEX(Supports!$E$4:$E$23,MATCH(SPK!$D$16,Supports!$B$4:$B$23,0)),"")="COLLIER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vérifier"),IF(IFERROR(INDEX(Supports!$E$4:$E$23,MATCH(SPK!$D$16,Supports!$B$4:$B$23,0)),"")="COLLIER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vérifier"),IFERROR(INDEX(Catalogue!$A$4:$A$454,MATCH(IFERROR(INDEX(Supports!$E$4:$E$23,MATCH(SPK!$D$16,Supports!$B$4:$B$23,0)),""),Catalogue!$B$4:$B$454,0)),"")))))</f>
        <v/>
      </c>
      <c r="C13" s="76" t="str">
        <f>IF((IFERROR(INDEX(Supports!$E$4:$E$23,MATCH(SPK!$D$16,Supports!$B$4:$B$23,0)),""))="","",IF(IFERROR(INDEX(Supports!$E$4:$E$23,MATCH(SPK!$D$16,Supports!$B$4:$B$23,0)),"")="ETRIER RALLONGE (DN automatique = DN du tube)",IFERROR(INDEX(Catalogue!$B$4:$B$454,SUMPRODUCT(((Catalogue!$C$4:$C$454="ETRIER")*(Catalogue!$E$4:$E$454=(SPK!$D$9+0)))*ROW(Catalogue!$C$4:$C$454))-3),""),IF(IFERROR(INDEX(Supports!$E$4:$E$23,MATCH(SPK!$D$16,Supports!$B$4:$B$23,0)),"")="COLLIER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tube)",IFERROR(INDEX(Catalogue!$B$4:$B$454,SUMPRODUCT(((Catalogue!$C$4:$C$454="COLLIERINDUS")*(Catalogue!$E$4:$E$454=(SPK!$D$9+0)))*ROW(Catalogue!$C$4:$C$454))-3),""),IF(IFERROR(INDEX(Supports!$E$4:$E$23,MATCH(SPK!$D$16,Supports!$B$4:$B$23,0)),"")="COLLIER POIRE (DN automatique = DN du tube)",IFERROR(INDEX(Catalogue!$B$4:$B$454,SUMPRODUCT(((Catalogue!$C$4:$C$454="COLLIERPOIRE")*(Catalogue!$E$4:$E$454=(SPK!$D$9+0)))*ROW(Catalogue!$C$4:$C$454))-3),""),IFERROR(INDEX(Supports!$E$4:$E$23,MATCH(SPK!$D$16,Supports!$B$4:$B$23,0)),"")))))</f>
        <v/>
      </c>
      <c r="D13" s="76" t="str">
        <f>IF((IFERROR(INDEX(Supports!$E$4:$E$23,MATCH(SPK!$D$16,Supports!$B$4:$B$23,0)),""))="","",(IFERROR(INDEX(Supports!$F$4:$F$23,MATCH(SPK!$D$16,Supports!$B$4:$B$23,0)),0))*SPK!$D$17)</f>
        <v/>
      </c>
      <c r="E13" s="76" t="s">
        <v>1036</v>
      </c>
      <c r="F13" s="76" t="str">
        <f t="shared" si="0"/>
        <v/>
      </c>
      <c r="G13" s="76">
        <f>IF(AND(B13&lt;&gt;"",B13&lt;&gt;"Non trouvé - vérifier",D13&lt;&gt;"",D13&lt;&gt;0),IF(COUNTIF($B$2:B13,B13)=1,1,0),0)</f>
        <v>0</v>
      </c>
    </row>
    <row r="14" spans="1:7" x14ac:dyDescent="0.25">
      <c r="A14" s="76" t="s">
        <v>1037</v>
      </c>
      <c r="B14" s="76" t="str">
        <f>IF((IFERROR(INDEX(Supports!$G$4:$G$23,MATCH(SPK!$D$16,Supports!$B$4:$B$23,0)),""))="","",IF(IFERROR(INDEX(Supports!$G$4:$G$23,MATCH(SPK!$D$16,Supports!$B$4:$B$23,0)),"")="ETRIER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vérifier"),IF(IFERROR(INDEX(Supports!$G$4:$G$23,MATCH(SPK!$D$16,Supports!$B$4:$B$23,0)),"")="COLLIER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vérifier"),IF(IFERROR(INDEX(Supports!$G$4:$G$23,MATCH(SPK!$D$16,Supports!$B$4:$B$23,0)),"")="COLLIER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vérifier"),IFERROR(INDEX(Catalogue!$A$4:$A$454,MATCH(IFERROR(INDEX(Supports!$G$4:$G$23,MATCH(SPK!$D$16,Supports!$B$4:$B$23,0)),""),Catalogue!$B$4:$B$454,0)),"")))))</f>
        <v/>
      </c>
      <c r="C14" s="76" t="str">
        <f>IF((IFERROR(INDEX(Supports!$G$4:$G$23,MATCH(SPK!$D$16,Supports!$B$4:$B$23,0)),""))="","",IF(IFERROR(INDEX(Supports!$G$4:$G$23,MATCH(SPK!$D$16,Supports!$B$4:$B$23,0)),"")="ETRIER RALLONGE (DN automatique = DN du tube)",IFERROR(INDEX(Catalogue!$B$4:$B$454,SUMPRODUCT(((Catalogue!$C$4:$C$454="ETRIER")*(Catalogue!$E$4:$E$454=(SPK!$D$9+0)))*ROW(Catalogue!$C$4:$C$454))-3),""),IF(IFERROR(INDEX(Supports!$G$4:$G$23,MATCH(SPK!$D$16,Supports!$B$4:$B$23,0)),"")="COLLIER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tube)",IFERROR(INDEX(Catalogue!$B$4:$B$454,SUMPRODUCT(((Catalogue!$C$4:$C$454="COLLIERINDUS")*(Catalogue!$E$4:$E$454=(SPK!$D$9+0)))*ROW(Catalogue!$C$4:$C$454))-3),""),IF(IFERROR(INDEX(Supports!$G$4:$G$23,MATCH(SPK!$D$16,Supports!$B$4:$B$23,0)),"")="COLLIER POIRE (DN automatique = DN du tube)",IFERROR(INDEX(Catalogue!$B$4:$B$454,SUMPRODUCT(((Catalogue!$C$4:$C$454="COLLIERPOIRE")*(Catalogue!$E$4:$E$454=(SPK!$D$9+0)))*ROW(Catalogue!$C$4:$C$454))-3),""),IFERROR(INDEX(Supports!$G$4:$G$23,MATCH(SPK!$D$16,Supports!$B$4:$B$23,0)),"")))))</f>
        <v/>
      </c>
      <c r="D14" s="76" t="str">
        <f>IF((IFERROR(INDEX(Supports!$G$4:$G$23,MATCH(SPK!$D$16,Supports!$B$4:$B$23,0)),""))="","",(IFERROR(INDEX(Supports!$H$4:$H$23,MATCH(SPK!$D$16,Supports!$B$4:$B$23,0)),0))*SPK!$D$17)</f>
        <v/>
      </c>
      <c r="E14" s="76" t="s">
        <v>1036</v>
      </c>
      <c r="F14" s="76" t="str">
        <f t="shared" si="0"/>
        <v/>
      </c>
      <c r="G14" s="76">
        <f>IF(AND(B14&lt;&gt;"",B14&lt;&gt;"Non trouvé - vérifier",D14&lt;&gt;"",D14&lt;&gt;0),IF(COUNTIF($B$2:B14,B14)=1,1,0),0)</f>
        <v>0</v>
      </c>
    </row>
    <row r="15" spans="1:7" x14ac:dyDescent="0.25">
      <c r="A15" s="76" t="s">
        <v>1037</v>
      </c>
      <c r="B15" s="76" t="str">
        <f>IF((IFERROR(INDEX(Supports!$I$4:$I$23,MATCH(SPK!$D$16,Supports!$B$4:$B$23,0)),""))="","",IF(IFERROR(INDEX(Supports!$I$4:$I$23,MATCH(SPK!$D$16,Supports!$B$4:$B$23,0)),"")="ETRIER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vérifier"),IF(IFERROR(INDEX(Supports!$I$4:$I$23,MATCH(SPK!$D$16,Supports!$B$4:$B$23,0)),"")="COLLIER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vérifier"),IF(IFERROR(INDEX(Supports!$I$4:$I$23,MATCH(SPK!$D$16,Supports!$B$4:$B$23,0)),"")="COLLIER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vérifier"),IFERROR(INDEX(Catalogue!$A$4:$A$454,MATCH(IFERROR(INDEX(Supports!$I$4:$I$23,MATCH(SPK!$D$16,Supports!$B$4:$B$23,0)),""),Catalogue!$B$4:$B$454,0)),"")))))</f>
        <v/>
      </c>
      <c r="C15" s="76" t="str">
        <f>IF((IFERROR(INDEX(Supports!$I$4:$I$23,MATCH(SPK!$D$16,Supports!$B$4:$B$23,0)),""))="","",IF(IFERROR(INDEX(Supports!$I$4:$I$23,MATCH(SPK!$D$16,Supports!$B$4:$B$23,0)),"")="ETRIER RALLONGE (DN automatique = DN du tube)",IFERROR(INDEX(Catalogue!$B$4:$B$454,SUMPRODUCT(((Catalogue!$C$4:$C$454="ETRIER")*(Catalogue!$E$4:$E$454=(SPK!$D$9+0)))*ROW(Catalogue!$C$4:$C$454))-3),""),IF(IFERROR(INDEX(Supports!$I$4:$I$23,MATCH(SPK!$D$16,Supports!$B$4:$B$23,0)),"")="COLLIER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tube)",IFERROR(INDEX(Catalogue!$B$4:$B$454,SUMPRODUCT(((Catalogue!$C$4:$C$454="COLLIERINDUS")*(Catalogue!$E$4:$E$454=(SPK!$D$9+0)))*ROW(Catalogue!$C$4:$C$454))-3),""),IF(IFERROR(INDEX(Supports!$I$4:$I$23,MATCH(SPK!$D$16,Supports!$B$4:$B$23,0)),"")="COLLIER POIRE (DN automatique = DN du tube)",IFERROR(INDEX(Catalogue!$B$4:$B$454,SUMPRODUCT(((Catalogue!$C$4:$C$454="COLLIERPOIRE")*(Catalogue!$E$4:$E$454=(SPK!$D$9+0)))*ROW(Catalogue!$C$4:$C$454))-3),""),IFERROR(INDEX(Supports!$I$4:$I$23,MATCH(SPK!$D$16,Supports!$B$4:$B$23,0)),"")))))</f>
        <v/>
      </c>
      <c r="D15" s="76" t="str">
        <f>IF((IFERROR(INDEX(Supports!$I$4:$I$23,MATCH(SPK!$D$16,Supports!$B$4:$B$23,0)),""))="","",(IFERROR(INDEX(Supports!$J$4:$J$23,MATCH(SPK!$D$16,Supports!$B$4:$B$23,0)),0))*SPK!$D$17)</f>
        <v/>
      </c>
      <c r="E15" s="76" t="s">
        <v>1036</v>
      </c>
      <c r="F15" s="76" t="str">
        <f t="shared" si="0"/>
        <v/>
      </c>
      <c r="G15" s="76">
        <f>IF(AND(B15&lt;&gt;"",B15&lt;&gt;"Non trouvé - vérifier",D15&lt;&gt;"",D15&lt;&gt;0),IF(COUNTIF($B$2:B15,B15)=1,1,0),0)</f>
        <v>0</v>
      </c>
    </row>
    <row r="16" spans="1:7" x14ac:dyDescent="0.25">
      <c r="A16" s="76" t="s">
        <v>1037</v>
      </c>
      <c r="B16" s="76" t="str">
        <f>IF((IFERROR(INDEX(Supports!$K$4:$K$23,MATCH(SPK!$D$16,Supports!$B$4:$B$23,0)),""))="","",IF(IFERROR(INDEX(Supports!$K$4:$K$23,MATCH(SPK!$D$16,Supports!$B$4:$B$23,0)),"")="ETRIER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vérifier"),IF(IFERROR(INDEX(Supports!$K$4:$K$23,MATCH(SPK!$D$16,Supports!$B$4:$B$23,0)),"")="COLLIER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vérifier"),IF(IFERROR(INDEX(Supports!$K$4:$K$23,MATCH(SPK!$D$16,Supports!$B$4:$B$23,0)),"")="COLLIER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vérifier"),IFERROR(INDEX(Catalogue!$A$4:$A$454,MATCH(IFERROR(INDEX(Supports!$K$4:$K$23,MATCH(SPK!$D$16,Supports!$B$4:$B$23,0)),""),Catalogue!$B$4:$B$454,0)),"")))))</f>
        <v/>
      </c>
      <c r="C16" s="76" t="str">
        <f>IF((IFERROR(INDEX(Supports!$K$4:$K$23,MATCH(SPK!$D$16,Supports!$B$4:$B$23,0)),""))="","",IF(IFERROR(INDEX(Supports!$K$4:$K$23,MATCH(SPK!$D$16,Supports!$B$4:$B$23,0)),"")="ETRIER RALLONGE (DN automatique = DN du tube)",IFERROR(INDEX(Catalogue!$B$4:$B$454,SUMPRODUCT(((Catalogue!$C$4:$C$454="ETRIER")*(Catalogue!$E$4:$E$454=(SPK!$D$9+0)))*ROW(Catalogue!$C$4:$C$454))-3),""),IF(IFERROR(INDEX(Supports!$K$4:$K$23,MATCH(SPK!$D$16,Supports!$B$4:$B$23,0)),"")="COLLIER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tube)",IFERROR(INDEX(Catalogue!$B$4:$B$454,SUMPRODUCT(((Catalogue!$C$4:$C$454="COLLIERINDUS")*(Catalogue!$E$4:$E$454=(SPK!$D$9+0)))*ROW(Catalogue!$C$4:$C$454))-3),""),IF(IFERROR(INDEX(Supports!$K$4:$K$23,MATCH(SPK!$D$16,Supports!$B$4:$B$23,0)),"")="COLLIER POIRE (DN automatique = DN du tube)",IFERROR(INDEX(Catalogue!$B$4:$B$454,SUMPRODUCT(((Catalogue!$C$4:$C$454="COLLIERPOIRE")*(Catalogue!$E$4:$E$454=(SPK!$D$9+0)))*ROW(Catalogue!$C$4:$C$454))-3),""),IFERROR(INDEX(Supports!$K$4:$K$23,MATCH(SPK!$D$16,Supports!$B$4:$B$23,0)),"")))))</f>
        <v/>
      </c>
      <c r="D16" s="76" t="str">
        <f>IF((IFERROR(INDEX(Supports!$K$4:$K$23,MATCH(SPK!$D$16,Supports!$B$4:$B$23,0)),""))="","",(IFERROR(INDEX(Supports!$L$4:$L$23,MATCH(SPK!$D$16,Supports!$B$4:$B$23,0)),0))*SPK!$D$17)</f>
        <v/>
      </c>
      <c r="E16" s="76" t="s">
        <v>1036</v>
      </c>
      <c r="F16" s="76" t="str">
        <f t="shared" si="0"/>
        <v/>
      </c>
      <c r="G16" s="76">
        <f>IF(AND(B16&lt;&gt;"",B16&lt;&gt;"Non trouvé - vérifier",D16&lt;&gt;"",D16&lt;&gt;0),IF(COUNTIF($B$2:B16,B16)=1,1,0),0)</f>
        <v>0</v>
      </c>
    </row>
    <row r="17" spans="1:7" x14ac:dyDescent="0.25">
      <c r="A17" s="76" t="s">
        <v>1037</v>
      </c>
      <c r="B17" s="76" t="str">
        <f>IF((IFERROR(INDEX(Supports!$M$4:$M$23,MATCH(SPK!$D$16,Supports!$B$4:$B$23,0)),""))="","",IF(IFERROR(INDEX(Supports!$M$4:$M$23,MATCH(SPK!$D$16,Supports!$B$4:$B$23,0)),"")="ETRIER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vérifier"),IF(IFERROR(INDEX(Supports!$M$4:$M$23,MATCH(SPK!$D$16,Supports!$B$4:$B$23,0)),"")="COLLIER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vérifier"),IF(IFERROR(INDEX(Supports!$M$4:$M$23,MATCH(SPK!$D$16,Supports!$B$4:$B$23,0)),"")="COLLIER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vérifier"),IFERROR(INDEX(Catalogue!$A$4:$A$454,MATCH(IFERROR(INDEX(Supports!$M$4:$M$23,MATCH(SPK!$D$16,Supports!$B$4:$B$23,0)),""),Catalogue!$B$4:$B$454,0)),"")))))</f>
        <v/>
      </c>
      <c r="C17" s="76" t="str">
        <f>IF((IFERROR(INDEX(Supports!$M$4:$M$23,MATCH(SPK!$D$16,Supports!$B$4:$B$23,0)),""))="","",IF(IFERROR(INDEX(Supports!$M$4:$M$23,MATCH(SPK!$D$16,Supports!$B$4:$B$23,0)),"")="ETRIER RALLONGE (DN automatique = DN du tube)",IFERROR(INDEX(Catalogue!$B$4:$B$454,SUMPRODUCT(((Catalogue!$C$4:$C$454="ETRIER")*(Catalogue!$E$4:$E$454=(SPK!$D$9+0)))*ROW(Catalogue!$C$4:$C$454))-3),""),IF(IFERROR(INDEX(Supports!$M$4:$M$23,MATCH(SPK!$D$16,Supports!$B$4:$B$23,0)),"")="COLLIER INDUSTRIEL (DN automatique = DN du tube)",IFERROR(INDEX(Catalogue!$B$4:$B$454,SUMPRODUCT(((Catalogue!$C$4:$C$454="COLLIERINDUS")*(Catalogue!$E$4:$E$454=(SPK!$D$9+0)))*ROW(Catalogue!$C$4:$C$454))-3),""),IF(IFERROR(INDEX(Supports!$M$4:$M$23,MATCH(SPK!$D$16,Supports!$B$4:$B$23,0)),"")="COLLIER POIRE (DN automatique = DN du tube)",IFERROR(INDEX(Catalogue!$B$4:$B$454,SUMPRODUCT(((Catalogue!$C$4:$C$454="COLLIERPOIRE")*(Catalogue!$E$4:$E$454=(SPK!$D$9+0)))*ROW(Catalogue!$C$4:$C$454))-3),""),IFERROR(INDEX(Supports!$M$4:$M$23,MATCH(SPK!$D$16,Supports!$B$4:$B$23,0)),"")))))</f>
        <v/>
      </c>
      <c r="D17" s="76" t="str">
        <f>IF((IFERROR(INDEX(Supports!$M$4:$M$23,MATCH(SPK!$D$16,Supports!$B$4:$B$23,0)),""))="","",(IFERROR(INDEX(Supports!$N$4:$N$23,MATCH(SPK!$D$16,Supports!$B$4:$B$23,0)),0))*SPK!$D$17)</f>
        <v/>
      </c>
      <c r="E17" s="76" t="s">
        <v>1036</v>
      </c>
      <c r="F17" s="76" t="str">
        <f t="shared" si="0"/>
        <v/>
      </c>
      <c r="G17" s="76">
        <f>IF(AND(B17&lt;&gt;"",B17&lt;&gt;"Non trouvé - vérifier",D17&lt;&gt;"",D17&lt;&gt;0),IF(COUNTIF($B$2:B17,B17)=1,1,0),0)</f>
        <v>0</v>
      </c>
    </row>
    <row r="18" spans="1:7" x14ac:dyDescent="0.25">
      <c r="A18" s="76" t="s">
        <v>1038</v>
      </c>
      <c r="B18" s="76" t="str">
        <f>IFERROR(INDEX(Catalogue!$A$4:$A$454,SUMPRODUCT(((Catalogue!$C$4:$C$454="TUBE")*(Catalogue!$G$4:$G$454&lt;&gt;"SL")*(Catalogue!$D$4:$D$454=IF(SPK!$D$6="X","GALVA",IF(SPK!$F$6="X","NOIR","")))*(Catalogue!$E$4:$E$454=(SPK!$F$9+0)))*ROW(Catalogue!$C$4:$C$454))-3),"Non trouvé - vérifier")</f>
        <v>Non trouvé - vérifier</v>
      </c>
      <c r="C18" s="76" t="str">
        <f>IFERROR(INDEX(Catalogue!$B$4:$B$454,SUMPRODUCT(((Catalogue!$C$4:$C$454="TUBE")*(Catalogue!$G$4:$G$454&lt;&gt;"SL")*(Catalogue!$D$4:$D$454=IF(SPK!$D$6="X","GALVA",IF(SPK!$F$6="X","NOIR","")))*(Catalogue!$E$4:$E$454=(SPK!$F$9+0)))*ROW(Catalogue!$C$4:$C$454))-3),"")</f>
        <v/>
      </c>
      <c r="D18" s="78">
        <f>CEILING((SPK!$F$10),6)</f>
        <v>0</v>
      </c>
      <c r="E18" s="76" t="s">
        <v>1033</v>
      </c>
      <c r="F18" s="76" t="str">
        <f t="shared" si="0"/>
        <v/>
      </c>
      <c r="G18" s="76">
        <f>IF(AND(B18&lt;&gt;"",B18&lt;&gt;"Non trouvé - vérifier",D18&lt;&gt;"",D18&lt;&gt;0),IF(COUNTIF($B$2:B18,B18)=1,1,0),0)</f>
        <v>0</v>
      </c>
    </row>
    <row r="19" spans="1:7" x14ac:dyDescent="0.25">
      <c r="A19" s="76" t="s">
        <v>1038</v>
      </c>
      <c r="B19" s="76" t="str">
        <f>IFERROR(INDEX(Catalogue!$A$4:$A$454,SUMPRODUCT(((Catalogue!$C$4:$C$454="COUDE90")*(Catalogue!$D$4:$D$454=IF(SPK!$D$4="X","ROUGE",IF(SPK!$F$4="X","BLANC",IF(SPK!$H$4="X","GALVA",""))))*(Catalogue!$E$4:$E$454=(SPK!$F$9+0)))*ROW(Catalogue!$C$4:$C$454))-3),"Non trouvé - vérifier")</f>
        <v>Non trouvé - vérifier</v>
      </c>
      <c r="C19" s="76" t="str">
        <f>IFERROR(INDEX(Catalogue!$B$4:$B$454,SUMPRODUCT(((Catalogue!$C$4:$C$454="COUDE90")*(Catalogue!$D$4:$D$454=IF(SPK!$D$4="X","ROUGE",IF(SPK!$F$4="X","BLANC",IF(SPK!$H$4="X","GALVA",""))))*(Catalogue!$E$4:$E$454=(SPK!$F$9+0)))*ROW(Catalogue!$C$4:$C$454))-3),"")</f>
        <v/>
      </c>
      <c r="D19" s="78">
        <f>SPK!$F$11</f>
        <v>0</v>
      </c>
      <c r="E19" s="76" t="s">
        <v>1034</v>
      </c>
      <c r="F19" s="76" t="str">
        <f t="shared" si="0"/>
        <v/>
      </c>
      <c r="G19" s="76">
        <f>IF(AND(B19&lt;&gt;"",B19&lt;&gt;"Non trouvé - vérifier",D19&lt;&gt;"",D19&lt;&gt;0),IF(COUNTIF($B$2:B19,B19)=1,1,0),0)</f>
        <v>0</v>
      </c>
    </row>
    <row r="20" spans="1:7" x14ac:dyDescent="0.25">
      <c r="A20" s="76" t="s">
        <v>1038</v>
      </c>
      <c r="B20" s="76" t="str">
        <f>IFERROR(INDEX(Catalogue!$A$4:$A$454,SUMPRODUCT(((Catalogue!$C$4:$C$454="CPC")*(Catalogue!$D$4:$D$454=IF(SPK!$D$4="X","ROUGE",IF(SPK!$F$4="X","GALVA",IF(SPK!$H$4="X","GALVA",""))))*(Catalogue!$F$4:$F$454=(SPK!$F$9+0))*(Catalogue!$E$4:$E$454=(SPK!$F$12+0))*(Catalogue!$G$4:$G$454=IF(LEFT(SPK!$F$13,1)="R","RAINURE",IF(LEFT(SPK!$F$13,1)="T","TARAUDE",""))))*ROW(Catalogue!$C$4:$C$454))-3),"Non trouvé - vérifier")</f>
        <v>Non trouvé - vérifier</v>
      </c>
      <c r="C20" s="76" t="str">
        <f>IFERROR(INDEX(Catalogue!$B$4:$B$454,SUMPRODUCT(((Catalogue!$C$4:$C$454="CPC")*(Catalogue!$D$4:$D$454=IF(SPK!$D$4="X","ROUGE",IF(SPK!$F$4="X","GALVA",IF(SPK!$H$4="X","GALVA",""))))*(Catalogue!$F$4:$F$454=(SPK!$F$9+0))*(Catalogue!$E$4:$E$454=(SPK!$F$12+0))*(Catalogue!$G$4:$G$454=IF(LEFT(SPK!$F$13,1)="R","RAINURE",IF(LEFT(SPK!$F$13,1)="T","TARAUDE",""))))*ROW(Catalogue!$C$4:$C$454))-3),"")</f>
        <v/>
      </c>
      <c r="D20" s="76">
        <f>1</f>
        <v>1</v>
      </c>
      <c r="E20" s="76" t="s">
        <v>1034</v>
      </c>
      <c r="F20" s="76" t="str">
        <f t="shared" si="0"/>
        <v/>
      </c>
      <c r="G20" s="76">
        <f>IF(AND(B20&lt;&gt;"",B20&lt;&gt;"Non trouvé - vérifier",D20&lt;&gt;"",D20&lt;&gt;0),IF(COUNTIF($B$2:B20,B20)=1,1,0),0)</f>
        <v>0</v>
      </c>
    </row>
    <row r="21" spans="1:7" x14ac:dyDescent="0.25">
      <c r="A21" s="76" t="s">
        <v>1038</v>
      </c>
      <c r="B21" s="76" t="str">
        <f>IFERROR(INDEX(Catalogue!$A$4:$A$454,SUMPRODUCT(((Catalogue!$C$4:$C$454="RACCORD")*(Catalogue!$D$4:$D$454=IF(SPK!$D$4="X","ROUGE",IF(SPK!$F$4="X","BLANC",IF(SPK!$H$4="X","GALVA",""))))*(Catalogue!$E$4:$E$454=(SPK!$F$9+0)))*ROW(Catalogue!$C$4:$C$454))-3),"Non trouvé - vérifier")</f>
        <v>Non trouvé - vérifier</v>
      </c>
      <c r="C21" s="76" t="str">
        <f>IFERROR(INDEX(Catalogue!$B$4:$B$454,SUMPRODUCT(((Catalogue!$C$4:$C$454="RACCORD")*(Catalogue!$D$4:$D$454=IF(SPK!$D$4="X","ROUGE",IF(SPK!$F$4="X","BLANC",IF(SPK!$H$4="X","GALVA",""))))*(Catalogue!$E$4:$E$454=(SPK!$F$9+0)))*ROW(Catalogue!$C$4:$C$454))-3),"")</f>
        <v/>
      </c>
      <c r="D21" s="76">
        <f>ROUNDUP(((SPK!$F$10/6)+(SPK!$F$11*2))*1.1,0)</f>
        <v>0</v>
      </c>
      <c r="E21" s="76" t="s">
        <v>1034</v>
      </c>
      <c r="F21" s="76" t="str">
        <f t="shared" si="0"/>
        <v/>
      </c>
      <c r="G21" s="76">
        <f>IF(AND(B21&lt;&gt;"",B21&lt;&gt;"Non trouvé - vérifier",D21&lt;&gt;"",D21&lt;&gt;0),IF(COUNTIF($B$2:B21,B21)=1,1,0),0)</f>
        <v>0</v>
      </c>
    </row>
    <row r="22" spans="1:7" x14ac:dyDescent="0.25">
      <c r="A22" s="76" t="s">
        <v>1039</v>
      </c>
      <c r="B22" s="76" t="str">
        <f>IF((IFERROR(INDEX(Supports!$C$4:$C$23,MATCH(SPK!$F$14,Supports!$B$4:$B$23,0)),""))="","",IF(IFERROR(INDEX(Supports!$C$4:$C$23,MATCH(SPK!$F$14,Supports!$B$4:$B$23,0)),"")="ETRIER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vérifier"),IF(IFERROR(INDEX(Supports!$C$4:$C$23,MATCH(SPK!$F$14,Supports!$B$4:$B$23,0)),"")="COLLIER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vérifier"),IF(IFERROR(INDEX(Supports!$C$4:$C$23,MATCH(SPK!$F$14,Supports!$B$4:$B$23,0)),"")="COLLIER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vérifier"),IFERROR(INDEX(Catalogue!$A$4:$A$454,MATCH(IFERROR(INDEX(Supports!$C$4:$C$23,MATCH(SPK!$F$14,Supports!$B$4:$B$23,0)),""),Catalogue!$B$4:$B$454,0)),"")))))</f>
        <v/>
      </c>
      <c r="C22" s="76" t="str">
        <f>IF((IFERROR(INDEX(Supports!$C$4:$C$23,MATCH(SPK!$F$14,Supports!$B$4:$B$23,0)),""))="","",IF(IFERROR(INDEX(Supports!$C$4:$C$23,MATCH(SPK!$F$14,Supports!$B$4:$B$23,0)),"")="ETRIER RALLONGE (DN automatique = DN du tube)",IFERROR(INDEX(Catalogue!$B$4:$B$454,SUMPRODUCT(((Catalogue!$C$4:$C$454="ETRIER")*(Catalogue!$E$4:$E$454=(SPK!$F$9+0)))*ROW(Catalogue!$C$4:$C$454))-3),""),IF(IFERROR(INDEX(Supports!$C$4:$C$23,MATCH(SPK!$F$14,Supports!$B$4:$B$23,0)),"")="COLLIER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tube)",IFERROR(INDEX(Catalogue!$B$4:$B$454,SUMPRODUCT(((Catalogue!$C$4:$C$454="COLLIERINDUS")*(Catalogue!$E$4:$E$454=(SPK!$F$9+0)))*ROW(Catalogue!$C$4:$C$454))-3),""),IF(IFERROR(INDEX(Supports!$C$4:$C$23,MATCH(SPK!$F$14,Supports!$B$4:$B$23,0)),"")="COLLIER POIRE (DN automatique = DN du tube)",IFERROR(INDEX(Catalogue!$B$4:$B$454,SUMPRODUCT(((Catalogue!$C$4:$C$454="COLLIERPOIRE")*(Catalogue!$E$4:$E$454=(SPK!$F$9+0)))*ROW(Catalogue!$C$4:$C$454))-3),""),IFERROR(INDEX(Supports!$C$4:$C$23,MATCH(SPK!$F$14,Supports!$B$4:$B$23,0)),"")))))</f>
        <v/>
      </c>
      <c r="D22" s="76" t="str">
        <f>IF((IFERROR(INDEX(Supports!$C$4:$C$23,MATCH(SPK!$F$14,Supports!$B$4:$B$23,0)),""))="","",(IFERROR(INDEX(Supports!$D$4:$D$23,MATCH(SPK!$F$14,Supports!$B$4:$B$23,0)),0))*SPK!$F$15)</f>
        <v/>
      </c>
      <c r="E22" s="76" t="s">
        <v>1036</v>
      </c>
      <c r="F22" s="76" t="str">
        <f t="shared" si="0"/>
        <v/>
      </c>
      <c r="G22" s="76">
        <f>IF(AND(B22&lt;&gt;"",B22&lt;&gt;"Non trouvé - vérifier",D22&lt;&gt;"",D22&lt;&gt;0),IF(COUNTIF($B$2:B22,B22)=1,1,0),0)</f>
        <v>0</v>
      </c>
    </row>
    <row r="23" spans="1:7" x14ac:dyDescent="0.25">
      <c r="A23" s="76" t="s">
        <v>1039</v>
      </c>
      <c r="B23" s="76" t="str">
        <f>IF((IFERROR(INDEX(Supports!$E$4:$E$23,MATCH(SPK!$F$14,Supports!$B$4:$B$23,0)),""))="","",IF(IFERROR(INDEX(Supports!$E$4:$E$23,MATCH(SPK!$F$14,Supports!$B$4:$B$23,0)),"")="ETRIER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vérifier"),IF(IFERROR(INDEX(Supports!$E$4:$E$23,MATCH(SPK!$F$14,Supports!$B$4:$B$23,0)),"")="COLLIER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vérifier"),IF(IFERROR(INDEX(Supports!$E$4:$E$23,MATCH(SPK!$F$14,Supports!$B$4:$B$23,0)),"")="COLLIER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vérifier"),IFERROR(INDEX(Catalogue!$A$4:$A$454,MATCH(IFERROR(INDEX(Supports!$E$4:$E$23,MATCH(SPK!$F$14,Supports!$B$4:$B$23,0)),""),Catalogue!$B$4:$B$454,0)),"")))))</f>
        <v/>
      </c>
      <c r="C23" s="76" t="str">
        <f>IF((IFERROR(INDEX(Supports!$E$4:$E$23,MATCH(SPK!$F$14,Supports!$B$4:$B$23,0)),""))="","",IF(IFERROR(INDEX(Supports!$E$4:$E$23,MATCH(SPK!$F$14,Supports!$B$4:$B$23,0)),"")="ETRIER RALLONGE (DN automatique = DN du tube)",IFERROR(INDEX(Catalogue!$B$4:$B$454,SUMPRODUCT(((Catalogue!$C$4:$C$454="ETRIER")*(Catalogue!$E$4:$E$454=(SPK!$F$9+0)))*ROW(Catalogue!$C$4:$C$454))-3),""),IF(IFERROR(INDEX(Supports!$E$4:$E$23,MATCH(SPK!$F$14,Supports!$B$4:$B$23,0)),"")="COLLIER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tube)",IFERROR(INDEX(Catalogue!$B$4:$B$454,SUMPRODUCT(((Catalogue!$C$4:$C$454="COLLIERINDUS")*(Catalogue!$E$4:$E$454=(SPK!$F$9+0)))*ROW(Catalogue!$C$4:$C$454))-3),""),IF(IFERROR(INDEX(Supports!$E$4:$E$23,MATCH(SPK!$F$14,Supports!$B$4:$B$23,0)),"")="COLLIER POIRE (DN automatique = DN du tube)",IFERROR(INDEX(Catalogue!$B$4:$B$454,SUMPRODUCT(((Catalogue!$C$4:$C$454="COLLIERPOIRE")*(Catalogue!$E$4:$E$454=(SPK!$F$9+0)))*ROW(Catalogue!$C$4:$C$454))-3),""),IFERROR(INDEX(Supports!$E$4:$E$23,MATCH(SPK!$F$14,Supports!$B$4:$B$23,0)),"")))))</f>
        <v/>
      </c>
      <c r="D23" s="76" t="str">
        <f>IF((IFERROR(INDEX(Supports!$E$4:$E$23,MATCH(SPK!$F$14,Supports!$B$4:$B$23,0)),""))="","",(IFERROR(INDEX(Supports!$F$4:$F$23,MATCH(SPK!$F$14,Supports!$B$4:$B$23,0)),0))*SPK!$F$15)</f>
        <v/>
      </c>
      <c r="E23" s="76" t="s">
        <v>1036</v>
      </c>
      <c r="F23" s="76" t="str">
        <f t="shared" si="0"/>
        <v/>
      </c>
      <c r="G23" s="76">
        <f>IF(AND(B23&lt;&gt;"",B23&lt;&gt;"Non trouvé - vérifier",D23&lt;&gt;"",D23&lt;&gt;0),IF(COUNTIF($B$2:B23,B23)=1,1,0),0)</f>
        <v>0</v>
      </c>
    </row>
    <row r="24" spans="1:7" x14ac:dyDescent="0.25">
      <c r="A24" s="76" t="s">
        <v>1039</v>
      </c>
      <c r="B24" s="76" t="str">
        <f>IF((IFERROR(INDEX(Supports!$G$4:$G$23,MATCH(SPK!$F$14,Supports!$B$4:$B$23,0)),""))="","",IF(IFERROR(INDEX(Supports!$G$4:$G$23,MATCH(SPK!$F$14,Supports!$B$4:$B$23,0)),"")="ETRIER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vérifier"),IF(IFERROR(INDEX(Supports!$G$4:$G$23,MATCH(SPK!$F$14,Supports!$B$4:$B$23,0)),"")="COLLIER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vérifier"),IF(IFERROR(INDEX(Supports!$G$4:$G$23,MATCH(SPK!$F$14,Supports!$B$4:$B$23,0)),"")="COLLIER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vérifier"),IFERROR(INDEX(Catalogue!$A$4:$A$454,MATCH(IFERROR(INDEX(Supports!$G$4:$G$23,MATCH(SPK!$F$14,Supports!$B$4:$B$23,0)),""),Catalogue!$B$4:$B$454,0)),"")))))</f>
        <v/>
      </c>
      <c r="C24" s="76" t="str">
        <f>IF((IFERROR(INDEX(Supports!$G$4:$G$23,MATCH(SPK!$F$14,Supports!$B$4:$B$23,0)),""))="","",IF(IFERROR(INDEX(Supports!$G$4:$G$23,MATCH(SPK!$F$14,Supports!$B$4:$B$23,0)),"")="ETRIER RALLONGE (DN automatique = DN du tube)",IFERROR(INDEX(Catalogue!$B$4:$B$454,SUMPRODUCT(((Catalogue!$C$4:$C$454="ETRIER")*(Catalogue!$E$4:$E$454=(SPK!$F$9+0)))*ROW(Catalogue!$C$4:$C$454))-3),""),IF(IFERROR(INDEX(Supports!$G$4:$G$23,MATCH(SPK!$F$14,Supports!$B$4:$B$23,0)),"")="COLLIER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tube)",IFERROR(INDEX(Catalogue!$B$4:$B$454,SUMPRODUCT(((Catalogue!$C$4:$C$454="COLLIERINDUS")*(Catalogue!$E$4:$E$454=(SPK!$F$9+0)))*ROW(Catalogue!$C$4:$C$454))-3),""),IF(IFERROR(INDEX(Supports!$G$4:$G$23,MATCH(SPK!$F$14,Supports!$B$4:$B$23,0)),"")="COLLIER POIRE (DN automatique = DN du tube)",IFERROR(INDEX(Catalogue!$B$4:$B$454,SUMPRODUCT(((Catalogue!$C$4:$C$454="COLLIERPOIRE")*(Catalogue!$E$4:$E$454=(SPK!$F$9+0)))*ROW(Catalogue!$C$4:$C$454))-3),""),IFERROR(INDEX(Supports!$G$4:$G$23,MATCH(SPK!$F$14,Supports!$B$4:$B$23,0)),"")))))</f>
        <v/>
      </c>
      <c r="D24" s="76" t="str">
        <f>IF((IFERROR(INDEX(Supports!$G$4:$G$23,MATCH(SPK!$F$14,Supports!$B$4:$B$23,0)),""))="","",(IFERROR(INDEX(Supports!$H$4:$H$23,MATCH(SPK!$F$14,Supports!$B$4:$B$23,0)),0))*SPK!$F$15)</f>
        <v/>
      </c>
      <c r="E24" s="76" t="s">
        <v>1036</v>
      </c>
      <c r="F24" s="76" t="str">
        <f t="shared" si="0"/>
        <v/>
      </c>
      <c r="G24" s="76">
        <f>IF(AND(B24&lt;&gt;"",B24&lt;&gt;"Non trouvé - vérifier",D24&lt;&gt;"",D24&lt;&gt;0),IF(COUNTIF($B$2:B24,B24)=1,1,0),0)</f>
        <v>0</v>
      </c>
    </row>
    <row r="25" spans="1:7" x14ac:dyDescent="0.25">
      <c r="A25" s="76" t="s">
        <v>1039</v>
      </c>
      <c r="B25" s="76" t="str">
        <f>IF((IFERROR(INDEX(Supports!$I$4:$I$23,MATCH(SPK!$F$14,Supports!$B$4:$B$23,0)),""))="","",IF(IFERROR(INDEX(Supports!$I$4:$I$23,MATCH(SPK!$F$14,Supports!$B$4:$B$23,0)),"")="ETRIER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vérifier"),IF(IFERROR(INDEX(Supports!$I$4:$I$23,MATCH(SPK!$F$14,Supports!$B$4:$B$23,0)),"")="COLLIER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vérifier"),IF(IFERROR(INDEX(Supports!$I$4:$I$23,MATCH(SPK!$F$14,Supports!$B$4:$B$23,0)),"")="COLLIER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vérifier"),IFERROR(INDEX(Catalogue!$A$4:$A$454,MATCH(IFERROR(INDEX(Supports!$I$4:$I$23,MATCH(SPK!$F$14,Supports!$B$4:$B$23,0)),""),Catalogue!$B$4:$B$454,0)),"")))))</f>
        <v/>
      </c>
      <c r="C25" s="76" t="str">
        <f>IF((IFERROR(INDEX(Supports!$I$4:$I$23,MATCH(SPK!$F$14,Supports!$B$4:$B$23,0)),""))="","",IF(IFERROR(INDEX(Supports!$I$4:$I$23,MATCH(SPK!$F$14,Supports!$B$4:$B$23,0)),"")="ETRIER RALLONGE (DN automatique = DN du tube)",IFERROR(INDEX(Catalogue!$B$4:$B$454,SUMPRODUCT(((Catalogue!$C$4:$C$454="ETRIER")*(Catalogue!$E$4:$E$454=(SPK!$F$9+0)))*ROW(Catalogue!$C$4:$C$454))-3),""),IF(IFERROR(INDEX(Supports!$I$4:$I$23,MATCH(SPK!$F$14,Supports!$B$4:$B$23,0)),"")="COLLIER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tube)",IFERROR(INDEX(Catalogue!$B$4:$B$454,SUMPRODUCT(((Catalogue!$C$4:$C$454="COLLIERINDUS")*(Catalogue!$E$4:$E$454=(SPK!$F$9+0)))*ROW(Catalogue!$C$4:$C$454))-3),""),IF(IFERROR(INDEX(Supports!$I$4:$I$23,MATCH(SPK!$F$14,Supports!$B$4:$B$23,0)),"")="COLLIER POIRE (DN automatique = DN du tube)",IFERROR(INDEX(Catalogue!$B$4:$B$454,SUMPRODUCT(((Catalogue!$C$4:$C$454="COLLIERPOIRE")*(Catalogue!$E$4:$E$454=(SPK!$F$9+0)))*ROW(Catalogue!$C$4:$C$454))-3),""),IFERROR(INDEX(Supports!$I$4:$I$23,MATCH(SPK!$F$14,Supports!$B$4:$B$23,0)),"")))))</f>
        <v/>
      </c>
      <c r="D25" s="76" t="str">
        <f>IF((IFERROR(INDEX(Supports!$I$4:$I$23,MATCH(SPK!$F$14,Supports!$B$4:$B$23,0)),""))="","",(IFERROR(INDEX(Supports!$J$4:$J$23,MATCH(SPK!$F$14,Supports!$B$4:$B$23,0)),0))*SPK!$F$15)</f>
        <v/>
      </c>
      <c r="E25" s="76" t="s">
        <v>1036</v>
      </c>
      <c r="F25" s="76" t="str">
        <f t="shared" si="0"/>
        <v/>
      </c>
      <c r="G25" s="76">
        <f>IF(AND(B25&lt;&gt;"",B25&lt;&gt;"Non trouvé - vérifier",D25&lt;&gt;"",D25&lt;&gt;0),IF(COUNTIF($B$2:B25,B25)=1,1,0),0)</f>
        <v>0</v>
      </c>
    </row>
    <row r="26" spans="1:7" x14ac:dyDescent="0.25">
      <c r="A26" s="76" t="s">
        <v>1039</v>
      </c>
      <c r="B26" s="76" t="str">
        <f>IF((IFERROR(INDEX(Supports!$K$4:$K$23,MATCH(SPK!$F$14,Supports!$B$4:$B$23,0)),""))="","",IF(IFERROR(INDEX(Supports!$K$4:$K$23,MATCH(SPK!$F$14,Supports!$B$4:$B$23,0)),"")="ETRIER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vérifier"),IF(IFERROR(INDEX(Supports!$K$4:$K$23,MATCH(SPK!$F$14,Supports!$B$4:$B$23,0)),"")="COLLIER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vérifier"),IF(IFERROR(INDEX(Supports!$K$4:$K$23,MATCH(SPK!$F$14,Supports!$B$4:$B$23,0)),"")="COLLIER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vérifier"),IFERROR(INDEX(Catalogue!$A$4:$A$454,MATCH(IFERROR(INDEX(Supports!$K$4:$K$23,MATCH(SPK!$F$14,Supports!$B$4:$B$23,0)),""),Catalogue!$B$4:$B$454,0)),"")))))</f>
        <v/>
      </c>
      <c r="C26" s="76" t="str">
        <f>IF((IFERROR(INDEX(Supports!$K$4:$K$23,MATCH(SPK!$F$14,Supports!$B$4:$B$23,0)),""))="","",IF(IFERROR(INDEX(Supports!$K$4:$K$23,MATCH(SPK!$F$14,Supports!$B$4:$B$23,0)),"")="ETRIER RALLONGE (DN automatique = DN du tube)",IFERROR(INDEX(Catalogue!$B$4:$B$454,SUMPRODUCT(((Catalogue!$C$4:$C$454="ETRIER")*(Catalogue!$E$4:$E$454=(SPK!$F$9+0)))*ROW(Catalogue!$C$4:$C$454))-3),""),IF(IFERROR(INDEX(Supports!$K$4:$K$23,MATCH(SPK!$F$14,Supports!$B$4:$B$23,0)),"")="COLLIER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tube)",IFERROR(INDEX(Catalogue!$B$4:$B$454,SUMPRODUCT(((Catalogue!$C$4:$C$454="COLLIERINDUS")*(Catalogue!$E$4:$E$454=(SPK!$F$9+0)))*ROW(Catalogue!$C$4:$C$454))-3),""),IF(IFERROR(INDEX(Supports!$K$4:$K$23,MATCH(SPK!$F$14,Supports!$B$4:$B$23,0)),"")="COLLIER POIRE (DN automatique = DN du tube)",IFERROR(INDEX(Catalogue!$B$4:$B$454,SUMPRODUCT(((Catalogue!$C$4:$C$454="COLLIERPOIRE")*(Catalogue!$E$4:$E$454=(SPK!$F$9+0)))*ROW(Catalogue!$C$4:$C$454))-3),""),IFERROR(INDEX(Supports!$K$4:$K$23,MATCH(SPK!$F$14,Supports!$B$4:$B$23,0)),"")))))</f>
        <v/>
      </c>
      <c r="D26" s="76" t="str">
        <f>IF((IFERROR(INDEX(Supports!$K$4:$K$23,MATCH(SPK!$F$14,Supports!$B$4:$B$23,0)),""))="","",(IFERROR(INDEX(Supports!$L$4:$L$23,MATCH(SPK!$F$14,Supports!$B$4:$B$23,0)),0))*SPK!$F$15)</f>
        <v/>
      </c>
      <c r="E26" s="76" t="s">
        <v>1036</v>
      </c>
      <c r="F26" s="76" t="str">
        <f t="shared" si="0"/>
        <v/>
      </c>
      <c r="G26" s="76">
        <f>IF(AND(B26&lt;&gt;"",B26&lt;&gt;"Non trouvé - vérifier",D26&lt;&gt;"",D26&lt;&gt;0),IF(COUNTIF($B$2:B26,B26)=1,1,0),0)</f>
        <v>0</v>
      </c>
    </row>
    <row r="27" spans="1:7" x14ac:dyDescent="0.25">
      <c r="A27" s="76" t="s">
        <v>1039</v>
      </c>
      <c r="B27" s="76" t="str">
        <f>IF((IFERROR(INDEX(Supports!$M$4:$M$23,MATCH(SPK!$F$14,Supports!$B$4:$B$23,0)),""))="","",IF(IFERROR(INDEX(Supports!$M$4:$M$23,MATCH(SPK!$F$14,Supports!$B$4:$B$23,0)),"")="ETRIER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vérifier"),IF(IFERROR(INDEX(Supports!$M$4:$M$23,MATCH(SPK!$F$14,Supports!$B$4:$B$23,0)),"")="COLLIER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vérifier"),IF(IFERROR(INDEX(Supports!$M$4:$M$23,MATCH(SPK!$F$14,Supports!$B$4:$B$23,0)),"")="COLLIER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vérifier"),IFERROR(INDEX(Catalogue!$A$4:$A$454,MATCH(IFERROR(INDEX(Supports!$M$4:$M$23,MATCH(SPK!$F$14,Supports!$B$4:$B$23,0)),""),Catalogue!$B$4:$B$454,0)),"")))))</f>
        <v/>
      </c>
      <c r="C27" s="76" t="str">
        <f>IF((IFERROR(INDEX(Supports!$M$4:$M$23,MATCH(SPK!$F$14,Supports!$B$4:$B$23,0)),""))="","",IF(IFERROR(INDEX(Supports!$M$4:$M$23,MATCH(SPK!$F$14,Supports!$B$4:$B$23,0)),"")="ETRIER RALLONGE (DN automatique = DN du tube)",IFERROR(INDEX(Catalogue!$B$4:$B$454,SUMPRODUCT(((Catalogue!$C$4:$C$454="ETRIER")*(Catalogue!$E$4:$E$454=(SPK!$F$9+0)))*ROW(Catalogue!$C$4:$C$454))-3),""),IF(IFERROR(INDEX(Supports!$M$4:$M$23,MATCH(SPK!$F$14,Supports!$B$4:$B$23,0)),"")="COLLIER INDUSTRIEL (DN automatique = DN du tube)",IFERROR(INDEX(Catalogue!$B$4:$B$454,SUMPRODUCT(((Catalogue!$C$4:$C$454="COLLIERINDUS")*(Catalogue!$E$4:$E$454=(SPK!$F$9+0)))*ROW(Catalogue!$C$4:$C$454))-3),""),IF(IFERROR(INDEX(Supports!$M$4:$M$23,MATCH(SPK!$F$14,Supports!$B$4:$B$23,0)),"")="COLLIER POIRE (DN automatique = DN du tube)",IFERROR(INDEX(Catalogue!$B$4:$B$454,SUMPRODUCT(((Catalogue!$C$4:$C$454="COLLIERPOIRE")*(Catalogue!$E$4:$E$454=(SPK!$F$9+0)))*ROW(Catalogue!$C$4:$C$454))-3),""),IFERROR(INDEX(Supports!$M$4:$M$23,MATCH(SPK!$F$14,Supports!$B$4:$B$23,0)),"")))))</f>
        <v/>
      </c>
      <c r="D27" s="76" t="str">
        <f>IF((IFERROR(INDEX(Supports!$M$4:$M$23,MATCH(SPK!$F$14,Supports!$B$4:$B$23,0)),""))="","",(IFERROR(INDEX(Supports!$N$4:$N$23,MATCH(SPK!$F$14,Supports!$B$4:$B$23,0)),0))*SPK!$F$15)</f>
        <v/>
      </c>
      <c r="E27" s="76" t="s">
        <v>1036</v>
      </c>
      <c r="F27" s="76" t="str">
        <f t="shared" si="0"/>
        <v/>
      </c>
      <c r="G27" s="76">
        <f>IF(AND(B27&lt;&gt;"",B27&lt;&gt;"Non trouvé - vérifier",D27&lt;&gt;"",D27&lt;&gt;0),IF(COUNTIF($B$2:B27,B27)=1,1,0),0)</f>
        <v>0</v>
      </c>
    </row>
    <row r="28" spans="1:7" x14ac:dyDescent="0.25">
      <c r="A28" s="76" t="s">
        <v>1040</v>
      </c>
      <c r="B28" s="76" t="str">
        <f>IF((IFERROR(INDEX(Supports!$C$4:$C$23,MATCH(SPK!$F$16,Supports!$B$4:$B$23,0)),""))="","",IF(IFERROR(INDEX(Supports!$C$4:$C$23,MATCH(SPK!$F$16,Supports!$B$4:$B$23,0)),"")="ETRIER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vérifier"),IF(IFERROR(INDEX(Supports!$C$4:$C$23,MATCH(SPK!$F$16,Supports!$B$4:$B$23,0)),"")="COLLIER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vérifier"),IF(IFERROR(INDEX(Supports!$C$4:$C$23,MATCH(SPK!$F$16,Supports!$B$4:$B$23,0)),"")="COLLIER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vérifier"),IFERROR(INDEX(Catalogue!$A$4:$A$454,MATCH(IFERROR(INDEX(Supports!$C$4:$C$23,MATCH(SPK!$F$16,Supports!$B$4:$B$23,0)),""),Catalogue!$B$4:$B$454,0)),"")))))</f>
        <v/>
      </c>
      <c r="C28" s="76" t="str">
        <f>IF((IFERROR(INDEX(Supports!$C$4:$C$23,MATCH(SPK!$F$16,Supports!$B$4:$B$23,0)),""))="","",IF(IFERROR(INDEX(Supports!$C$4:$C$23,MATCH(SPK!$F$16,Supports!$B$4:$B$23,0)),"")="ETRIER RALLONGE (DN automatique = DN du tube)",IFERROR(INDEX(Catalogue!$B$4:$B$454,SUMPRODUCT(((Catalogue!$C$4:$C$454="ETRIER")*(Catalogue!$E$4:$E$454=(SPK!$F$9+0)))*ROW(Catalogue!$C$4:$C$454))-3),""),IF(IFERROR(INDEX(Supports!$C$4:$C$23,MATCH(SPK!$F$16,Supports!$B$4:$B$23,0)),"")="COLLIER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tube)",IFERROR(INDEX(Catalogue!$B$4:$B$454,SUMPRODUCT(((Catalogue!$C$4:$C$454="COLLIERINDUS")*(Catalogue!$E$4:$E$454=(SPK!$F$9+0)))*ROW(Catalogue!$C$4:$C$454))-3),""),IF(IFERROR(INDEX(Supports!$C$4:$C$23,MATCH(SPK!$F$16,Supports!$B$4:$B$23,0)),"")="COLLIER POIRE (DN automatique = DN du tube)",IFERROR(INDEX(Catalogue!$B$4:$B$454,SUMPRODUCT(((Catalogue!$C$4:$C$454="COLLIERPOIRE")*(Catalogue!$E$4:$E$454=(SPK!$F$9+0)))*ROW(Catalogue!$C$4:$C$454))-3),""),IFERROR(INDEX(Supports!$C$4:$C$23,MATCH(SPK!$F$16,Supports!$B$4:$B$23,0)),"")))))</f>
        <v/>
      </c>
      <c r="D28" s="76" t="str">
        <f>IF((IFERROR(INDEX(Supports!$C$4:$C$23,MATCH(SPK!$F$16,Supports!$B$4:$B$23,0)),""))="","",(IFERROR(INDEX(Supports!$D$4:$D$23,MATCH(SPK!$F$16,Supports!$B$4:$B$23,0)),0))*SPK!$F$17)</f>
        <v/>
      </c>
      <c r="E28" s="76" t="s">
        <v>1036</v>
      </c>
      <c r="F28" s="76" t="str">
        <f t="shared" si="0"/>
        <v/>
      </c>
      <c r="G28" s="76">
        <f>IF(AND(B28&lt;&gt;"",B28&lt;&gt;"Non trouvé - vérifier",D28&lt;&gt;"",D28&lt;&gt;0),IF(COUNTIF($B$2:B28,B28)=1,1,0),0)</f>
        <v>0</v>
      </c>
    </row>
    <row r="29" spans="1:7" x14ac:dyDescent="0.25">
      <c r="A29" s="76" t="s">
        <v>1040</v>
      </c>
      <c r="B29" s="76" t="str">
        <f>IF((IFERROR(INDEX(Supports!$E$4:$E$23,MATCH(SPK!$F$16,Supports!$B$4:$B$23,0)),""))="","",IF(IFERROR(INDEX(Supports!$E$4:$E$23,MATCH(SPK!$F$16,Supports!$B$4:$B$23,0)),"")="ETRIER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vérifier"),IF(IFERROR(INDEX(Supports!$E$4:$E$23,MATCH(SPK!$F$16,Supports!$B$4:$B$23,0)),"")="COLLIER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vérifier"),IF(IFERROR(INDEX(Supports!$E$4:$E$23,MATCH(SPK!$F$16,Supports!$B$4:$B$23,0)),"")="COLLIER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vérifier"),IFERROR(INDEX(Catalogue!$A$4:$A$454,MATCH(IFERROR(INDEX(Supports!$E$4:$E$23,MATCH(SPK!$F$16,Supports!$B$4:$B$23,0)),""),Catalogue!$B$4:$B$454,0)),"")))))</f>
        <v/>
      </c>
      <c r="C29" s="76" t="str">
        <f>IF((IFERROR(INDEX(Supports!$E$4:$E$23,MATCH(SPK!$F$16,Supports!$B$4:$B$23,0)),""))="","",IF(IFERROR(INDEX(Supports!$E$4:$E$23,MATCH(SPK!$F$16,Supports!$B$4:$B$23,0)),"")="ETRIER RALLONGE (DN automatique = DN du tube)",IFERROR(INDEX(Catalogue!$B$4:$B$454,SUMPRODUCT(((Catalogue!$C$4:$C$454="ETRIER")*(Catalogue!$E$4:$E$454=(SPK!$F$9+0)))*ROW(Catalogue!$C$4:$C$454))-3),""),IF(IFERROR(INDEX(Supports!$E$4:$E$23,MATCH(SPK!$F$16,Supports!$B$4:$B$23,0)),"")="COLLIER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tube)",IFERROR(INDEX(Catalogue!$B$4:$B$454,SUMPRODUCT(((Catalogue!$C$4:$C$454="COLLIERINDUS")*(Catalogue!$E$4:$E$454=(SPK!$F$9+0)))*ROW(Catalogue!$C$4:$C$454))-3),""),IF(IFERROR(INDEX(Supports!$E$4:$E$23,MATCH(SPK!$F$16,Supports!$B$4:$B$23,0)),"")="COLLIER POIRE (DN automatique = DN du tube)",IFERROR(INDEX(Catalogue!$B$4:$B$454,SUMPRODUCT(((Catalogue!$C$4:$C$454="COLLIERPOIRE")*(Catalogue!$E$4:$E$454=(SPK!$F$9+0)))*ROW(Catalogue!$C$4:$C$454))-3),""),IFERROR(INDEX(Supports!$E$4:$E$23,MATCH(SPK!$F$16,Supports!$B$4:$B$23,0)),"")))))</f>
        <v/>
      </c>
      <c r="D29" s="76" t="str">
        <f>IF((IFERROR(INDEX(Supports!$E$4:$E$23,MATCH(SPK!$F$16,Supports!$B$4:$B$23,0)),""))="","",(IFERROR(INDEX(Supports!$F$4:$F$23,MATCH(SPK!$F$16,Supports!$B$4:$B$23,0)),0))*SPK!$F$17)</f>
        <v/>
      </c>
      <c r="E29" s="76" t="s">
        <v>1036</v>
      </c>
      <c r="F29" s="76" t="str">
        <f t="shared" si="0"/>
        <v/>
      </c>
      <c r="G29" s="76">
        <f>IF(AND(B29&lt;&gt;"",B29&lt;&gt;"Non trouvé - vérifier",D29&lt;&gt;"",D29&lt;&gt;0),IF(COUNTIF($B$2:B29,B29)=1,1,0),0)</f>
        <v>0</v>
      </c>
    </row>
    <row r="30" spans="1:7" x14ac:dyDescent="0.25">
      <c r="A30" s="76" t="s">
        <v>1040</v>
      </c>
      <c r="B30" s="76" t="str">
        <f>IF((IFERROR(INDEX(Supports!$G$4:$G$23,MATCH(SPK!$F$16,Supports!$B$4:$B$23,0)),""))="","",IF(IFERROR(INDEX(Supports!$G$4:$G$23,MATCH(SPK!$F$16,Supports!$B$4:$B$23,0)),"")="ETRIER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vérifier"),IF(IFERROR(INDEX(Supports!$G$4:$G$23,MATCH(SPK!$F$16,Supports!$B$4:$B$23,0)),"")="COLLIER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vérifier"),IF(IFERROR(INDEX(Supports!$G$4:$G$23,MATCH(SPK!$F$16,Supports!$B$4:$B$23,0)),"")="COLLIER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vérifier"),IFERROR(INDEX(Catalogue!$A$4:$A$454,MATCH(IFERROR(INDEX(Supports!$G$4:$G$23,MATCH(SPK!$F$16,Supports!$B$4:$B$23,0)),""),Catalogue!$B$4:$B$454,0)),"")))))</f>
        <v/>
      </c>
      <c r="C30" s="76" t="str">
        <f>IF((IFERROR(INDEX(Supports!$G$4:$G$23,MATCH(SPK!$F$16,Supports!$B$4:$B$23,0)),""))="","",IF(IFERROR(INDEX(Supports!$G$4:$G$23,MATCH(SPK!$F$16,Supports!$B$4:$B$23,0)),"")="ETRIER RALLONGE (DN automatique = DN du tube)",IFERROR(INDEX(Catalogue!$B$4:$B$454,SUMPRODUCT(((Catalogue!$C$4:$C$454="ETRIER")*(Catalogue!$E$4:$E$454=(SPK!$F$9+0)))*ROW(Catalogue!$C$4:$C$454))-3),""),IF(IFERROR(INDEX(Supports!$G$4:$G$23,MATCH(SPK!$F$16,Supports!$B$4:$B$23,0)),"")="COLLIER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tube)",IFERROR(INDEX(Catalogue!$B$4:$B$454,SUMPRODUCT(((Catalogue!$C$4:$C$454="COLLIERINDUS")*(Catalogue!$E$4:$E$454=(SPK!$F$9+0)))*ROW(Catalogue!$C$4:$C$454))-3),""),IF(IFERROR(INDEX(Supports!$G$4:$G$23,MATCH(SPK!$F$16,Supports!$B$4:$B$23,0)),"")="COLLIER POIRE (DN automatique = DN du tube)",IFERROR(INDEX(Catalogue!$B$4:$B$454,SUMPRODUCT(((Catalogue!$C$4:$C$454="COLLIERPOIRE")*(Catalogue!$E$4:$E$454=(SPK!$F$9+0)))*ROW(Catalogue!$C$4:$C$454))-3),""),IFERROR(INDEX(Supports!$G$4:$G$23,MATCH(SPK!$F$16,Supports!$B$4:$B$23,0)),"")))))</f>
        <v/>
      </c>
      <c r="D30" s="76" t="str">
        <f>IF((IFERROR(INDEX(Supports!$G$4:$G$23,MATCH(SPK!$F$16,Supports!$B$4:$B$23,0)),""))="","",(IFERROR(INDEX(Supports!$H$4:$H$23,MATCH(SPK!$F$16,Supports!$B$4:$B$23,0)),0))*SPK!$F$17)</f>
        <v/>
      </c>
      <c r="E30" s="76" t="s">
        <v>1036</v>
      </c>
      <c r="F30" s="76" t="str">
        <f t="shared" si="0"/>
        <v/>
      </c>
      <c r="G30" s="76">
        <f>IF(AND(B30&lt;&gt;"",B30&lt;&gt;"Non trouvé - vérifier",D30&lt;&gt;"",D30&lt;&gt;0),IF(COUNTIF($B$2:B30,B30)=1,1,0),0)</f>
        <v>0</v>
      </c>
    </row>
    <row r="31" spans="1:7" x14ac:dyDescent="0.25">
      <c r="A31" s="76" t="s">
        <v>1040</v>
      </c>
      <c r="B31" s="76" t="str">
        <f>IF((IFERROR(INDEX(Supports!$I$4:$I$23,MATCH(SPK!$F$16,Supports!$B$4:$B$23,0)),""))="","",IF(IFERROR(INDEX(Supports!$I$4:$I$23,MATCH(SPK!$F$16,Supports!$B$4:$B$23,0)),"")="ETRIER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vérifier"),IF(IFERROR(INDEX(Supports!$I$4:$I$23,MATCH(SPK!$F$16,Supports!$B$4:$B$23,0)),"")="COLLIER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vérifier"),IF(IFERROR(INDEX(Supports!$I$4:$I$23,MATCH(SPK!$F$16,Supports!$B$4:$B$23,0)),"")="COLLIER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vérifier"),IFERROR(INDEX(Catalogue!$A$4:$A$454,MATCH(IFERROR(INDEX(Supports!$I$4:$I$23,MATCH(SPK!$F$16,Supports!$B$4:$B$23,0)),""),Catalogue!$B$4:$B$454,0)),"")))))</f>
        <v/>
      </c>
      <c r="C31" s="76" t="str">
        <f>IF((IFERROR(INDEX(Supports!$I$4:$I$23,MATCH(SPK!$F$16,Supports!$B$4:$B$23,0)),""))="","",IF(IFERROR(INDEX(Supports!$I$4:$I$23,MATCH(SPK!$F$16,Supports!$B$4:$B$23,0)),"")="ETRIER RALLONGE (DN automatique = DN du tube)",IFERROR(INDEX(Catalogue!$B$4:$B$454,SUMPRODUCT(((Catalogue!$C$4:$C$454="ETRIER")*(Catalogue!$E$4:$E$454=(SPK!$F$9+0)))*ROW(Catalogue!$C$4:$C$454))-3),""),IF(IFERROR(INDEX(Supports!$I$4:$I$23,MATCH(SPK!$F$16,Supports!$B$4:$B$23,0)),"")="COLLIER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tube)",IFERROR(INDEX(Catalogue!$B$4:$B$454,SUMPRODUCT(((Catalogue!$C$4:$C$454="COLLIERINDUS")*(Catalogue!$E$4:$E$454=(SPK!$F$9+0)))*ROW(Catalogue!$C$4:$C$454))-3),""),IF(IFERROR(INDEX(Supports!$I$4:$I$23,MATCH(SPK!$F$16,Supports!$B$4:$B$23,0)),"")="COLLIER POIRE (DN automatique = DN du tube)",IFERROR(INDEX(Catalogue!$B$4:$B$454,SUMPRODUCT(((Catalogue!$C$4:$C$454="COLLIERPOIRE")*(Catalogue!$E$4:$E$454=(SPK!$F$9+0)))*ROW(Catalogue!$C$4:$C$454))-3),""),IFERROR(INDEX(Supports!$I$4:$I$23,MATCH(SPK!$F$16,Supports!$B$4:$B$23,0)),"")))))</f>
        <v/>
      </c>
      <c r="D31" s="76" t="str">
        <f>IF((IFERROR(INDEX(Supports!$I$4:$I$23,MATCH(SPK!$F$16,Supports!$B$4:$B$23,0)),""))="","",(IFERROR(INDEX(Supports!$J$4:$J$23,MATCH(SPK!$F$16,Supports!$B$4:$B$23,0)),0))*SPK!$F$17)</f>
        <v/>
      </c>
      <c r="E31" s="76" t="s">
        <v>1036</v>
      </c>
      <c r="F31" s="76" t="str">
        <f t="shared" si="0"/>
        <v/>
      </c>
      <c r="G31" s="76">
        <f>IF(AND(B31&lt;&gt;"",B31&lt;&gt;"Non trouvé - vérifier",D31&lt;&gt;"",D31&lt;&gt;0),IF(COUNTIF($B$2:B31,B31)=1,1,0),0)</f>
        <v>0</v>
      </c>
    </row>
    <row r="32" spans="1:7" x14ac:dyDescent="0.25">
      <c r="A32" s="76" t="s">
        <v>1040</v>
      </c>
      <c r="B32" s="76" t="str">
        <f>IF((IFERROR(INDEX(Supports!$K$4:$K$23,MATCH(SPK!$F$16,Supports!$B$4:$B$23,0)),""))="","",IF(IFERROR(INDEX(Supports!$K$4:$K$23,MATCH(SPK!$F$16,Supports!$B$4:$B$23,0)),"")="ETRIER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vérifier"),IF(IFERROR(INDEX(Supports!$K$4:$K$23,MATCH(SPK!$F$16,Supports!$B$4:$B$23,0)),"")="COLLIER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vérifier"),IF(IFERROR(INDEX(Supports!$K$4:$K$23,MATCH(SPK!$F$16,Supports!$B$4:$B$23,0)),"")="COLLIER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vérifier"),IFERROR(INDEX(Catalogue!$A$4:$A$454,MATCH(IFERROR(INDEX(Supports!$K$4:$K$23,MATCH(SPK!$F$16,Supports!$B$4:$B$23,0)),""),Catalogue!$B$4:$B$454,0)),"")))))</f>
        <v/>
      </c>
      <c r="C32" s="76" t="str">
        <f>IF((IFERROR(INDEX(Supports!$K$4:$K$23,MATCH(SPK!$F$16,Supports!$B$4:$B$23,0)),""))="","",IF(IFERROR(INDEX(Supports!$K$4:$K$23,MATCH(SPK!$F$16,Supports!$B$4:$B$23,0)),"")="ETRIER RALLONGE (DN automatique = DN du tube)",IFERROR(INDEX(Catalogue!$B$4:$B$454,SUMPRODUCT(((Catalogue!$C$4:$C$454="ETRIER")*(Catalogue!$E$4:$E$454=(SPK!$F$9+0)))*ROW(Catalogue!$C$4:$C$454))-3),""),IF(IFERROR(INDEX(Supports!$K$4:$K$23,MATCH(SPK!$F$16,Supports!$B$4:$B$23,0)),"")="COLLIER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tube)",IFERROR(INDEX(Catalogue!$B$4:$B$454,SUMPRODUCT(((Catalogue!$C$4:$C$454="COLLIERINDUS")*(Catalogue!$E$4:$E$454=(SPK!$F$9+0)))*ROW(Catalogue!$C$4:$C$454))-3),""),IF(IFERROR(INDEX(Supports!$K$4:$K$23,MATCH(SPK!$F$16,Supports!$B$4:$B$23,0)),"")="COLLIER POIRE (DN automatique = DN du tube)",IFERROR(INDEX(Catalogue!$B$4:$B$454,SUMPRODUCT(((Catalogue!$C$4:$C$454="COLLIERPOIRE")*(Catalogue!$E$4:$E$454=(SPK!$F$9+0)))*ROW(Catalogue!$C$4:$C$454))-3),""),IFERROR(INDEX(Supports!$K$4:$K$23,MATCH(SPK!$F$16,Supports!$B$4:$B$23,0)),"")))))</f>
        <v/>
      </c>
      <c r="D32" s="76" t="str">
        <f>IF((IFERROR(INDEX(Supports!$K$4:$K$23,MATCH(SPK!$F$16,Supports!$B$4:$B$23,0)),""))="","",(IFERROR(INDEX(Supports!$L$4:$L$23,MATCH(SPK!$F$16,Supports!$B$4:$B$23,0)),0))*SPK!$F$17)</f>
        <v/>
      </c>
      <c r="E32" s="76" t="s">
        <v>1036</v>
      </c>
      <c r="F32" s="76" t="str">
        <f t="shared" si="0"/>
        <v/>
      </c>
      <c r="G32" s="76">
        <f>IF(AND(B32&lt;&gt;"",B32&lt;&gt;"Non trouvé - vérifier",D32&lt;&gt;"",D32&lt;&gt;0),IF(COUNTIF($B$2:B32,B32)=1,1,0),0)</f>
        <v>0</v>
      </c>
    </row>
    <row r="33" spans="1:7" x14ac:dyDescent="0.25">
      <c r="A33" s="76" t="s">
        <v>1040</v>
      </c>
      <c r="B33" s="76" t="str">
        <f>IF((IFERROR(INDEX(Supports!$M$4:$M$23,MATCH(SPK!$F$16,Supports!$B$4:$B$23,0)),""))="","",IF(IFERROR(INDEX(Supports!$M$4:$M$23,MATCH(SPK!$F$16,Supports!$B$4:$B$23,0)),"")="ETRIER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vérifier"),IF(IFERROR(INDEX(Supports!$M$4:$M$23,MATCH(SPK!$F$16,Supports!$B$4:$B$23,0)),"")="COLLIER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vérifier"),IF(IFERROR(INDEX(Supports!$M$4:$M$23,MATCH(SPK!$F$16,Supports!$B$4:$B$23,0)),"")="COLLIER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vérifier"),IFERROR(INDEX(Catalogue!$A$4:$A$454,MATCH(IFERROR(INDEX(Supports!$M$4:$M$23,MATCH(SPK!$F$16,Supports!$B$4:$B$23,0)),""),Catalogue!$B$4:$B$454,0)),"")))))</f>
        <v/>
      </c>
      <c r="C33" s="76" t="str">
        <f>IF((IFERROR(INDEX(Supports!$M$4:$M$23,MATCH(SPK!$F$16,Supports!$B$4:$B$23,0)),""))="","",IF(IFERROR(INDEX(Supports!$M$4:$M$23,MATCH(SPK!$F$16,Supports!$B$4:$B$23,0)),"")="ETRIER RALLONGE (DN automatique = DN du tube)",IFERROR(INDEX(Catalogue!$B$4:$B$454,SUMPRODUCT(((Catalogue!$C$4:$C$454="ETRIER")*(Catalogue!$E$4:$E$454=(SPK!$F$9+0)))*ROW(Catalogue!$C$4:$C$454))-3),""),IF(IFERROR(INDEX(Supports!$M$4:$M$23,MATCH(SPK!$F$16,Supports!$B$4:$B$23,0)),"")="COLLIER INDUSTRIEL (DN automatique = DN du tube)",IFERROR(INDEX(Catalogue!$B$4:$B$454,SUMPRODUCT(((Catalogue!$C$4:$C$454="COLLIERINDUS")*(Catalogue!$E$4:$E$454=(SPK!$F$9+0)))*ROW(Catalogue!$C$4:$C$454))-3),""),IF(IFERROR(INDEX(Supports!$M$4:$M$23,MATCH(SPK!$F$16,Supports!$B$4:$B$23,0)),"")="COLLIER POIRE (DN automatique = DN du tube)",IFERROR(INDEX(Catalogue!$B$4:$B$454,SUMPRODUCT(((Catalogue!$C$4:$C$454="COLLIERPOIRE")*(Catalogue!$E$4:$E$454=(SPK!$F$9+0)))*ROW(Catalogue!$C$4:$C$454))-3),""),IFERROR(INDEX(Supports!$M$4:$M$23,MATCH(SPK!$F$16,Supports!$B$4:$B$23,0)),"")))))</f>
        <v/>
      </c>
      <c r="D33" s="76" t="str">
        <f>IF((IFERROR(INDEX(Supports!$M$4:$M$23,MATCH(SPK!$F$16,Supports!$B$4:$B$23,0)),""))="","",(IFERROR(INDEX(Supports!$N$4:$N$23,MATCH(SPK!$F$16,Supports!$B$4:$B$23,0)),0))*SPK!$F$17)</f>
        <v/>
      </c>
      <c r="E33" s="76" t="s">
        <v>1036</v>
      </c>
      <c r="F33" s="76" t="str">
        <f t="shared" si="0"/>
        <v/>
      </c>
      <c r="G33" s="76">
        <f>IF(AND(B33&lt;&gt;"",B33&lt;&gt;"Non trouvé - vérifier",D33&lt;&gt;"",D33&lt;&gt;0),IF(COUNTIF($B$2:B33,B33)=1,1,0),0)</f>
        <v>0</v>
      </c>
    </row>
    <row r="34" spans="1:7" x14ac:dyDescent="0.25">
      <c r="A34" s="76" t="s">
        <v>1041</v>
      </c>
      <c r="B34" s="76" t="str">
        <f>IFERROR(INDEX(Catalogue!$A$4:$A$454,SUMPRODUCT(((Catalogue!$C$4:$C$454="TUBE")*(Catalogue!$G$4:$G$454&lt;&gt;"SL")*(Catalogue!$D$4:$D$454=IF(SPK!$D$6="X","GALVA",IF(SPK!$F$6="X","NOIR","")))*(Catalogue!$E$4:$E$454=(SPK!$H$9+0)))*ROW(Catalogue!$C$4:$C$454))-3),"Non trouvé - vérifier")</f>
        <v>Non trouvé - vérifier</v>
      </c>
      <c r="C34" s="76" t="str">
        <f>IFERROR(INDEX(Catalogue!$B$4:$B$454,SUMPRODUCT(((Catalogue!$C$4:$C$454="TUBE")*(Catalogue!$G$4:$G$454&lt;&gt;"SL")*(Catalogue!$D$4:$D$454=IF(SPK!$D$6="X","GALVA",IF(SPK!$F$6="X","NOIR","")))*(Catalogue!$E$4:$E$454=(SPK!$H$9+0)))*ROW(Catalogue!$C$4:$C$454))-3),"")</f>
        <v/>
      </c>
      <c r="D34" s="78">
        <f>CEILING((SPK!$H$10),6)</f>
        <v>0</v>
      </c>
      <c r="E34" s="76" t="s">
        <v>1033</v>
      </c>
      <c r="F34" s="76" t="str">
        <f t="shared" si="0"/>
        <v/>
      </c>
      <c r="G34" s="76">
        <f>IF(AND(B34&lt;&gt;"",B34&lt;&gt;"Non trouvé - vérifier",D34&lt;&gt;"",D34&lt;&gt;0),IF(COUNTIF($B$2:B34,B34)=1,1,0),0)</f>
        <v>0</v>
      </c>
    </row>
    <row r="35" spans="1:7" x14ac:dyDescent="0.25">
      <c r="A35" s="76" t="s">
        <v>1041</v>
      </c>
      <c r="B35" s="76" t="str">
        <f>IFERROR(INDEX(Catalogue!$A$4:$A$454,SUMPRODUCT(((Catalogue!$C$4:$C$454="COUDE90")*(Catalogue!$D$4:$D$454=IF(SPK!$D$4="X","ROUGE",IF(SPK!$F$4="X","BLANC",IF(SPK!$H$4="X","GALVA",""))))*(Catalogue!$E$4:$E$454=(SPK!$H$9+0)))*ROW(Catalogue!$C$4:$C$454))-3),"Non trouvé - vérifier")</f>
        <v>Non trouvé - vérifier</v>
      </c>
      <c r="C35" s="76" t="str">
        <f>IFERROR(INDEX(Catalogue!$B$4:$B$454,SUMPRODUCT(((Catalogue!$C$4:$C$454="COUDE90")*(Catalogue!$D$4:$D$454=IF(SPK!$D$4="X","ROUGE",IF(SPK!$F$4="X","BLANC",IF(SPK!$H$4="X","GALVA",""))))*(Catalogue!$E$4:$E$454=(SPK!$H$9+0)))*ROW(Catalogue!$C$4:$C$454))-3),"")</f>
        <v/>
      </c>
      <c r="D35" s="78">
        <f>SPK!$H$11</f>
        <v>0</v>
      </c>
      <c r="E35" s="76" t="s">
        <v>1034</v>
      </c>
      <c r="F35" s="76" t="str">
        <f t="shared" si="0"/>
        <v/>
      </c>
      <c r="G35" s="76">
        <f>IF(AND(B35&lt;&gt;"",B35&lt;&gt;"Non trouvé - vérifier",D35&lt;&gt;"",D35&lt;&gt;0),IF(COUNTIF($B$2:B35,B35)=1,1,0),0)</f>
        <v>0</v>
      </c>
    </row>
    <row r="36" spans="1:7" x14ac:dyDescent="0.25">
      <c r="A36" s="76" t="s">
        <v>1041</v>
      </c>
      <c r="B36" s="76" t="str">
        <f>IFERROR(INDEX(Catalogue!$A$4:$A$454,SUMPRODUCT(((Catalogue!$C$4:$C$454="CPC")*(Catalogue!$D$4:$D$454=IF(SPK!$D$4="X","ROUGE",IF(SPK!$F$4="X","GALVA",IF(SPK!$H$4="X","GALVA",""))))*(Catalogue!$F$4:$F$454=(SPK!$H$9+0))*(Catalogue!$E$4:$E$454=(SPK!$H$12+0))*(Catalogue!$G$4:$G$454=IF(LEFT(SPK!$H$13,1)="R","RAINURE",IF(LEFT(SPK!$H$13,1)="T","TARAUDE",""))))*ROW(Catalogue!$C$4:$C$454))-3),"Non trouvé - vérifier")</f>
        <v>Non trouvé - vérifier</v>
      </c>
      <c r="C36" s="76" t="str">
        <f>IFERROR(INDEX(Catalogue!$B$4:$B$454,SUMPRODUCT(((Catalogue!$C$4:$C$454="CPC")*(Catalogue!$D$4:$D$454=IF(SPK!$D$4="X","ROUGE",IF(SPK!$F$4="X","GALVA",IF(SPK!$H$4="X","GALVA",""))))*(Catalogue!$F$4:$F$454=(SPK!$H$9+0))*(Catalogue!$E$4:$E$454=(SPK!$H$12+0))*(Catalogue!$G$4:$G$454=IF(LEFT(SPK!$H$13,1)="R","RAINURE",IF(LEFT(SPK!$H$13,1)="T","TARAUDE",""))))*ROW(Catalogue!$C$4:$C$454))-3),"")</f>
        <v/>
      </c>
      <c r="D36" s="76">
        <f>1</f>
        <v>1</v>
      </c>
      <c r="E36" s="76" t="s">
        <v>1034</v>
      </c>
      <c r="F36" s="76" t="str">
        <f t="shared" si="0"/>
        <v/>
      </c>
      <c r="G36" s="76">
        <f>IF(AND(B36&lt;&gt;"",B36&lt;&gt;"Non trouvé - vérifier",D36&lt;&gt;"",D36&lt;&gt;0),IF(COUNTIF($B$2:B36,B36)=1,1,0),0)</f>
        <v>0</v>
      </c>
    </row>
    <row r="37" spans="1:7" x14ac:dyDescent="0.25">
      <c r="A37" s="76" t="s">
        <v>1041</v>
      </c>
      <c r="B37" s="76" t="str">
        <f>IFERROR(INDEX(Catalogue!$A$4:$A$454,SUMPRODUCT(((Catalogue!$C$4:$C$454="RACCORD")*(Catalogue!$D$4:$D$454=IF(SPK!$D$4="X","ROUGE",IF(SPK!$F$4="X","BLANC",IF(SPK!$H$4="X","GALVA",""))))*(Catalogue!$E$4:$E$454=(SPK!$H$9+0)))*ROW(Catalogue!$C$4:$C$454))-3),"Non trouvé - vérifier")</f>
        <v>Non trouvé - vérifier</v>
      </c>
      <c r="C37" s="76" t="str">
        <f>IFERROR(INDEX(Catalogue!$B$4:$B$454,SUMPRODUCT(((Catalogue!$C$4:$C$454="RACCORD")*(Catalogue!$D$4:$D$454=IF(SPK!$D$4="X","ROUGE",IF(SPK!$F$4="X","BLANC",IF(SPK!$H$4="X","GALVA",""))))*(Catalogue!$E$4:$E$454=(SPK!$H$9+0)))*ROW(Catalogue!$C$4:$C$454))-3),"")</f>
        <v/>
      </c>
      <c r="D37" s="76">
        <f>ROUNDUP(((SPK!$H$10/6)+(SPK!$H$11*2))*1.1,0)</f>
        <v>0</v>
      </c>
      <c r="E37" s="76" t="s">
        <v>1034</v>
      </c>
      <c r="F37" s="76" t="str">
        <f t="shared" si="0"/>
        <v/>
      </c>
      <c r="G37" s="76">
        <f>IF(AND(B37&lt;&gt;"",B37&lt;&gt;"Non trouvé - vérifier",D37&lt;&gt;"",D37&lt;&gt;0),IF(COUNTIF($B$2:B37,B37)=1,1,0),0)</f>
        <v>0</v>
      </c>
    </row>
    <row r="38" spans="1:7" x14ac:dyDescent="0.25">
      <c r="A38" s="76" t="s">
        <v>1042</v>
      </c>
      <c r="B38" s="76" t="str">
        <f>IF((IFERROR(INDEX(Supports!$C$4:$C$23,MATCH(SPK!$H$14,Supports!$B$4:$B$23,0)),""))="","",IF(IFERROR(INDEX(Supports!$C$4:$C$23,MATCH(SPK!$H$14,Supports!$B$4:$B$23,0)),"")="ETRIER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vérifier"),IF(IFERROR(INDEX(Supports!$C$4:$C$23,MATCH(SPK!$H$14,Supports!$B$4:$B$23,0)),"")="COLLIER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vérifier"),IF(IFERROR(INDEX(Supports!$C$4:$C$23,MATCH(SPK!$H$14,Supports!$B$4:$B$23,0)),"")="COLLIER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vérifier"),IFERROR(INDEX(Catalogue!$A$4:$A$454,MATCH(IFERROR(INDEX(Supports!$C$4:$C$23,MATCH(SPK!$H$14,Supports!$B$4:$B$23,0)),""),Catalogue!$B$4:$B$454,0)),"")))))</f>
        <v/>
      </c>
      <c r="C38" s="76" t="str">
        <f>IF((IFERROR(INDEX(Supports!$C$4:$C$23,MATCH(SPK!$H$14,Supports!$B$4:$B$23,0)),""))="","",IF(IFERROR(INDEX(Supports!$C$4:$C$23,MATCH(SPK!$H$14,Supports!$B$4:$B$23,0)),"")="ETRIER RALLONGE (DN automatique = DN du tube)",IFERROR(INDEX(Catalogue!$B$4:$B$454,SUMPRODUCT(((Catalogue!$C$4:$C$454="ETRIER")*(Catalogue!$E$4:$E$454=(SPK!$H$9+0)))*ROW(Catalogue!$C$4:$C$454))-3),""),IF(IFERROR(INDEX(Supports!$C$4:$C$23,MATCH(SPK!$H$14,Supports!$B$4:$B$23,0)),"")="COLLIER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tube)",IFERROR(INDEX(Catalogue!$B$4:$B$454,SUMPRODUCT(((Catalogue!$C$4:$C$454="COLLIERINDUS")*(Catalogue!$E$4:$E$454=(SPK!$H$9+0)))*ROW(Catalogue!$C$4:$C$454))-3),""),IF(IFERROR(INDEX(Supports!$C$4:$C$23,MATCH(SPK!$H$14,Supports!$B$4:$B$23,0)),"")="COLLIER POIRE (DN automatique = DN du tube)",IFERROR(INDEX(Catalogue!$B$4:$B$454,SUMPRODUCT(((Catalogue!$C$4:$C$454="COLLIERPOIRE")*(Catalogue!$E$4:$E$454=(SPK!$H$9+0)))*ROW(Catalogue!$C$4:$C$454))-3),""),IFERROR(INDEX(Supports!$C$4:$C$23,MATCH(SPK!$H$14,Supports!$B$4:$B$23,0)),"")))))</f>
        <v/>
      </c>
      <c r="D38" s="76" t="str">
        <f>IF((IFERROR(INDEX(Supports!$C$4:$C$23,MATCH(SPK!$H$14,Supports!$B$4:$B$23,0)),""))="","",(IFERROR(INDEX(Supports!$D$4:$D$23,MATCH(SPK!$H$14,Supports!$B$4:$B$23,0)),0))*SPK!$H$15)</f>
        <v/>
      </c>
      <c r="E38" s="76" t="s">
        <v>1036</v>
      </c>
      <c r="F38" s="76" t="str">
        <f t="shared" si="0"/>
        <v/>
      </c>
      <c r="G38" s="76">
        <f>IF(AND(B38&lt;&gt;"",B38&lt;&gt;"Non trouvé - vérifier",D38&lt;&gt;"",D38&lt;&gt;0),IF(COUNTIF($B$2:B38,B38)=1,1,0),0)</f>
        <v>0</v>
      </c>
    </row>
    <row r="39" spans="1:7" x14ac:dyDescent="0.25">
      <c r="A39" s="76" t="s">
        <v>1042</v>
      </c>
      <c r="B39" s="76" t="str">
        <f>IF((IFERROR(INDEX(Supports!$E$4:$E$23,MATCH(SPK!$H$14,Supports!$B$4:$B$23,0)),""))="","",IF(IFERROR(INDEX(Supports!$E$4:$E$23,MATCH(SPK!$H$14,Supports!$B$4:$B$23,0)),"")="ETRIER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vérifier"),IF(IFERROR(INDEX(Supports!$E$4:$E$23,MATCH(SPK!$H$14,Supports!$B$4:$B$23,0)),"")="COLLIER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vérifier"),IF(IFERROR(INDEX(Supports!$E$4:$E$23,MATCH(SPK!$H$14,Supports!$B$4:$B$23,0)),"")="COLLIER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vérifier"),IFERROR(INDEX(Catalogue!$A$4:$A$454,MATCH(IFERROR(INDEX(Supports!$E$4:$E$23,MATCH(SPK!$H$14,Supports!$B$4:$B$23,0)),""),Catalogue!$B$4:$B$454,0)),"")))))</f>
        <v/>
      </c>
      <c r="C39" s="76" t="str">
        <f>IF((IFERROR(INDEX(Supports!$E$4:$E$23,MATCH(SPK!$H$14,Supports!$B$4:$B$23,0)),""))="","",IF(IFERROR(INDEX(Supports!$E$4:$E$23,MATCH(SPK!$H$14,Supports!$B$4:$B$23,0)),"")="ETRIER RALLONGE (DN automatique = DN du tube)",IFERROR(INDEX(Catalogue!$B$4:$B$454,SUMPRODUCT(((Catalogue!$C$4:$C$454="ETRIER")*(Catalogue!$E$4:$E$454=(SPK!$H$9+0)))*ROW(Catalogue!$C$4:$C$454))-3),""),IF(IFERROR(INDEX(Supports!$E$4:$E$23,MATCH(SPK!$H$14,Supports!$B$4:$B$23,0)),"")="COLLIER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tube)",IFERROR(INDEX(Catalogue!$B$4:$B$454,SUMPRODUCT(((Catalogue!$C$4:$C$454="COLLIERINDUS")*(Catalogue!$E$4:$E$454=(SPK!$H$9+0)))*ROW(Catalogue!$C$4:$C$454))-3),""),IF(IFERROR(INDEX(Supports!$E$4:$E$23,MATCH(SPK!$H$14,Supports!$B$4:$B$23,0)),"")="COLLIER POIRE (DN automatique = DN du tube)",IFERROR(INDEX(Catalogue!$B$4:$B$454,SUMPRODUCT(((Catalogue!$C$4:$C$454="COLLIERPOIRE")*(Catalogue!$E$4:$E$454=(SPK!$H$9+0)))*ROW(Catalogue!$C$4:$C$454))-3),""),IFERROR(INDEX(Supports!$E$4:$E$23,MATCH(SPK!$H$14,Supports!$B$4:$B$23,0)),"")))))</f>
        <v/>
      </c>
      <c r="D39" s="76" t="str">
        <f>IF((IFERROR(INDEX(Supports!$E$4:$E$23,MATCH(SPK!$H$14,Supports!$B$4:$B$23,0)),""))="","",(IFERROR(INDEX(Supports!$F$4:$F$23,MATCH(SPK!$H$14,Supports!$B$4:$B$23,0)),0))*SPK!$H$15)</f>
        <v/>
      </c>
      <c r="E39" s="76" t="s">
        <v>1036</v>
      </c>
      <c r="F39" s="76" t="str">
        <f t="shared" si="0"/>
        <v/>
      </c>
      <c r="G39" s="76">
        <f>IF(AND(B39&lt;&gt;"",B39&lt;&gt;"Non trouvé - vérifier",D39&lt;&gt;"",D39&lt;&gt;0),IF(COUNTIF($B$2:B39,B39)=1,1,0),0)</f>
        <v>0</v>
      </c>
    </row>
    <row r="40" spans="1:7" x14ac:dyDescent="0.25">
      <c r="A40" s="76" t="s">
        <v>1042</v>
      </c>
      <c r="B40" s="76" t="str">
        <f>IF((IFERROR(INDEX(Supports!$G$4:$G$23,MATCH(SPK!$H$14,Supports!$B$4:$B$23,0)),""))="","",IF(IFERROR(INDEX(Supports!$G$4:$G$23,MATCH(SPK!$H$14,Supports!$B$4:$B$23,0)),"")="ETRIER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vérifier"),IF(IFERROR(INDEX(Supports!$G$4:$G$23,MATCH(SPK!$H$14,Supports!$B$4:$B$23,0)),"")="COLLIER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vérifier"),IF(IFERROR(INDEX(Supports!$G$4:$G$23,MATCH(SPK!$H$14,Supports!$B$4:$B$23,0)),"")="COLLIER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vérifier"),IFERROR(INDEX(Catalogue!$A$4:$A$454,MATCH(IFERROR(INDEX(Supports!$G$4:$G$23,MATCH(SPK!$H$14,Supports!$B$4:$B$23,0)),""),Catalogue!$B$4:$B$454,0)),"")))))</f>
        <v/>
      </c>
      <c r="C40" s="76" t="str">
        <f>IF((IFERROR(INDEX(Supports!$G$4:$G$23,MATCH(SPK!$H$14,Supports!$B$4:$B$23,0)),""))="","",IF(IFERROR(INDEX(Supports!$G$4:$G$23,MATCH(SPK!$H$14,Supports!$B$4:$B$23,0)),"")="ETRIER RALLONGE (DN automatique = DN du tube)",IFERROR(INDEX(Catalogue!$B$4:$B$454,SUMPRODUCT(((Catalogue!$C$4:$C$454="ETRIER")*(Catalogue!$E$4:$E$454=(SPK!$H$9+0)))*ROW(Catalogue!$C$4:$C$454))-3),""),IF(IFERROR(INDEX(Supports!$G$4:$G$23,MATCH(SPK!$H$14,Supports!$B$4:$B$23,0)),"")="COLLIER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tube)",IFERROR(INDEX(Catalogue!$B$4:$B$454,SUMPRODUCT(((Catalogue!$C$4:$C$454="COLLIERINDUS")*(Catalogue!$E$4:$E$454=(SPK!$H$9+0)))*ROW(Catalogue!$C$4:$C$454))-3),""),IF(IFERROR(INDEX(Supports!$G$4:$G$23,MATCH(SPK!$H$14,Supports!$B$4:$B$23,0)),"")="COLLIER POIRE (DN automatique = DN du tube)",IFERROR(INDEX(Catalogue!$B$4:$B$454,SUMPRODUCT(((Catalogue!$C$4:$C$454="COLLIERPOIRE")*(Catalogue!$E$4:$E$454=(SPK!$H$9+0)))*ROW(Catalogue!$C$4:$C$454))-3),""),IFERROR(INDEX(Supports!$G$4:$G$23,MATCH(SPK!$H$14,Supports!$B$4:$B$23,0)),"")))))</f>
        <v/>
      </c>
      <c r="D40" s="76" t="str">
        <f>IF((IFERROR(INDEX(Supports!$G$4:$G$23,MATCH(SPK!$H$14,Supports!$B$4:$B$23,0)),""))="","",(IFERROR(INDEX(Supports!$H$4:$H$23,MATCH(SPK!$H$14,Supports!$B$4:$B$23,0)),0))*SPK!$H$15)</f>
        <v/>
      </c>
      <c r="E40" s="76" t="s">
        <v>1036</v>
      </c>
      <c r="F40" s="76" t="str">
        <f t="shared" si="0"/>
        <v/>
      </c>
      <c r="G40" s="76">
        <f>IF(AND(B40&lt;&gt;"",B40&lt;&gt;"Non trouvé - vérifier",D40&lt;&gt;"",D40&lt;&gt;0),IF(COUNTIF($B$2:B40,B40)=1,1,0),0)</f>
        <v>0</v>
      </c>
    </row>
    <row r="41" spans="1:7" x14ac:dyDescent="0.25">
      <c r="A41" s="76" t="s">
        <v>1042</v>
      </c>
      <c r="B41" s="76" t="str">
        <f>IF((IFERROR(INDEX(Supports!$I$4:$I$23,MATCH(SPK!$H$14,Supports!$B$4:$B$23,0)),""))="","",IF(IFERROR(INDEX(Supports!$I$4:$I$23,MATCH(SPK!$H$14,Supports!$B$4:$B$23,0)),"")="ETRIER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vérifier"),IF(IFERROR(INDEX(Supports!$I$4:$I$23,MATCH(SPK!$H$14,Supports!$B$4:$B$23,0)),"")="COLLIER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vérifier"),IF(IFERROR(INDEX(Supports!$I$4:$I$23,MATCH(SPK!$H$14,Supports!$B$4:$B$23,0)),"")="COLLIER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vérifier"),IFERROR(INDEX(Catalogue!$A$4:$A$454,MATCH(IFERROR(INDEX(Supports!$I$4:$I$23,MATCH(SPK!$H$14,Supports!$B$4:$B$23,0)),""),Catalogue!$B$4:$B$454,0)),"")))))</f>
        <v/>
      </c>
      <c r="C41" s="76" t="str">
        <f>IF((IFERROR(INDEX(Supports!$I$4:$I$23,MATCH(SPK!$H$14,Supports!$B$4:$B$23,0)),""))="","",IF(IFERROR(INDEX(Supports!$I$4:$I$23,MATCH(SPK!$H$14,Supports!$B$4:$B$23,0)),"")="ETRIER RALLONGE (DN automatique = DN du tube)",IFERROR(INDEX(Catalogue!$B$4:$B$454,SUMPRODUCT(((Catalogue!$C$4:$C$454="ETRIER")*(Catalogue!$E$4:$E$454=(SPK!$H$9+0)))*ROW(Catalogue!$C$4:$C$454))-3),""),IF(IFERROR(INDEX(Supports!$I$4:$I$23,MATCH(SPK!$H$14,Supports!$B$4:$B$23,0)),"")="COLLIER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tube)",IFERROR(INDEX(Catalogue!$B$4:$B$454,SUMPRODUCT(((Catalogue!$C$4:$C$454="COLLIERINDUS")*(Catalogue!$E$4:$E$454=(SPK!$H$9+0)))*ROW(Catalogue!$C$4:$C$454))-3),""),IF(IFERROR(INDEX(Supports!$I$4:$I$23,MATCH(SPK!$H$14,Supports!$B$4:$B$23,0)),"")="COLLIER POIRE (DN automatique = DN du tube)",IFERROR(INDEX(Catalogue!$B$4:$B$454,SUMPRODUCT(((Catalogue!$C$4:$C$454="COLLIERPOIRE")*(Catalogue!$E$4:$E$454=(SPK!$H$9+0)))*ROW(Catalogue!$C$4:$C$454))-3),""),IFERROR(INDEX(Supports!$I$4:$I$23,MATCH(SPK!$H$14,Supports!$B$4:$B$23,0)),"")))))</f>
        <v/>
      </c>
      <c r="D41" s="76" t="str">
        <f>IF((IFERROR(INDEX(Supports!$I$4:$I$23,MATCH(SPK!$H$14,Supports!$B$4:$B$23,0)),""))="","",(IFERROR(INDEX(Supports!$J$4:$J$23,MATCH(SPK!$H$14,Supports!$B$4:$B$23,0)),0))*SPK!$H$15)</f>
        <v/>
      </c>
      <c r="E41" s="76" t="s">
        <v>1036</v>
      </c>
      <c r="F41" s="76" t="str">
        <f t="shared" si="0"/>
        <v/>
      </c>
      <c r="G41" s="76">
        <f>IF(AND(B41&lt;&gt;"",B41&lt;&gt;"Non trouvé - vérifier",D41&lt;&gt;"",D41&lt;&gt;0),IF(COUNTIF($B$2:B41,B41)=1,1,0),0)</f>
        <v>0</v>
      </c>
    </row>
    <row r="42" spans="1:7" x14ac:dyDescent="0.25">
      <c r="A42" s="76" t="s">
        <v>1042</v>
      </c>
      <c r="B42" s="76" t="str">
        <f>IF((IFERROR(INDEX(Supports!$K$4:$K$23,MATCH(SPK!$H$14,Supports!$B$4:$B$23,0)),""))="","",IF(IFERROR(INDEX(Supports!$K$4:$K$23,MATCH(SPK!$H$14,Supports!$B$4:$B$23,0)),"")="ETRIER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vérifier"),IF(IFERROR(INDEX(Supports!$K$4:$K$23,MATCH(SPK!$H$14,Supports!$B$4:$B$23,0)),"")="COLLIER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vérifier"),IF(IFERROR(INDEX(Supports!$K$4:$K$23,MATCH(SPK!$H$14,Supports!$B$4:$B$23,0)),"")="COLLIER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vérifier"),IFERROR(INDEX(Catalogue!$A$4:$A$454,MATCH(IFERROR(INDEX(Supports!$K$4:$K$23,MATCH(SPK!$H$14,Supports!$B$4:$B$23,0)),""),Catalogue!$B$4:$B$454,0)),"")))))</f>
        <v/>
      </c>
      <c r="C42" s="76" t="str">
        <f>IF((IFERROR(INDEX(Supports!$K$4:$K$23,MATCH(SPK!$H$14,Supports!$B$4:$B$23,0)),""))="","",IF(IFERROR(INDEX(Supports!$K$4:$K$23,MATCH(SPK!$H$14,Supports!$B$4:$B$23,0)),"")="ETRIER RALLONGE (DN automatique = DN du tube)",IFERROR(INDEX(Catalogue!$B$4:$B$454,SUMPRODUCT(((Catalogue!$C$4:$C$454="ETRIER")*(Catalogue!$E$4:$E$454=(SPK!$H$9+0)))*ROW(Catalogue!$C$4:$C$454))-3),""),IF(IFERROR(INDEX(Supports!$K$4:$K$23,MATCH(SPK!$H$14,Supports!$B$4:$B$23,0)),"")="COLLIER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tube)",IFERROR(INDEX(Catalogue!$B$4:$B$454,SUMPRODUCT(((Catalogue!$C$4:$C$454="COLLIERINDUS")*(Catalogue!$E$4:$E$454=(SPK!$H$9+0)))*ROW(Catalogue!$C$4:$C$454))-3),""),IF(IFERROR(INDEX(Supports!$K$4:$K$23,MATCH(SPK!$H$14,Supports!$B$4:$B$23,0)),"")="COLLIER POIRE (DN automatique = DN du tube)",IFERROR(INDEX(Catalogue!$B$4:$B$454,SUMPRODUCT(((Catalogue!$C$4:$C$454="COLLIERPOIRE")*(Catalogue!$E$4:$E$454=(SPK!$H$9+0)))*ROW(Catalogue!$C$4:$C$454))-3),""),IFERROR(INDEX(Supports!$K$4:$K$23,MATCH(SPK!$H$14,Supports!$B$4:$B$23,0)),"")))))</f>
        <v/>
      </c>
      <c r="D42" s="76" t="str">
        <f>IF((IFERROR(INDEX(Supports!$K$4:$K$23,MATCH(SPK!$H$14,Supports!$B$4:$B$23,0)),""))="","",(IFERROR(INDEX(Supports!$L$4:$L$23,MATCH(SPK!$H$14,Supports!$B$4:$B$23,0)),0))*SPK!$H$15)</f>
        <v/>
      </c>
      <c r="E42" s="76" t="s">
        <v>1036</v>
      </c>
      <c r="F42" s="76" t="str">
        <f t="shared" si="0"/>
        <v/>
      </c>
      <c r="G42" s="76">
        <f>IF(AND(B42&lt;&gt;"",B42&lt;&gt;"Non trouvé - vérifier",D42&lt;&gt;"",D42&lt;&gt;0),IF(COUNTIF($B$2:B42,B42)=1,1,0),0)</f>
        <v>0</v>
      </c>
    </row>
    <row r="43" spans="1:7" x14ac:dyDescent="0.25">
      <c r="A43" s="76" t="s">
        <v>1042</v>
      </c>
      <c r="B43" s="76" t="str">
        <f>IF((IFERROR(INDEX(Supports!$M$4:$M$23,MATCH(SPK!$H$14,Supports!$B$4:$B$23,0)),""))="","",IF(IFERROR(INDEX(Supports!$M$4:$M$23,MATCH(SPK!$H$14,Supports!$B$4:$B$23,0)),"")="ETRIER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vérifier"),IF(IFERROR(INDEX(Supports!$M$4:$M$23,MATCH(SPK!$H$14,Supports!$B$4:$B$23,0)),"")="COLLIER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vérifier"),IF(IFERROR(INDEX(Supports!$M$4:$M$23,MATCH(SPK!$H$14,Supports!$B$4:$B$23,0)),"")="COLLIER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vérifier"),IFERROR(INDEX(Catalogue!$A$4:$A$454,MATCH(IFERROR(INDEX(Supports!$M$4:$M$23,MATCH(SPK!$H$14,Supports!$B$4:$B$23,0)),""),Catalogue!$B$4:$B$454,0)),"")))))</f>
        <v/>
      </c>
      <c r="C43" s="76" t="str">
        <f>IF((IFERROR(INDEX(Supports!$M$4:$M$23,MATCH(SPK!$H$14,Supports!$B$4:$B$23,0)),""))="","",IF(IFERROR(INDEX(Supports!$M$4:$M$23,MATCH(SPK!$H$14,Supports!$B$4:$B$23,0)),"")="ETRIER RALLONGE (DN automatique = DN du tube)",IFERROR(INDEX(Catalogue!$B$4:$B$454,SUMPRODUCT(((Catalogue!$C$4:$C$454="ETRIER")*(Catalogue!$E$4:$E$454=(SPK!$H$9+0)))*ROW(Catalogue!$C$4:$C$454))-3),""),IF(IFERROR(INDEX(Supports!$M$4:$M$23,MATCH(SPK!$H$14,Supports!$B$4:$B$23,0)),"")="COLLIER INDUSTRIEL (DN automatique = DN du tube)",IFERROR(INDEX(Catalogue!$B$4:$B$454,SUMPRODUCT(((Catalogue!$C$4:$C$454="COLLIERINDUS")*(Catalogue!$E$4:$E$454=(SPK!$H$9+0)))*ROW(Catalogue!$C$4:$C$454))-3),""),IF(IFERROR(INDEX(Supports!$M$4:$M$23,MATCH(SPK!$H$14,Supports!$B$4:$B$23,0)),"")="COLLIER POIRE (DN automatique = DN du tube)",IFERROR(INDEX(Catalogue!$B$4:$B$454,SUMPRODUCT(((Catalogue!$C$4:$C$454="COLLIERPOIRE")*(Catalogue!$E$4:$E$454=(SPK!$H$9+0)))*ROW(Catalogue!$C$4:$C$454))-3),""),IFERROR(INDEX(Supports!$M$4:$M$23,MATCH(SPK!$H$14,Supports!$B$4:$B$23,0)),"")))))</f>
        <v/>
      </c>
      <c r="D43" s="76" t="str">
        <f>IF((IFERROR(INDEX(Supports!$M$4:$M$23,MATCH(SPK!$H$14,Supports!$B$4:$B$23,0)),""))="","",(IFERROR(INDEX(Supports!$N$4:$N$23,MATCH(SPK!$H$14,Supports!$B$4:$B$23,0)),0))*SPK!$H$15)</f>
        <v/>
      </c>
      <c r="E43" s="76" t="s">
        <v>1036</v>
      </c>
      <c r="F43" s="76" t="str">
        <f t="shared" si="0"/>
        <v/>
      </c>
      <c r="G43" s="76">
        <f>IF(AND(B43&lt;&gt;"",B43&lt;&gt;"Non trouvé - vérifier",D43&lt;&gt;"",D43&lt;&gt;0),IF(COUNTIF($B$2:B43,B43)=1,1,0),0)</f>
        <v>0</v>
      </c>
    </row>
    <row r="44" spans="1:7" x14ac:dyDescent="0.25">
      <c r="A44" s="76" t="s">
        <v>1043</v>
      </c>
      <c r="B44" s="76" t="str">
        <f>IF((IFERROR(INDEX(Supports!$C$4:$C$23,MATCH(SPK!$H$16,Supports!$B$4:$B$23,0)),""))="","",IF(IFERROR(INDEX(Supports!$C$4:$C$23,MATCH(SPK!$H$16,Supports!$B$4:$B$23,0)),"")="ETRIER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vérifier"),IF(IFERROR(INDEX(Supports!$C$4:$C$23,MATCH(SPK!$H$16,Supports!$B$4:$B$23,0)),"")="COLLIER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vérifier"),IF(IFERROR(INDEX(Supports!$C$4:$C$23,MATCH(SPK!$H$16,Supports!$B$4:$B$23,0)),"")="COLLIER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vérifier"),IFERROR(INDEX(Catalogue!$A$4:$A$454,MATCH(IFERROR(INDEX(Supports!$C$4:$C$23,MATCH(SPK!$H$16,Supports!$B$4:$B$23,0)),""),Catalogue!$B$4:$B$454,0)),"")))))</f>
        <v/>
      </c>
      <c r="C44" s="76" t="str">
        <f>IF((IFERROR(INDEX(Supports!$C$4:$C$23,MATCH(SPK!$H$16,Supports!$B$4:$B$23,0)),""))="","",IF(IFERROR(INDEX(Supports!$C$4:$C$23,MATCH(SPK!$H$16,Supports!$B$4:$B$23,0)),"")="ETRIER RALLONGE (DN automatique = DN du tube)",IFERROR(INDEX(Catalogue!$B$4:$B$454,SUMPRODUCT(((Catalogue!$C$4:$C$454="ETRIER")*(Catalogue!$E$4:$E$454=(SPK!$H$9+0)))*ROW(Catalogue!$C$4:$C$454))-3),""),IF(IFERROR(INDEX(Supports!$C$4:$C$23,MATCH(SPK!$H$16,Supports!$B$4:$B$23,0)),"")="COLLIER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tube)",IFERROR(INDEX(Catalogue!$B$4:$B$454,SUMPRODUCT(((Catalogue!$C$4:$C$454="COLLIERINDUS")*(Catalogue!$E$4:$E$454=(SPK!$H$9+0)))*ROW(Catalogue!$C$4:$C$454))-3),""),IF(IFERROR(INDEX(Supports!$C$4:$C$23,MATCH(SPK!$H$16,Supports!$B$4:$B$23,0)),"")="COLLIER POIRE (DN automatique = DN du tube)",IFERROR(INDEX(Catalogue!$B$4:$B$454,SUMPRODUCT(((Catalogue!$C$4:$C$454="COLLIERPOIRE")*(Catalogue!$E$4:$E$454=(SPK!$H$9+0)))*ROW(Catalogue!$C$4:$C$454))-3),""),IFERROR(INDEX(Supports!$C$4:$C$23,MATCH(SPK!$H$16,Supports!$B$4:$B$23,0)),"")))))</f>
        <v/>
      </c>
      <c r="D44" s="76" t="str">
        <f>IF((IFERROR(INDEX(Supports!$C$4:$C$23,MATCH(SPK!$H$16,Supports!$B$4:$B$23,0)),""))="","",(IFERROR(INDEX(Supports!$D$4:$D$23,MATCH(SPK!$H$16,Supports!$B$4:$B$23,0)),0))*SPK!$H$17)</f>
        <v/>
      </c>
      <c r="E44" s="76" t="s">
        <v>1036</v>
      </c>
      <c r="F44" s="76" t="str">
        <f t="shared" si="0"/>
        <v/>
      </c>
      <c r="G44" s="76">
        <f>IF(AND(B44&lt;&gt;"",B44&lt;&gt;"Non trouvé - vérifier",D44&lt;&gt;"",D44&lt;&gt;0),IF(COUNTIF($B$2:B44,B44)=1,1,0),0)</f>
        <v>0</v>
      </c>
    </row>
    <row r="45" spans="1:7" x14ac:dyDescent="0.25">
      <c r="A45" s="76" t="s">
        <v>1043</v>
      </c>
      <c r="B45" s="76" t="str">
        <f>IF((IFERROR(INDEX(Supports!$E$4:$E$23,MATCH(SPK!$H$16,Supports!$B$4:$B$23,0)),""))="","",IF(IFERROR(INDEX(Supports!$E$4:$E$23,MATCH(SPK!$H$16,Supports!$B$4:$B$23,0)),"")="ETRIER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vérifier"),IF(IFERROR(INDEX(Supports!$E$4:$E$23,MATCH(SPK!$H$16,Supports!$B$4:$B$23,0)),"")="COLLIER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vérifier"),IF(IFERROR(INDEX(Supports!$E$4:$E$23,MATCH(SPK!$H$16,Supports!$B$4:$B$23,0)),"")="COLLIER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vérifier"),IFERROR(INDEX(Catalogue!$A$4:$A$454,MATCH(IFERROR(INDEX(Supports!$E$4:$E$23,MATCH(SPK!$H$16,Supports!$B$4:$B$23,0)),""),Catalogue!$B$4:$B$454,0)),"")))))</f>
        <v/>
      </c>
      <c r="C45" s="76" t="str">
        <f>IF((IFERROR(INDEX(Supports!$E$4:$E$23,MATCH(SPK!$H$16,Supports!$B$4:$B$23,0)),""))="","",IF(IFERROR(INDEX(Supports!$E$4:$E$23,MATCH(SPK!$H$16,Supports!$B$4:$B$23,0)),"")="ETRIER RALLONGE (DN automatique = DN du tube)",IFERROR(INDEX(Catalogue!$B$4:$B$454,SUMPRODUCT(((Catalogue!$C$4:$C$454="ETRIER")*(Catalogue!$E$4:$E$454=(SPK!$H$9+0)))*ROW(Catalogue!$C$4:$C$454))-3),""),IF(IFERROR(INDEX(Supports!$E$4:$E$23,MATCH(SPK!$H$16,Supports!$B$4:$B$23,0)),"")="COLLIER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tube)",IFERROR(INDEX(Catalogue!$B$4:$B$454,SUMPRODUCT(((Catalogue!$C$4:$C$454="COLLIERINDUS")*(Catalogue!$E$4:$E$454=(SPK!$H$9+0)))*ROW(Catalogue!$C$4:$C$454))-3),""),IF(IFERROR(INDEX(Supports!$E$4:$E$23,MATCH(SPK!$H$16,Supports!$B$4:$B$23,0)),"")="COLLIER POIRE (DN automatique = DN du tube)",IFERROR(INDEX(Catalogue!$B$4:$B$454,SUMPRODUCT(((Catalogue!$C$4:$C$454="COLLIERPOIRE")*(Catalogue!$E$4:$E$454=(SPK!$H$9+0)))*ROW(Catalogue!$C$4:$C$454))-3),""),IFERROR(INDEX(Supports!$E$4:$E$23,MATCH(SPK!$H$16,Supports!$B$4:$B$23,0)),"")))))</f>
        <v/>
      </c>
      <c r="D45" s="76" t="str">
        <f>IF((IFERROR(INDEX(Supports!$E$4:$E$23,MATCH(SPK!$H$16,Supports!$B$4:$B$23,0)),""))="","",(IFERROR(INDEX(Supports!$F$4:$F$23,MATCH(SPK!$H$16,Supports!$B$4:$B$23,0)),0))*SPK!$H$17)</f>
        <v/>
      </c>
      <c r="E45" s="76" t="s">
        <v>1036</v>
      </c>
      <c r="F45" s="76" t="str">
        <f t="shared" si="0"/>
        <v/>
      </c>
      <c r="G45" s="76">
        <f>IF(AND(B45&lt;&gt;"",B45&lt;&gt;"Non trouvé - vérifier",D45&lt;&gt;"",D45&lt;&gt;0),IF(COUNTIF($B$2:B45,B45)=1,1,0),0)</f>
        <v>0</v>
      </c>
    </row>
    <row r="46" spans="1:7" x14ac:dyDescent="0.25">
      <c r="A46" s="76" t="s">
        <v>1043</v>
      </c>
      <c r="B46" s="76" t="str">
        <f>IF((IFERROR(INDEX(Supports!$G$4:$G$23,MATCH(SPK!$H$16,Supports!$B$4:$B$23,0)),""))="","",IF(IFERROR(INDEX(Supports!$G$4:$G$23,MATCH(SPK!$H$16,Supports!$B$4:$B$23,0)),"")="ETRIER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vérifier"),IF(IFERROR(INDEX(Supports!$G$4:$G$23,MATCH(SPK!$H$16,Supports!$B$4:$B$23,0)),"")="COLLIER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vérifier"),IF(IFERROR(INDEX(Supports!$G$4:$G$23,MATCH(SPK!$H$16,Supports!$B$4:$B$23,0)),"")="COLLIER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vérifier"),IFERROR(INDEX(Catalogue!$A$4:$A$454,MATCH(IFERROR(INDEX(Supports!$G$4:$G$23,MATCH(SPK!$H$16,Supports!$B$4:$B$23,0)),""),Catalogue!$B$4:$B$454,0)),"")))))</f>
        <v/>
      </c>
      <c r="C46" s="76" t="str">
        <f>IF((IFERROR(INDEX(Supports!$G$4:$G$23,MATCH(SPK!$H$16,Supports!$B$4:$B$23,0)),""))="","",IF(IFERROR(INDEX(Supports!$G$4:$G$23,MATCH(SPK!$H$16,Supports!$B$4:$B$23,0)),"")="ETRIER RALLONGE (DN automatique = DN du tube)",IFERROR(INDEX(Catalogue!$B$4:$B$454,SUMPRODUCT(((Catalogue!$C$4:$C$454="ETRIER")*(Catalogue!$E$4:$E$454=(SPK!$H$9+0)))*ROW(Catalogue!$C$4:$C$454))-3),""),IF(IFERROR(INDEX(Supports!$G$4:$G$23,MATCH(SPK!$H$16,Supports!$B$4:$B$23,0)),"")="COLLIER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tube)",IFERROR(INDEX(Catalogue!$B$4:$B$454,SUMPRODUCT(((Catalogue!$C$4:$C$454="COLLIERINDUS")*(Catalogue!$E$4:$E$454=(SPK!$H$9+0)))*ROW(Catalogue!$C$4:$C$454))-3),""),IF(IFERROR(INDEX(Supports!$G$4:$G$23,MATCH(SPK!$H$16,Supports!$B$4:$B$23,0)),"")="COLLIER POIRE (DN automatique = DN du tube)",IFERROR(INDEX(Catalogue!$B$4:$B$454,SUMPRODUCT(((Catalogue!$C$4:$C$454="COLLIERPOIRE")*(Catalogue!$E$4:$E$454=(SPK!$H$9+0)))*ROW(Catalogue!$C$4:$C$454))-3),""),IFERROR(INDEX(Supports!$G$4:$G$23,MATCH(SPK!$H$16,Supports!$B$4:$B$23,0)),"")))))</f>
        <v/>
      </c>
      <c r="D46" s="76" t="str">
        <f>IF((IFERROR(INDEX(Supports!$G$4:$G$23,MATCH(SPK!$H$16,Supports!$B$4:$B$23,0)),""))="","",(IFERROR(INDEX(Supports!$H$4:$H$23,MATCH(SPK!$H$16,Supports!$B$4:$B$23,0)),0))*SPK!$H$17)</f>
        <v/>
      </c>
      <c r="E46" s="76" t="s">
        <v>1036</v>
      </c>
      <c r="F46" s="76" t="str">
        <f t="shared" si="0"/>
        <v/>
      </c>
      <c r="G46" s="76">
        <f>IF(AND(B46&lt;&gt;"",B46&lt;&gt;"Non trouvé - vérifier",D46&lt;&gt;"",D46&lt;&gt;0),IF(COUNTIF($B$2:B46,B46)=1,1,0),0)</f>
        <v>0</v>
      </c>
    </row>
    <row r="47" spans="1:7" x14ac:dyDescent="0.25">
      <c r="A47" s="76" t="s">
        <v>1043</v>
      </c>
      <c r="B47" s="76" t="str">
        <f>IF((IFERROR(INDEX(Supports!$I$4:$I$23,MATCH(SPK!$H$16,Supports!$B$4:$B$23,0)),""))="","",IF(IFERROR(INDEX(Supports!$I$4:$I$23,MATCH(SPK!$H$16,Supports!$B$4:$B$23,0)),"")="ETRIER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vérifier"),IF(IFERROR(INDEX(Supports!$I$4:$I$23,MATCH(SPK!$H$16,Supports!$B$4:$B$23,0)),"")="COLLIER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vérifier"),IF(IFERROR(INDEX(Supports!$I$4:$I$23,MATCH(SPK!$H$16,Supports!$B$4:$B$23,0)),"")="COLLIER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vérifier"),IFERROR(INDEX(Catalogue!$A$4:$A$454,MATCH(IFERROR(INDEX(Supports!$I$4:$I$23,MATCH(SPK!$H$16,Supports!$B$4:$B$23,0)),""),Catalogue!$B$4:$B$454,0)),"")))))</f>
        <v/>
      </c>
      <c r="C47" s="76" t="str">
        <f>IF((IFERROR(INDEX(Supports!$I$4:$I$23,MATCH(SPK!$H$16,Supports!$B$4:$B$23,0)),""))="","",IF(IFERROR(INDEX(Supports!$I$4:$I$23,MATCH(SPK!$H$16,Supports!$B$4:$B$23,0)),"")="ETRIER RALLONGE (DN automatique = DN du tube)",IFERROR(INDEX(Catalogue!$B$4:$B$454,SUMPRODUCT(((Catalogue!$C$4:$C$454="ETRIER")*(Catalogue!$E$4:$E$454=(SPK!$H$9+0)))*ROW(Catalogue!$C$4:$C$454))-3),""),IF(IFERROR(INDEX(Supports!$I$4:$I$23,MATCH(SPK!$H$16,Supports!$B$4:$B$23,0)),"")="COLLIER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tube)",IFERROR(INDEX(Catalogue!$B$4:$B$454,SUMPRODUCT(((Catalogue!$C$4:$C$454="COLLIERINDUS")*(Catalogue!$E$4:$E$454=(SPK!$H$9+0)))*ROW(Catalogue!$C$4:$C$454))-3),""),IF(IFERROR(INDEX(Supports!$I$4:$I$23,MATCH(SPK!$H$16,Supports!$B$4:$B$23,0)),"")="COLLIER POIRE (DN automatique = DN du tube)",IFERROR(INDEX(Catalogue!$B$4:$B$454,SUMPRODUCT(((Catalogue!$C$4:$C$454="COLLIERPOIRE")*(Catalogue!$E$4:$E$454=(SPK!$H$9+0)))*ROW(Catalogue!$C$4:$C$454))-3),""),IFERROR(INDEX(Supports!$I$4:$I$23,MATCH(SPK!$H$16,Supports!$B$4:$B$23,0)),"")))))</f>
        <v/>
      </c>
      <c r="D47" s="76" t="str">
        <f>IF((IFERROR(INDEX(Supports!$I$4:$I$23,MATCH(SPK!$H$16,Supports!$B$4:$B$23,0)),""))="","",(IFERROR(INDEX(Supports!$J$4:$J$23,MATCH(SPK!$H$16,Supports!$B$4:$B$23,0)),0))*SPK!$H$17)</f>
        <v/>
      </c>
      <c r="E47" s="76" t="s">
        <v>1036</v>
      </c>
      <c r="F47" s="76" t="str">
        <f t="shared" si="0"/>
        <v/>
      </c>
      <c r="G47" s="76">
        <f>IF(AND(B47&lt;&gt;"",B47&lt;&gt;"Non trouvé - vérifier",D47&lt;&gt;"",D47&lt;&gt;0),IF(COUNTIF($B$2:B47,B47)=1,1,0),0)</f>
        <v>0</v>
      </c>
    </row>
    <row r="48" spans="1:7" x14ac:dyDescent="0.25">
      <c r="A48" s="76" t="s">
        <v>1043</v>
      </c>
      <c r="B48" s="76" t="str">
        <f>IF((IFERROR(INDEX(Supports!$K$4:$K$23,MATCH(SPK!$H$16,Supports!$B$4:$B$23,0)),""))="","",IF(IFERROR(INDEX(Supports!$K$4:$K$23,MATCH(SPK!$H$16,Supports!$B$4:$B$23,0)),"")="ETRIER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vérifier"),IF(IFERROR(INDEX(Supports!$K$4:$K$23,MATCH(SPK!$H$16,Supports!$B$4:$B$23,0)),"")="COLLIER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vérifier"),IF(IFERROR(INDEX(Supports!$K$4:$K$23,MATCH(SPK!$H$16,Supports!$B$4:$B$23,0)),"")="COLLIER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vérifier"),IFERROR(INDEX(Catalogue!$A$4:$A$454,MATCH(IFERROR(INDEX(Supports!$K$4:$K$23,MATCH(SPK!$H$16,Supports!$B$4:$B$23,0)),""),Catalogue!$B$4:$B$454,0)),"")))))</f>
        <v/>
      </c>
      <c r="C48" s="76" t="str">
        <f>IF((IFERROR(INDEX(Supports!$K$4:$K$23,MATCH(SPK!$H$16,Supports!$B$4:$B$23,0)),""))="","",IF(IFERROR(INDEX(Supports!$K$4:$K$23,MATCH(SPK!$H$16,Supports!$B$4:$B$23,0)),"")="ETRIER RALLONGE (DN automatique = DN du tube)",IFERROR(INDEX(Catalogue!$B$4:$B$454,SUMPRODUCT(((Catalogue!$C$4:$C$454="ETRIER")*(Catalogue!$E$4:$E$454=(SPK!$H$9+0)))*ROW(Catalogue!$C$4:$C$454))-3),""),IF(IFERROR(INDEX(Supports!$K$4:$K$23,MATCH(SPK!$H$16,Supports!$B$4:$B$23,0)),"")="COLLIER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tube)",IFERROR(INDEX(Catalogue!$B$4:$B$454,SUMPRODUCT(((Catalogue!$C$4:$C$454="COLLIERINDUS")*(Catalogue!$E$4:$E$454=(SPK!$H$9+0)))*ROW(Catalogue!$C$4:$C$454))-3),""),IF(IFERROR(INDEX(Supports!$K$4:$K$23,MATCH(SPK!$H$16,Supports!$B$4:$B$23,0)),"")="COLLIER POIRE (DN automatique = DN du tube)",IFERROR(INDEX(Catalogue!$B$4:$B$454,SUMPRODUCT(((Catalogue!$C$4:$C$454="COLLIERPOIRE")*(Catalogue!$E$4:$E$454=(SPK!$H$9+0)))*ROW(Catalogue!$C$4:$C$454))-3),""),IFERROR(INDEX(Supports!$K$4:$K$23,MATCH(SPK!$H$16,Supports!$B$4:$B$23,0)),"")))))</f>
        <v/>
      </c>
      <c r="D48" s="76" t="str">
        <f>IF((IFERROR(INDEX(Supports!$K$4:$K$23,MATCH(SPK!$H$16,Supports!$B$4:$B$23,0)),""))="","",(IFERROR(INDEX(Supports!$L$4:$L$23,MATCH(SPK!$H$16,Supports!$B$4:$B$23,0)),0))*SPK!$H$17)</f>
        <v/>
      </c>
      <c r="E48" s="76" t="s">
        <v>1036</v>
      </c>
      <c r="F48" s="76" t="str">
        <f t="shared" si="0"/>
        <v/>
      </c>
      <c r="G48" s="76">
        <f>IF(AND(B48&lt;&gt;"",B48&lt;&gt;"Non trouvé - vérifier",D48&lt;&gt;"",D48&lt;&gt;0),IF(COUNTIF($B$2:B48,B48)=1,1,0),0)</f>
        <v>0</v>
      </c>
    </row>
    <row r="49" spans="1:7" x14ac:dyDescent="0.25">
      <c r="A49" s="76" t="s">
        <v>1043</v>
      </c>
      <c r="B49" s="76" t="str">
        <f>IF((IFERROR(INDEX(Supports!$M$4:$M$23,MATCH(SPK!$H$16,Supports!$B$4:$B$23,0)),""))="","",IF(IFERROR(INDEX(Supports!$M$4:$M$23,MATCH(SPK!$H$16,Supports!$B$4:$B$23,0)),"")="ETRIER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vérifier"),IF(IFERROR(INDEX(Supports!$M$4:$M$23,MATCH(SPK!$H$16,Supports!$B$4:$B$23,0)),"")="COLLIER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vérifier"),IF(IFERROR(INDEX(Supports!$M$4:$M$23,MATCH(SPK!$H$16,Supports!$B$4:$B$23,0)),"")="COLLIER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vérifier"),IFERROR(INDEX(Catalogue!$A$4:$A$454,MATCH(IFERROR(INDEX(Supports!$M$4:$M$23,MATCH(SPK!$H$16,Supports!$B$4:$B$23,0)),""),Catalogue!$B$4:$B$454,0)),"")))))</f>
        <v/>
      </c>
      <c r="C49" s="76" t="str">
        <f>IF((IFERROR(INDEX(Supports!$M$4:$M$23,MATCH(SPK!$H$16,Supports!$B$4:$B$23,0)),""))="","",IF(IFERROR(INDEX(Supports!$M$4:$M$23,MATCH(SPK!$H$16,Supports!$B$4:$B$23,0)),"")="ETRIER RALLONGE (DN automatique = DN du tube)",IFERROR(INDEX(Catalogue!$B$4:$B$454,SUMPRODUCT(((Catalogue!$C$4:$C$454="ETRIER")*(Catalogue!$E$4:$E$454=(SPK!$H$9+0)))*ROW(Catalogue!$C$4:$C$454))-3),""),IF(IFERROR(INDEX(Supports!$M$4:$M$23,MATCH(SPK!$H$16,Supports!$B$4:$B$23,0)),"")="COLLIER INDUSTRIEL (DN automatique = DN du tube)",IFERROR(INDEX(Catalogue!$B$4:$B$454,SUMPRODUCT(((Catalogue!$C$4:$C$454="COLLIERINDUS")*(Catalogue!$E$4:$E$454=(SPK!$H$9+0)))*ROW(Catalogue!$C$4:$C$454))-3),""),IF(IFERROR(INDEX(Supports!$M$4:$M$23,MATCH(SPK!$H$16,Supports!$B$4:$B$23,0)),"")="COLLIER POIRE (DN automatique = DN du tube)",IFERROR(INDEX(Catalogue!$B$4:$B$454,SUMPRODUCT(((Catalogue!$C$4:$C$454="COLLIERPOIRE")*(Catalogue!$E$4:$E$454=(SPK!$H$9+0)))*ROW(Catalogue!$C$4:$C$454))-3),""),IFERROR(INDEX(Supports!$M$4:$M$23,MATCH(SPK!$H$16,Supports!$B$4:$B$23,0)),"")))))</f>
        <v/>
      </c>
      <c r="D49" s="76" t="str">
        <f>IF((IFERROR(INDEX(Supports!$M$4:$M$23,MATCH(SPK!$H$16,Supports!$B$4:$B$23,0)),""))="","",(IFERROR(INDEX(Supports!$N$4:$N$23,MATCH(SPK!$H$16,Supports!$B$4:$B$23,0)),0))*SPK!$H$17)</f>
        <v/>
      </c>
      <c r="E49" s="76" t="s">
        <v>1036</v>
      </c>
      <c r="F49" s="76" t="str">
        <f t="shared" si="0"/>
        <v/>
      </c>
      <c r="G49" s="76">
        <f>IF(AND(B49&lt;&gt;"",B49&lt;&gt;"Non trouvé - vérifier",D49&lt;&gt;"",D49&lt;&gt;0),IF(COUNTIF($B$2:B49,B49)=1,1,0),0)</f>
        <v>0</v>
      </c>
    </row>
    <row r="50" spans="1:7" x14ac:dyDescent="0.25">
      <c r="A50" s="76" t="s">
        <v>1044</v>
      </c>
      <c r="B50" s="76" t="str">
        <f>IFERROR(INDEX(Catalogue!$A$4:$A$454,SUMPRODUCT(((Catalogue!$C$4:$C$454="TUBE")*(Catalogue!$G$4:$G$454&lt;&gt;"SL")*(Catalogue!$D$4:$D$454=IF(SPK!$D$6="X","GALVA",IF(SPK!$F$6="X","NOIR","")))*(Catalogue!$E$4:$E$454=(SPK!$D$22+0)))*ROW(Catalogue!$C$4:$C$454))-3),"Non trouvé - vérifier")</f>
        <v>Non trouvé - vérifier</v>
      </c>
      <c r="C50" s="76" t="str">
        <f>IFERROR(INDEX(Catalogue!$B$4:$B$454,SUMPRODUCT(((Catalogue!$C$4:$C$454="TUBE")*(Catalogue!$G$4:$G$454&lt;&gt;"SL")*(Catalogue!$D$4:$D$454=IF(SPK!$D$6="X","GALVA",IF(SPK!$F$6="X","NOIR","")))*(Catalogue!$E$4:$E$454=(SPK!$D$22+0)))*ROW(Catalogue!$C$4:$C$454))-3),"")</f>
        <v/>
      </c>
      <c r="D50" s="76">
        <f>CEILING((((SPK!$D$27*SPK!$D$26))),6)</f>
        <v>0</v>
      </c>
      <c r="E50" s="76" t="s">
        <v>1033</v>
      </c>
      <c r="F50" s="76" t="str">
        <f t="shared" si="0"/>
        <v/>
      </c>
      <c r="G50" s="76">
        <f>IF(AND(B50&lt;&gt;"",B50&lt;&gt;"Non trouvé - vérifier",D50&lt;&gt;"",D50&lt;&gt;0),IF(COUNTIF($B$2:B50,B50)=1,1,0),0)</f>
        <v>0</v>
      </c>
    </row>
    <row r="51" spans="1:7" x14ac:dyDescent="0.25">
      <c r="A51" s="76" t="s">
        <v>1044</v>
      </c>
      <c r="B51" s="76" t="str">
        <f>IFERROR(INDEX(Catalogue!$A$4:$A$454,SUMPRODUCT(((Catalogue!$C$4:$C$454="CPC")*(Catalogue!$D$4:$D$454=IF(SPK!$D$4="X","ROUGE",IF(SPK!$F$4="X","GALVA",IF(SPK!$H$4="X","GALVA",""))))*(Catalogue!$E$4:$E$454=(SPK!$D$23+0))*(Catalogue!$F$4:$F$454=(SPK!$D$22+0))*(Catalogue!$G$4:$G$454=IF(LEFT(SPK!$D$24,1)="R","RAINURE",IF(LEFT(SPK!$D$24,1)="T","TARAUDE",""))))*ROW(Catalogue!$C$4:$C$454))-3),"Non trouvé - vérifier")</f>
        <v>Non trouvé - vérifier</v>
      </c>
      <c r="C51" s="76" t="str">
        <f>IFERROR(INDEX(Catalogue!$B$4:$B$454,SUMPRODUCT(((Catalogue!$C$4:$C$454="CPC")*(Catalogue!$D$4:$D$454=IF(SPK!$D$4="X","ROUGE",IF(SPK!$F$4="X","GALVA",IF(SPK!$H$4="X","GALVA",""))))*(Catalogue!$E$4:$E$454=(SPK!$D$23+0))*(Catalogue!$F$4:$F$454=(SPK!$D$22+0))*(Catalogue!$G$4:$G$454=IF(LEFT(SPK!$D$24,1)="R","RAINURE",IF(LEFT(SPK!$D$24,1)="T","TARAUDE",""))))*ROW(Catalogue!$C$4:$C$454))-3),"")</f>
        <v/>
      </c>
      <c r="D51" s="79">
        <f>SPK!$D$25</f>
        <v>0</v>
      </c>
      <c r="E51" s="76" t="s">
        <v>1034</v>
      </c>
      <c r="F51" s="76" t="str">
        <f t="shared" si="0"/>
        <v/>
      </c>
      <c r="G51" s="76">
        <f>IF(AND(B51&lt;&gt;"",B51&lt;&gt;"Non trouvé - vérifier",D51&lt;&gt;"",D51&lt;&gt;0),IF(COUNTIF($B$2:B51,B51)=1,1,0),0)</f>
        <v>0</v>
      </c>
    </row>
    <row r="52" spans="1:7" x14ac:dyDescent="0.25">
      <c r="A52" s="76" t="s">
        <v>1044</v>
      </c>
      <c r="B52" s="76" t="str" cm="1">
        <f t="array" ref="B52">IF((SPK!$D$22+0)=25,"COUVI90FFGA025",IFERROR(_xlfn.SINGLE(INDEX(Catalogue!$A$4:$A$454,SUMPRODUCT(((Catalogue!$C$4:$C$454="COUDE90")*(Catalogue!$D$4:$D$454=IF(SPK!$D$4="X","ROUGE",IF(SPK!$F$4="X","BLANC",IF(SPK!$H$4="X","GALVA",""))))*(Catalogue!$E$4:$E$454=(SPK!$D$22+0)))*ROW(Catalogue!$C$4:$C$454))-3)),"Non trouvé - vérifier"))</f>
        <v>Non trouvé - vérifier</v>
      </c>
      <c r="C52" s="76" t="str" cm="1">
        <f t="array" ref="C52">IF((SPK!$D$22+0)=25,"COUDE 90°VISSER FF GALVA DN25",IFERROR(_xlfn.SINGLE(INDEX(Catalogue!$B$4:$B$454,SUMPRODUCT(((Catalogue!$C$4:$C$454="COUDE90")*(Catalogue!$D$4:$D$454=IF(SPK!$D$4="X","ROUGE",IF(SPK!$F$4="X","BLANC",IF(SPK!$H$4="X","GALVA",""))))*(Catalogue!$E$4:$E$454=(SPK!$D$22+0)))*ROW(Catalogue!$C$4:$C$454))-3)),""))</f>
        <v/>
      </c>
      <c r="D52" s="78">
        <f>SPK!$D$28</f>
        <v>0</v>
      </c>
      <c r="E52" s="76" t="s">
        <v>1034</v>
      </c>
      <c r="F52" s="76" t="str">
        <f t="shared" si="0"/>
        <v/>
      </c>
      <c r="G52" s="76">
        <f>IF(AND(B52&lt;&gt;"",B52&lt;&gt;"Non trouvé - vérifier",D52&lt;&gt;"",D52&lt;&gt;0),IF(COUNTIF($B$2:B52,B52)=1,1,0),0)</f>
        <v>0</v>
      </c>
    </row>
    <row r="53" spans="1:7" x14ac:dyDescent="0.25">
      <c r="A53" s="76" t="s">
        <v>1044</v>
      </c>
      <c r="B53" s="76" t="str">
        <f>IFERROR(INDEX(Catalogue!$A$4:$A$454,SUMPRODUCT(((Catalogue!$C$4:$C$454="RACCORD")*(Catalogue!$D$4:$D$454=IF(SPK!$D$4="X","ROUGE",IF(SPK!$F$4="X","BLANC",IF(SPK!$H$4="X","GALVA",""))))*(Catalogue!$E$4:$E$454=(SPK!$D$22+0)))*ROW(Catalogue!$C$4:$C$454))-3),"Non trouvé - vérifier")</f>
        <v>Non trouvé - vérifier</v>
      </c>
      <c r="C53" s="76" t="str">
        <f>IFERROR(INDEX(Catalogue!$B$4:$B$454,SUMPRODUCT(((Catalogue!$C$4:$C$454="RACCORD")*(Catalogue!$D$4:$D$454=IF(SPK!$D$4="X","ROUGE",IF(SPK!$F$4="X","BLANC",IF(SPK!$H$4="X","GALVA",""))))*(Catalogue!$E$4:$E$454=(SPK!$D$22+0)))*ROW(Catalogue!$C$4:$C$454))-3),"")</f>
        <v/>
      </c>
      <c r="D53" s="76">
        <f>ROUNDUP(((((SPK!$D$27*SPK!$D$26))/6)+(SPK!$D$28*2))*1.1,0)</f>
        <v>0</v>
      </c>
      <c r="E53" s="76" t="s">
        <v>1034</v>
      </c>
      <c r="F53" s="76" t="str">
        <f t="shared" si="0"/>
        <v/>
      </c>
      <c r="G53" s="76">
        <f>IF(AND(B53&lt;&gt;"",B53&lt;&gt;"Non trouvé - vérifier",D53&lt;&gt;"",D53&lt;&gt;0),IF(COUNTIF($B$2:B53,B53)=1,1,0),0)</f>
        <v>0</v>
      </c>
    </row>
    <row r="54" spans="1:7" x14ac:dyDescent="0.25">
      <c r="A54" s="76" t="s">
        <v>1045</v>
      </c>
      <c r="B54" s="76" t="str">
        <f>IF((SPK!$D$22+0)=25,"BOUCHVIMGA025",IFERROR(INDEX(Catalogue!$A$4:$A$454,SUMPRODUCT(((Catalogue!$C$4:$C$454="RACCORD")*(Catalogue!$D$4:$D$454=IF(SPK!$D$4="X","ROUGE",IF(SPK!$F$4="X","BLANC",IF(SPK!$H$4="X","GALVA",""))))*(Catalogue!$E$4:$E$454=(SPK!$D$22+0)))*ROW(Catalogue!$C$4:$C$454))-3),"Non trouvé - vérifier"))</f>
        <v>Non trouvé - vérifier</v>
      </c>
      <c r="C54" s="76" t="str">
        <f>IF((SPK!$D$22+0)=25,"BOUCHON VISSER M GALVA DN25",IFERROR(INDEX(Catalogue!$B$4:$B$454,SUMPRODUCT(((Catalogue!$C$4:$C$454="RACCORD")*(Catalogue!$D$4:$D$454=IF(SPK!$D$4="X","ROUGE",IF(SPK!$F$4="X","BLANC",IF(SPK!$H$4="X","GALVA",""))))*(Catalogue!$E$4:$E$454=(SPK!$D$22+0)))*ROW(Catalogue!$C$4:$C$454))-3),""))</f>
        <v/>
      </c>
      <c r="D54" s="79">
        <f>SPK!$D$25</f>
        <v>0</v>
      </c>
      <c r="E54" s="76" t="s">
        <v>1034</v>
      </c>
      <c r="F54" s="76" t="str">
        <f t="shared" si="0"/>
        <v/>
      </c>
      <c r="G54" s="76">
        <f>IF(AND(B54&lt;&gt;"",B54&lt;&gt;"Non trouvé - vérifier",D54&lt;&gt;"",D54&lt;&gt;0),IF(COUNTIF($B$2:B54,B54)=1,1,0),0)</f>
        <v>0</v>
      </c>
    </row>
    <row r="55" spans="1:7" x14ac:dyDescent="0.25">
      <c r="A55" s="76" t="s">
        <v>1046</v>
      </c>
      <c r="B55" s="76" t="str">
        <f>IF((SPK!$D$22+0)=25,"",IFERROR(INDEX(Catalogue!$A$4:$A$454,SUMPRODUCT(((Catalogue!$C$4:$C$454="FOND")*(Catalogue!$D$4:$D$454=IF(SPK!$D$4="X","ROUGE",IF(SPK!$F$4="X","BLANC",IF(SPK!$H$4="X","GALVA",""))))*(Catalogue!$E$4:$E$454=(SPK!$D$22+0)))*ROW(Catalogue!$C$4:$C$454))-3),"Non trouvé - vérifier"))</f>
        <v>Non trouvé - vérifier</v>
      </c>
      <c r="C55" s="76" t="str">
        <f>IF((SPK!$D$22+0)=25,"",IFERROR(INDEX(Catalogue!$B$4:$B$454,SUMPRODUCT(((Catalogue!$C$4:$C$454="FOND")*(Catalogue!$D$4:$D$454=IF(SPK!$D$4="X","ROUGE",IF(SPK!$F$4="X","BLANC",IF(SPK!$H$4="X","GALVA",""))))*(Catalogue!$E$4:$E$454=(SPK!$D$22+0)))*ROW(Catalogue!$C$4:$C$454))-3),""))</f>
        <v/>
      </c>
      <c r="D55" s="79">
        <f>IF((SPK!$D$22+0)=25,"",SPK!$D$25)</f>
        <v>0</v>
      </c>
      <c r="E55" s="76" t="s">
        <v>1034</v>
      </c>
      <c r="F55" s="76" t="str">
        <f t="shared" si="0"/>
        <v/>
      </c>
      <c r="G55" s="76">
        <f>IF(AND(B55&lt;&gt;"",B55&lt;&gt;"Non trouvé - vérifier",D55&lt;&gt;"",D55&lt;&gt;0),IF(COUNTIF($B$2:B55,B55)=1,1,0),0)</f>
        <v>0</v>
      </c>
    </row>
    <row r="56" spans="1:7" x14ac:dyDescent="0.25">
      <c r="A56" s="76" t="s">
        <v>1047</v>
      </c>
      <c r="B56" s="76" t="str">
        <f>IF((IF(OR(SPK!$D$29="SSP Toiture",SPK!$D$29="SSU Toiture"),"Toiture",IF(SPK!$D$29="SSP Placo","TB Placo",IF(SPK!$D$29="SSP Faux plafond","TB Faux plaf",IF(SPK!$D$29="SSP Labo","TB Labo","")))))&lt;&gt;"Toiture","",IF((SPK!$D$22+0)=25,IFERROR(INDEX(Catalogue!$A$4:$A$454,SUMPRODUCT(((Catalogue!$C$4:$C$454="TES")*(Catalogue!$D$4:$D$454="GALVA")*(Catalogue!$E$4:$E$454=(25+0))*(Catalogue!$G$4:$G$454="VISSER"))*ROW(Catalogue!$C$4:$C$454))-3),"Non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D$22+0))*(Catalogue!$F$4:$F$454=(SPK!$D$30+0))*(Catalogue!$G$4:$G$454="TARAUDE"))*ROW(Catalogue!$C$4:$C$454))-3),"Non trouvé - vérifier")))</f>
        <v/>
      </c>
      <c r="C56" s="76" t="str">
        <f>IF((IF(OR(SPK!$D$29="SSP Toiture",SPK!$D$29="SSU Toiture"),"Toiture",IF(SPK!$D$29="SSP Placo","TB Placo",IF(SPK!$D$29="SSP Faux plafond","TB Faux plaf",IF(SPK!$D$29="SSP Labo","TB Labo","")))))&lt;&gt;"Toiture","",IF((SPK!$D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D$22+0))*(Catalogue!$F$4:$F$454=(SPK!$D$30+0))*(Catalogue!$G$4:$G$454="TARAUDE"))*ROW(Catalogue!$C$4:$C$454))-3),"")))</f>
        <v/>
      </c>
      <c r="D56" s="76">
        <f>IF((IF(OR(SPK!$D$29="SSP Toiture",SPK!$D$29="SSU Toiture"),"Toiture",IF(SPK!$D$29="SSP Placo","TB Placo",IF(SPK!$D$29="SSP Faux plafond","TB Faux plaf",IF(SPK!$D$29="SSP Labo","TB Labo","")))))&lt;&gt;"Toiture",0,(SPK!$D$26))</f>
        <v>0</v>
      </c>
      <c r="E56" s="76" t="s">
        <v>1034</v>
      </c>
      <c r="F56" s="76" t="str">
        <f t="shared" si="0"/>
        <v/>
      </c>
      <c r="G56" s="76">
        <f>IF(AND(B56&lt;&gt;"",B56&lt;&gt;"Non trouvé - vérifier",D56&lt;&gt;"",D56&lt;&gt;0),IF(COUNTIF($B$2:B56,B56)=1,1,0),0)</f>
        <v>0</v>
      </c>
    </row>
    <row r="57" spans="1:7" x14ac:dyDescent="0.25">
      <c r="A57" s="76" t="s">
        <v>1047</v>
      </c>
      <c r="B57" s="76" t="str">
        <f>IF(AND((IF(OR(SPK!$D$29="SSP Toiture",SPK!$D$29="SSU Toiture"),"Toiture",IF(SPK!$D$29="SSP Placo","TB Placo",IF(SPK!$D$29="SSP Faux plafond","TB Faux plaf",IF(SPK!$D$29="SSP Labo","TB Labo","")))))="Toiture",(SPK!$D$22+0)=25),IFERROR(INDEX(Catalogue!$A$4:$A$454,SUMPRODUCT(((Catalogue!$C$4:$C$454="REDUC")*(Catalogue!$D$4:$D$454="GALVA")*(Catalogue!$E$4:$E$454=(25+0))*(Catalogue!$F$4:$F$454=(SPK!$D$30+0))*(Catalogue!$G$4:$G$454="MF"))*ROW(Catalogue!$C$4:$C$454))-3),"Non trouvé - vérifier"),"")</f>
        <v/>
      </c>
      <c r="C57" s="76" t="str">
        <f>IF(AND((IF(OR(SPK!$D$29="SSP Toiture",SPK!$D$29="SSU Toiture"),"Toiture",IF(SPK!$D$29="SSP Placo","TB Placo",IF(SPK!$D$29="SSP Faux plafond","TB Faux plaf",IF(SPK!$D$29="SSP Labo","TB Labo","")))))="Toiture",(SPK!$D$22+0)=25),IFERROR(INDEX(Catalogue!$B$4:$B$454,SUMPRODUCT(((Catalogue!$C$4:$C$454="REDUC")*(Catalogue!$D$4:$D$454="GALVA")*(Catalogue!$E$4:$E$454=(25+0))*(Catalogue!$F$4:$F$454=(SPK!$D$30+0))*(Catalogue!$G$4:$G$454="MF"))*ROW(Catalogue!$C$4:$C$454))-3),""),"")</f>
        <v/>
      </c>
      <c r="D57" s="76">
        <f>IF(AND((IF(OR(SPK!$D$29="SSP Toiture",SPK!$D$29="SSU Toiture"),"Toiture",IF(SPK!$D$29="SSP Placo","TB Placo",IF(SPK!$D$29="SSP Faux plafond","TB Faux plaf",IF(SPK!$D$29="SSP Labo","TB Labo","")))))="Toiture",(SPK!$D$22+0)=25),(SPK!$D$26),0)</f>
        <v>0</v>
      </c>
      <c r="E57" s="76" t="s">
        <v>1034</v>
      </c>
      <c r="F57" s="76" t="str">
        <f t="shared" si="0"/>
        <v/>
      </c>
      <c r="G57" s="76">
        <f>IF(AND(B57&lt;&gt;"",B57&lt;&gt;"Non trouvé - vérifier",D57&lt;&gt;"",D57&lt;&gt;0),IF(COUNTIF($B$2:B57,B57)=1,1,0),0)</f>
        <v>0</v>
      </c>
    </row>
    <row r="58" spans="1:7" x14ac:dyDescent="0.25">
      <c r="A58" s="76" t="s">
        <v>1048</v>
      </c>
      <c r="B58" s="76" t="str">
        <f>IF((IF(OR(SPK!$D$29="SSP Toiture",SPK!$D$29="SSU Toiture"),"Toiture",IF(SPK!$D$29="SSP Placo","TB Placo",IF(SPK!$D$29="SSP Faux plafond","TB Faux plaf",IF(SPK!$D$29="SSP Labo","TB Labo","")))))&lt;&gt;"TB Placo","",IF((SPK!$D$22+0)=25,IFERROR(INDEX(Catalogue!$A$4:$A$454,SUMPRODUCT(((Catalogue!$C$4:$C$454="TES")*(Catalogue!$D$4:$D$454="GALVA")*(Catalogue!$E$4:$E$454=(25+0))*(Catalogue!$G$4:$G$454="VISSER"))*ROW(Catalogue!$C$4:$C$454))-3),"Non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Non trouvé - vérifier")))</f>
        <v/>
      </c>
      <c r="C58" s="76" t="str">
        <f>IF((IF(OR(SPK!$D$29="SSP Toiture",SPK!$D$29="SSU Toiture"),"Toiture",IF(SPK!$D$29="SSP Placo","TB Placo",IF(SPK!$D$29="SSP Faux plafond","TB Faux plaf",IF(SPK!$D$29="SSP Labo","TB Labo","")))))&lt;&gt;"TB Placo","",IF((SPK!$D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")))</f>
        <v/>
      </c>
      <c r="D58" s="78">
        <f>IF((IF(OR(SPK!$D$29="SSP Toiture",SPK!$D$29="SSU Toiture"),"Toiture",IF(SPK!$D$29="SSP Placo","TB Placo",IF(SPK!$D$29="SSP Faux plafond","TB Faux plaf",IF(SPK!$D$29="SSP Labo","TB Labo","")))))&lt;&gt;"TB Placo",0,(SPK!$D$26))</f>
        <v>0</v>
      </c>
      <c r="E58" s="76" t="s">
        <v>1034</v>
      </c>
      <c r="F58" s="76" t="str">
        <f t="shared" si="0"/>
        <v/>
      </c>
      <c r="G58" s="76">
        <f>IF(AND(B58&lt;&gt;"",B58&lt;&gt;"Non trouvé - vérifier",D58&lt;&gt;"",D58&lt;&gt;0),IF(COUNTIF($B$2:B58,B58)=1,1,0),0)</f>
        <v>0</v>
      </c>
    </row>
    <row r="59" spans="1:7" x14ac:dyDescent="0.25">
      <c r="A59" s="76" t="s">
        <v>1048</v>
      </c>
      <c r="B59" s="76" t="str">
        <f>IF((IF(OR(SPK!$D$29="SSP Toiture",SPK!$D$29="SSU Toiture"),"Toiture",IF(SPK!$D$29="SSP Placo","TB Placo",IF(SPK!$D$29="SSP Faux plafond","TB Faux plaf",IF(SPK!$D$29="SSP Labo","TB Labo","")))))&lt;&gt;"TB Placo","",IFERROR(INDEX(Catalogue!$A$4:$A$454,SUMPRODUCT(((Catalogue!$C$4:$C$454="TUBE")*(Catalogue!$G$4:$G$454&lt;&gt;"SL")*(Catalogue!$D$4:$D$454=IF(SPK!$D$6="X","GALVA",IF(SPK!$F$6="X","NOIR","")))*(Catalogue!$E$4:$E$454=(25+0)))*ROW(Catalogue!$C$4:$C$454))-3),"Non trouvé - vérifier"))</f>
        <v/>
      </c>
      <c r="C59" s="76" t="str">
        <f>IF((IF(OR(SPK!$D$29="SSP Toiture",SPK!$D$29="SSU Toiture"),"Toiture",IF(SPK!$D$29="SSP Placo","TB Placo",IF(SPK!$D$29="SSP Faux plafond","TB Faux plaf",IF(SPK!$D$29="SSP Labo","TB Labo","")))))&lt;&gt;"TB Placo","",IFERROR(INDEX(Catalogue!$B$4:$B$454,SUMPRODUCT(((Catalogue!$C$4:$C$454="TUBE")*(Catalogue!$G$4:$G$454&lt;&gt;"SL")*(Catalogue!$D$4:$D$454=IF(SPK!$D$6="X","GALVA",IF(SPK!$F$6="X","NOIR","")))*(Catalogue!$E$4:$E$454=(25+0)))*ROW(Catalogue!$C$4:$C$454))-3),""))</f>
        <v/>
      </c>
      <c r="D59" s="76">
        <f>CEILING((IF((IF(OR(SPK!$D$29="SSP Toiture",SPK!$D$29="SSU Toiture"),"Toiture",IF(SPK!$D$29="SSP Placo","TB Placo",IF(SPK!$D$29="SSP Faux plafond","TB Faux plaf",IF(SPK!$D$29="SSP Labo","TB Labo","")))))&lt;&gt;"TB Placo",0,1.5*(SPK!$D$26))),6)</f>
        <v>0</v>
      </c>
      <c r="E59" s="76" t="s">
        <v>1033</v>
      </c>
      <c r="F59" s="76" t="str">
        <f t="shared" si="0"/>
        <v/>
      </c>
      <c r="G59" s="76">
        <f>IF(AND(B59&lt;&gt;"",B59&lt;&gt;"Non trouvé - vérifier",D59&lt;&gt;"",D59&lt;&gt;0),IF(COUNTIF($B$2:B59,B59)=1,1,0),0)</f>
        <v>0</v>
      </c>
    </row>
    <row r="60" spans="1:7" x14ac:dyDescent="0.25">
      <c r="A60" s="76" t="s">
        <v>1048</v>
      </c>
      <c r="B60" s="76" t="str">
        <f>IF((IF(OR(SPK!$D$29="SSP Toiture",SPK!$D$29="SSU Toiture"),"Toiture",IF(SPK!$D$29="SSP Placo","TB Placo",IF(SPK!$D$29="SSP Faux plafond","TB Faux plaf",IF(SPK!$D$29="SSP Labo","TB Labo","")))))&lt;&gt;"TB Placo","","COUVI90MFGA025")</f>
        <v/>
      </c>
      <c r="C60" s="76" t="str">
        <f>IF((IF(OR(SPK!$D$29="SSP Toiture",SPK!$D$29="SSU Toiture"),"Toiture",IF(SPK!$D$29="SSP Placo","TB Placo",IF(SPK!$D$29="SSP Faux plafond","TB Faux plaf",IF(SPK!$D$29="SSP Labo","TB Labo","")))))&lt;&gt;"TB Placo","","COUDE 90°VISSER MF GALVA DN25")</f>
        <v/>
      </c>
      <c r="D60" s="78">
        <f>IF((IF(OR(SPK!$D$29="SSP Toiture",SPK!$D$29="SSU Toiture"),"Toiture",IF(SPK!$D$29="SSP Placo","TB Placo",IF(SPK!$D$29="SSP Faux plafond","TB Faux plaf",IF(SPK!$D$29="SSP Labo","TB Labo","")))))&lt;&gt;"TB Placo",0,(SPK!$D$26))</f>
        <v>0</v>
      </c>
      <c r="E60" s="76" t="s">
        <v>1034</v>
      </c>
      <c r="F60" s="76" t="str">
        <f t="shared" si="0"/>
        <v/>
      </c>
      <c r="G60" s="76">
        <f>IF(AND(B60&lt;&gt;"",B60&lt;&gt;"Non trouvé - vérifier",D60&lt;&gt;"",D60&lt;&gt;0),IF(COUNTIF($B$2:B60,B60)=1,1,0),0)</f>
        <v>0</v>
      </c>
    </row>
    <row r="61" spans="1:7" x14ac:dyDescent="0.25">
      <c r="A61" s="76" t="s">
        <v>1048</v>
      </c>
      <c r="B61" s="76" t="str">
        <f>IF((IF(OR(SPK!$D$29="SSP Toiture",SPK!$D$29="SSU Toiture"),"Toiture",IF(SPK!$D$29="SSP Placo","TB Placo",IF(SPK!$D$29="SSP Faux plafond","TB Faux plaf",IF(SPK!$D$29="SSP Labo","TB Labo","")))))&lt;&gt;"TB Placo","","COUVI90FFGA025")</f>
        <v/>
      </c>
      <c r="C61" s="76" t="str">
        <f>IF((IF(OR(SPK!$D$29="SSP Toiture",SPK!$D$29="SSU Toiture"),"Toiture",IF(SPK!$D$29="SSP Placo","TB Placo",IF(SPK!$D$29="SSP Faux plafond","TB Faux plaf",IF(SPK!$D$29="SSP Labo","TB Labo","")))))&lt;&gt;"TB Placo","","COUDE 90°VISSER FF GALVA DN25")</f>
        <v/>
      </c>
      <c r="D61" s="78">
        <f>IF((IF(OR(SPK!$D$29="SSP Toiture",SPK!$D$29="SSU Toiture"),"Toiture",IF(SPK!$D$29="SSP Placo","TB Placo",IF(SPK!$D$29="SSP Faux plafond","TB Faux plaf",IF(SPK!$D$29="SSP Labo","TB Labo","")))))&lt;&gt;"TB Placo",0,(SPK!$D$26))</f>
        <v>0</v>
      </c>
      <c r="E61" s="76" t="s">
        <v>1034</v>
      </c>
      <c r="F61" s="76" t="str">
        <f t="shared" si="0"/>
        <v/>
      </c>
      <c r="G61" s="76">
        <f>IF(AND(B61&lt;&gt;"",B61&lt;&gt;"Non trouvé - vérifier",D61&lt;&gt;"",D61&lt;&gt;0),IF(COUNTIF($B$2:B61,B61)=1,1,0),0)</f>
        <v>0</v>
      </c>
    </row>
    <row r="62" spans="1:7" x14ac:dyDescent="0.25">
      <c r="A62" s="76" t="s">
        <v>1048</v>
      </c>
      <c r="B62" s="76" t="str">
        <f>IF((IF(OR(SPK!$D$29="SSP Toiture",SPK!$D$29="SSU Toiture"),"Toiture",IF(SPK!$D$29="SSP Placo","TB Placo",IF(SPK!$D$29="SSP Faux plafond","TB Faux plaf",IF(SPK!$D$29="SSP Labo","TB Labo","")))))&lt;&gt;"TB Placo","",IF((SPK!$D$30+0)=20,"CHANDELLEDN20","CHANDELLEGRANDEFF"))</f>
        <v/>
      </c>
      <c r="C62" s="76" t="str">
        <f>IF((IF(OR(SPK!$D$29="SSP Toiture",SPK!$D$29="SSU Toiture"),"Toiture",IF(SPK!$D$29="SSP Placo","TB Placo",IF(SPK!$D$29="SSP Faux plafond","TB Faux plaf",IF(SPK!$D$29="SSP Labo","TB Labo","")))))&lt;&gt;"TB Placo","",IF((SPK!$D$30+0)=20,"CHANDELLE REGLABLE MF GRANDE DN25X20","CHANDELLE REGLABLE FF GRANDE DN25X15"))</f>
        <v/>
      </c>
      <c r="D62" s="78">
        <f>IF((IF(OR(SPK!$D$29="SSP Toiture",SPK!$D$29="SSU Toiture"),"Toiture",IF(SPK!$D$29="SSP Placo","TB Placo",IF(SPK!$D$29="SSP Faux plafond","TB Faux plaf",IF(SPK!$D$29="SSP Labo","TB Labo","")))))&lt;&gt;"TB Placo",0,(SPK!$D$26))</f>
        <v>0</v>
      </c>
      <c r="E62" s="76" t="s">
        <v>1034</v>
      </c>
      <c r="F62" s="76" t="str">
        <f t="shared" si="0"/>
        <v/>
      </c>
      <c r="G62" s="76">
        <f>IF(AND(B62&lt;&gt;"",B62&lt;&gt;"Non trouvé - vérifier",D62&lt;&gt;"",D62&lt;&gt;0),IF(COUNTIF($B$2:B62,B62)=1,1,0),0)</f>
        <v>0</v>
      </c>
    </row>
    <row r="63" spans="1:7" x14ac:dyDescent="0.25">
      <c r="A63" s="76" t="s">
        <v>1048</v>
      </c>
      <c r="B63" s="76" t="str">
        <f>IF(OR((IF(OR(SPK!$D$29="SSP Toiture",SPK!$D$29="SSU Toiture"),"Toiture",IF(SPK!$D$29="SSP Placo","TB Placo",IF(SPK!$D$29="SSP Faux plafond","TB Faux plaf",IF(SPK!$D$29="SSP Labo","TB Labo","")))))&lt;&gt;"TB Placo",SPK!$D$31="Bronze"),"",IFERROR(INDEX(Catalogue!$A$4:$A$454,SUMPRODUCT(((Catalogue!$C$4:$C$454="ROSACE2P")*(Catalogue!$D$4:$D$454=IF(SPK!$D$31="Bronze","BRONZE",IF(SPK!$D$31="Chrome","CHROME",IF(SPK!$D$31="Blanche","BLANCHE",IF(SPK!$D$31="Noire","NOIRE","")))))*(Catalogue!$E$4:$E$454=(SPK!$D$30+0)))*ROW(Catalogue!$C$4:$C$454))-3),"Non trouvé - vérifier"))</f>
        <v/>
      </c>
      <c r="C63" s="76" t="str">
        <f>IF(OR((IF(OR(SPK!$D$29="SSP Toiture",SPK!$D$29="SSU Toiture"),"Toiture",IF(SPK!$D$29="SSP Placo","TB Placo",IF(SPK!$D$29="SSP Faux plafond","TB Faux plaf",IF(SPK!$D$29="SSP Labo","TB Labo","")))))&lt;&gt;"TB Placo",SPK!$D$31="Bronze"),"",IFERROR(INDEX(Catalogue!$B$4:$B$454,SUMPRODUCT(((Catalogue!$C$4:$C$454="ROSACE2P")*(Catalogue!$D$4:$D$454=IF(SPK!$D$31="Bronze","BRONZE",IF(SPK!$D$31="Chrome","CHROME",IF(SPK!$D$31="Blanche","BLANCHE",IF(SPK!$D$31="Noire","NOIRE","")))))*(Catalogue!$E$4:$E$454=(SPK!$D$30+0)))*ROW(Catalogue!$C$4:$C$454))-3),""))</f>
        <v/>
      </c>
      <c r="D63" s="78">
        <f>IF(OR((IF(OR(SPK!$D$29="SSP Toiture",SPK!$D$29="SSU Toiture"),"Toiture",IF(SPK!$D$29="SSP Placo","TB Placo",IF(SPK!$D$29="SSP Faux plafond","TB Faux plaf",IF(SPK!$D$29="SSP Labo","TB Labo","")))))&lt;&gt;"TB Placo",SPK!$D$31="Bronze"),0,(SPK!$D$26))</f>
        <v>0</v>
      </c>
      <c r="E63" s="76" t="s">
        <v>1034</v>
      </c>
      <c r="F63" s="76" t="str">
        <f t="shared" si="0"/>
        <v/>
      </c>
      <c r="G63" s="76">
        <f>IF(AND(B63&lt;&gt;"",B63&lt;&gt;"Non trouvé - vérifier",D63&lt;&gt;"",D63&lt;&gt;0),IF(COUNTIF($B$2:B63,B63)=1,1,0),0)</f>
        <v>0</v>
      </c>
    </row>
    <row r="64" spans="1:7" x14ac:dyDescent="0.25">
      <c r="A64" s="76" t="s">
        <v>1049</v>
      </c>
      <c r="B64" s="76" t="str">
        <f>IF((IF(OR(SPK!$D$29="SSP Toiture",SPK!$D$29="SSU Toiture"),"Toiture",IF(SPK!$D$29="SSP Placo","TB Placo",IF(SPK!$D$29="SSP Faux plafond","TB Faux plaf",IF(SPK!$D$29="SSP Labo","TB Labo","")))))&lt;&gt;"TB Faux plaf","",IF((SPK!$D$22+0)=25,IFERROR(INDEX(Catalogue!$A$4:$A$454,SUMPRODUCT(((Catalogue!$C$4:$C$454="TES")*(Catalogue!$D$4:$D$454="GALVA")*(Catalogue!$E$4:$E$454=(25+0))*(Catalogue!$G$4:$G$454="VISSER"))*ROW(Catalogue!$C$4:$C$454))-3),"Non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Non trouvé - vérifier")))</f>
        <v/>
      </c>
      <c r="C64" s="76" t="str">
        <f>IF((IF(OR(SPK!$D$29="SSP Toiture",SPK!$D$29="SSU Toiture"),"Toiture",IF(SPK!$D$29="SSP Placo","TB Placo",IF(SPK!$D$29="SSP Faux plafond","TB Faux plaf",IF(SPK!$D$29="SSP Labo","TB Labo","")))))&lt;&gt;"TB Faux plaf","",IF((SPK!$D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")))</f>
        <v/>
      </c>
      <c r="D64" s="76">
        <f>IF((IF(OR(SPK!$D$29="SSP Toiture",SPK!$D$29="SSU Toiture"),"Toiture",IF(SPK!$D$29="SSP Placo","TB Placo",IF(SPK!$D$29="SSP Faux plafond","TB Faux plaf",IF(SPK!$D$29="SSP Labo","TB Labo","")))))&lt;&gt;"TB Faux plaf",0,(SPK!$D$26))</f>
        <v>0</v>
      </c>
      <c r="E64" s="76" t="s">
        <v>1034</v>
      </c>
      <c r="F64" s="76" t="str">
        <f t="shared" si="0"/>
        <v/>
      </c>
      <c r="G64" s="76">
        <f>IF(AND(B64&lt;&gt;"",B64&lt;&gt;"Non trouvé - vérifier",D64&lt;&gt;"",D64&lt;&gt;0),IF(COUNTIF($B$2:B64,B64)=1,1,0),0)</f>
        <v>0</v>
      </c>
    </row>
    <row r="65" spans="1:7" x14ac:dyDescent="0.25">
      <c r="A65" s="76" t="s">
        <v>1049</v>
      </c>
      <c r="B65" s="76" t="str">
        <f>IF((IF(OR(SPK!$D$29="SSP Toiture",SPK!$D$29="SSU Toiture"),"Toiture",IF(SPK!$D$29="SSP Placo","TB Placo",IF(SPK!$D$29="SSP Faux plafond","TB Faux plaf",IF(SPK!$D$29="SSP Labo","TB Labo","")))))&lt;&gt;"TB Faux plaf","","COUVI90MFGA025")</f>
        <v/>
      </c>
      <c r="C65" s="76" t="str">
        <f>IF((IF(OR(SPK!$D$29="SSP Toiture",SPK!$D$29="SSU Toiture"),"Toiture",IF(SPK!$D$29="SSP Placo","TB Placo",IF(SPK!$D$29="SSP Faux plafond","TB Faux plaf",IF(SPK!$D$29="SSP Labo","TB Labo","")))))&lt;&gt;"TB Faux plaf","","COUDE 90°VISSER MF GALVA DN25")</f>
        <v/>
      </c>
      <c r="D65" s="76">
        <f>IF((IF(OR(SPK!$D$29="SSP Toiture",SPK!$D$29="SSU Toiture"),"Toiture",IF(SPK!$D$29="SSP Placo","TB Placo",IF(SPK!$D$29="SSP Faux plafond","TB Faux plaf",IF(SPK!$D$29="SSP Labo","TB Labo","")))))&lt;&gt;"TB Faux plaf",0,(SPK!$D$26))</f>
        <v>0</v>
      </c>
      <c r="E65" s="76" t="s">
        <v>1034</v>
      </c>
      <c r="F65" s="76" t="str">
        <f t="shared" si="0"/>
        <v/>
      </c>
      <c r="G65" s="76">
        <f>IF(AND(B65&lt;&gt;"",B65&lt;&gt;"Non trouvé - vérifier",D65&lt;&gt;"",D65&lt;&gt;0),IF(COUNTIF($B$2:B65,B65)=1,1,0),0)</f>
        <v>0</v>
      </c>
    </row>
    <row r="66" spans="1:7" x14ac:dyDescent="0.25">
      <c r="A66" s="76" t="s">
        <v>1049</v>
      </c>
      <c r="B66" s="76" t="str">
        <f>IF((IF(OR(SPK!$D$29="SSP Toiture",SPK!$D$29="SSU Toiture"),"Toiture",IF(SPK!$D$29="SSP Placo","TB Placo",IF(SPK!$D$29="SSP Faux plafond","TB Faux plaf",IF(SPK!$D$29="SSP Labo","TB Labo","")))))&lt;&gt;"TB Faux plaf","",IF((SPK!$D$30+0)=15,"FLEXI820MF15251521","FLEXIMF12202027APS"))</f>
        <v/>
      </c>
      <c r="C66" s="76" t="str">
        <f>IF((IF(OR(SPK!$D$29="SSP Toiture",SPK!$D$29="SSU Toiture"),"Toiture",IF(SPK!$D$29="SSP Placo","TB Placo",IF(SPK!$D$29="SSP Faux plafond","TB Faux plaf",IF(SPK!$D$29="SSP Labo","TB Labo","")))))&lt;&gt;"TB Faux plaf","",IF((SPK!$D$30+0)=15," FLEXIBLE MF LG 1540 25/15 APSAD"," FLEXIBLE MF LG 1220 25/20 APSAD"))</f>
        <v/>
      </c>
      <c r="D66" s="76">
        <f>IF((IF(OR(SPK!$D$29="SSP Toiture",SPK!$D$29="SSU Toiture"),"Toiture",IF(SPK!$D$29="SSP Placo","TB Placo",IF(SPK!$D$29="SSP Faux plafond","TB Faux plaf",IF(SPK!$D$29="SSP Labo","TB Labo","")))))&lt;&gt;"TB Faux plaf",0,(SPK!$D$26))</f>
        <v>0</v>
      </c>
      <c r="E66" s="76" t="s">
        <v>1034</v>
      </c>
      <c r="F66" s="76" t="str">
        <f t="shared" ref="F66:F129" si="1">IF(AND(B66&lt;&gt;"",B66&lt;&gt;"Non trouvé - vérifier",D66&lt;&gt;"",D66&lt;&gt;0),SUMIF($B$2:$B$244,B66,$D$2:$D$244),"")</f>
        <v/>
      </c>
      <c r="G66" s="76">
        <f>IF(AND(B66&lt;&gt;"",B66&lt;&gt;"Non trouvé - vérifier",D66&lt;&gt;"",D66&lt;&gt;0),IF(COUNTIF($B$2:B66,B66)=1,1,0),0)</f>
        <v>0</v>
      </c>
    </row>
    <row r="67" spans="1:7" x14ac:dyDescent="0.25">
      <c r="A67" s="76" t="s">
        <v>1049</v>
      </c>
      <c r="B67" s="76" t="str">
        <f>IF(OR((IF(OR(SPK!$D$29="SSP Toiture",SPK!$D$29="SSU Toiture"),"Toiture",IF(SPK!$D$29="SSP Placo","TB Placo",IF(SPK!$D$29="SSP Faux plafond","TB Faux plaf",IF(SPK!$D$29="SSP Labo","TB Labo","")))))&lt;&gt;"TB Faux plaf",SPK!$D$31="Bronze"),"",IFERROR(INDEX(Catalogue!$A$4:$A$454,SUMPRODUCT(((Catalogue!$C$4:$C$454="ROSACE2P")*(Catalogue!$D$4:$D$454=IF(SPK!$D$31="Bronze","BRONZE",IF(SPK!$D$31="Chrome","CHROME",IF(SPK!$D$31="Blanche","BLANCHE",IF(SPK!$D$31="Noire","NOIRE","")))))*(Catalogue!$E$4:$E$454=(SPK!$D$30+0)))*ROW(Catalogue!$C$4:$C$454))-3),"Non trouvé - vérifier"))</f>
        <v/>
      </c>
      <c r="C67" s="76" t="str">
        <f>IF(OR((IF(OR(SPK!$D$29="SSP Toiture",SPK!$D$29="SSU Toiture"),"Toiture",IF(SPK!$D$29="SSP Placo","TB Placo",IF(SPK!$D$29="SSP Faux plafond","TB Faux plaf",IF(SPK!$D$29="SSP Labo","TB Labo","")))))&lt;&gt;"TB Faux plaf",SPK!$D$31="Bronze"),"",IFERROR(INDEX(Catalogue!$B$4:$B$454,SUMPRODUCT(((Catalogue!$C$4:$C$454="ROSACE2P")*(Catalogue!$D$4:$D$454=IF(SPK!$D$31="Bronze","BRONZE",IF(SPK!$D$31="Chrome","CHROME",IF(SPK!$D$31="Blanche","BLANCHE",IF(SPK!$D$31="Noire","NOIRE","")))))*(Catalogue!$E$4:$E$454=(SPK!$D$30+0)))*ROW(Catalogue!$C$4:$C$454))-3),""))</f>
        <v/>
      </c>
      <c r="D67" s="76">
        <f>IF(OR((IF(OR(SPK!$D$29="SSP Toiture",SPK!$D$29="SSU Toiture"),"Toiture",IF(SPK!$D$29="SSP Placo","TB Placo",IF(SPK!$D$29="SSP Faux plafond","TB Faux plaf",IF(SPK!$D$29="SSP Labo","TB Labo","")))))&lt;&gt;"TB Faux plaf",SPK!$D$31="Bronze"),0,(SPK!$D$26))</f>
        <v>0</v>
      </c>
      <c r="E67" s="76" t="s">
        <v>1034</v>
      </c>
      <c r="F67" s="76" t="str">
        <f t="shared" si="1"/>
        <v/>
      </c>
      <c r="G67" s="76">
        <f>IF(AND(B67&lt;&gt;"",B67&lt;&gt;"Non trouvé - vérifier",D67&lt;&gt;"",D67&lt;&gt;0),IF(COUNTIF($B$2:B67,B67)=1,1,0),0)</f>
        <v>0</v>
      </c>
    </row>
    <row r="68" spans="1:7" x14ac:dyDescent="0.25">
      <c r="A68" s="76" t="s">
        <v>1050</v>
      </c>
      <c r="B68" s="76" t="str">
        <f>IF((IF(OR(SPK!$D$29="SSP Toiture",SPK!$D$29="SSU Toiture"),"Toiture",IF(SPK!$D$29="SSP Placo","TB Placo",IF(SPK!$D$29="SSP Faux plafond","TB Faux plaf",IF(SPK!$D$29="SSP Labo","TB Labo","")))))&lt;&gt;"TB Labo","",IF((SPK!$D$22+0)=25,IFERROR(INDEX(Catalogue!$A$4:$A$454,SUMPRODUCT(((Catalogue!$C$4:$C$454="TES")*(Catalogue!$D$4:$D$454="GALVA")*(Catalogue!$E$4:$E$454=(25+0))*(Catalogue!$G$4:$G$454="VISSER"))*ROW(Catalogue!$C$4:$C$454))-3),"Non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Non trouvé - vérifier")))</f>
        <v/>
      </c>
      <c r="C68" s="76" t="str">
        <f>IF((IF(OR(SPK!$D$29="SSP Toiture",SPK!$D$29="SSU Toiture"),"Toiture",IF(SPK!$D$29="SSP Placo","TB Placo",IF(SPK!$D$29="SSP Faux plafond","TB Faux plaf",IF(SPK!$D$29="SSP Labo","TB Labo","")))))&lt;&gt;"TB Labo","",IF((SPK!$D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D$22+0))*(Catalogue!$F$4:$F$454=(25+0))*(Catalogue!$G$4:$G$454="TARAUDE"))*ROW(Catalogue!$C$4:$C$454))-3),"")))</f>
        <v/>
      </c>
      <c r="D68" s="76">
        <f>IF((IF(OR(SPK!$D$29="SSP Toiture",SPK!$D$29="SSU Toiture"),"Toiture",IF(SPK!$D$29="SSP Placo","TB Placo",IF(SPK!$D$29="SSP Faux plafond","TB Faux plaf",IF(SPK!$D$29="SSP Labo","TB Labo","")))))&lt;&gt;"TB Labo",0,(SPK!$D$26))</f>
        <v>0</v>
      </c>
      <c r="E68" s="76" t="s">
        <v>1034</v>
      </c>
      <c r="F68" s="76" t="str">
        <f t="shared" si="1"/>
        <v/>
      </c>
      <c r="G68" s="76">
        <f>IF(AND(B68&lt;&gt;"",B68&lt;&gt;"Non trouvé - vérifier",D68&lt;&gt;"",D68&lt;&gt;0),IF(COUNTIF($B$2:B68,B68)=1,1,0),0)</f>
        <v>0</v>
      </c>
    </row>
    <row r="69" spans="1:7" x14ac:dyDescent="0.25">
      <c r="A69" s="76" t="s">
        <v>1050</v>
      </c>
      <c r="B69" s="76" t="str">
        <f>IF((IF(OR(SPK!$D$29="SSP Toiture",SPK!$D$29="SSU Toiture"),"Toiture",IF(SPK!$D$29="SSP Placo","TB Placo",IF(SPK!$D$29="SSP Faux plafond","TB Faux plaf",IF(SPK!$D$29="SSP Labo","TB Labo","")))))&lt;&gt;"TB Labo","","COUVI90MFGA025")</f>
        <v/>
      </c>
      <c r="C69" s="76" t="str">
        <f>IF((IF(OR(SPK!$D$29="SSP Toiture",SPK!$D$29="SSU Toiture"),"Toiture",IF(SPK!$D$29="SSP Placo","TB Placo",IF(SPK!$D$29="SSP Faux plafond","TB Faux plaf",IF(SPK!$D$29="SSP Labo","TB Labo","")))))&lt;&gt;"TB Labo","","COUDE 90°VISSER MF GALVA DN25")</f>
        <v/>
      </c>
      <c r="D69" s="76">
        <f>IF((IF(OR(SPK!$D$29="SSP Toiture",SPK!$D$29="SSU Toiture"),"Toiture",IF(SPK!$D$29="SSP Placo","TB Placo",IF(SPK!$D$29="SSP Faux plafond","TB Faux plaf",IF(SPK!$D$29="SSP Labo","TB Labo","")))))&lt;&gt;"TB Labo",0,(SPK!$D$26))</f>
        <v>0</v>
      </c>
      <c r="E69" s="76" t="s">
        <v>1034</v>
      </c>
      <c r="F69" s="76" t="str">
        <f t="shared" si="1"/>
        <v/>
      </c>
      <c r="G69" s="76">
        <f>IF(AND(B69&lt;&gt;"",B69&lt;&gt;"Non trouvé - vérifier",D69&lt;&gt;"",D69&lt;&gt;0),IF(COUNTIF($B$2:B69,B69)=1,1,0),0)</f>
        <v>0</v>
      </c>
    </row>
    <row r="70" spans="1:7" x14ac:dyDescent="0.25">
      <c r="A70" s="76" t="s">
        <v>1050</v>
      </c>
      <c r="B70" s="76" t="str">
        <f>IF((IF(OR(SPK!$D$29="SSP Toiture",SPK!$D$29="SSU Toiture"),"Toiture",IF(SPK!$D$29="SSP Placo","TB Placo",IF(SPK!$D$29="SSP Faux plafond","TB Faux plaf",IF(SPK!$D$29="SSP Labo","TB Labo","")))))&lt;&gt;"TB Labo","",IF((SPK!$D$30+0)=15,"FLEXKITLABO1220","Non disponible en DN20 - vérifier"))</f>
        <v/>
      </c>
      <c r="C70" s="76" t="str">
        <f>IF((IF(OR(SPK!$D$29="SSP Toiture",SPK!$D$29="SSU Toiture"),"Toiture",IF(SPK!$D$29="SSP Placo","TB Placo",IF(SPK!$D$29="SSP Faux plafond","TB Faux plaf",IF(SPK!$D$29="SSP Labo","TB Labo","")))))&lt;&gt;"TB Labo","",IF((SPK!$D$30+0)=15,"KIT FLEXIBLE LABO LG 1220 DN15 APSAD",""))</f>
        <v/>
      </c>
      <c r="D70" s="76">
        <f>IF((IF(OR(SPK!$D$29="SSP Toiture",SPK!$D$29="SSU Toiture"),"Toiture",IF(SPK!$D$29="SSP Placo","TB Placo",IF(SPK!$D$29="SSP Faux plafond","TB Faux plaf",IF(SPK!$D$29="SSP Labo","TB Labo","")))))&lt;&gt;"TB Labo",0,(SPK!$D$26))</f>
        <v>0</v>
      </c>
      <c r="E70" s="76" t="s">
        <v>1034</v>
      </c>
      <c r="F70" s="76" t="str">
        <f t="shared" si="1"/>
        <v/>
      </c>
      <c r="G70" s="76">
        <f>IF(AND(B70&lt;&gt;"",B70&lt;&gt;"Non trouvé - vérifier",D70&lt;&gt;"",D70&lt;&gt;0),IF(COUNTIF($B$2:B70,B70)=1,1,0),0)</f>
        <v>0</v>
      </c>
    </row>
    <row r="71" spans="1:7" x14ac:dyDescent="0.25">
      <c r="A71" s="76" t="s">
        <v>1050</v>
      </c>
      <c r="B71" s="76" t="str">
        <f>IF(OR((IF(OR(SPK!$D$29="SSP Toiture",SPK!$D$29="SSU Toiture"),"Toiture",IF(SPK!$D$29="SSP Placo","TB Placo",IF(SPK!$D$29="SSP Faux plafond","TB Faux plaf",IF(SPK!$D$29="SSP Labo","TB Labo","")))))&lt;&gt;"TB Labo",SPK!$D$31="Bronze"),"",IFERROR(INDEX(Catalogue!$A$4:$A$454,SUMPRODUCT(((Catalogue!$C$4:$C$454="ROSACE1P")*(Catalogue!$D$4:$D$454=IF(SPK!$D$31="Bronze","BRONZE",IF(SPK!$D$31="Chrome","CHROME",IF(SPK!$D$31="Blanche","BLANCHE",IF(SPK!$D$31="Noire","NOIRE","")))))*(Catalogue!$E$4:$E$454=(SPK!$D$30+0)))*ROW(Catalogue!$C$4:$C$454))-3),"Non trouvé - vérifier"))</f>
        <v/>
      </c>
      <c r="C71" s="76" t="str">
        <f>IF(OR((IF(OR(SPK!$D$29="SSP Toiture",SPK!$D$29="SSU Toiture"),"Toiture",IF(SPK!$D$29="SSP Placo","TB Placo",IF(SPK!$D$29="SSP Faux plafond","TB Faux plaf",IF(SPK!$D$29="SSP Labo","TB Labo","")))))&lt;&gt;"TB Labo",SPK!$D$31="Bronze"),"",IFERROR(INDEX(Catalogue!$B$4:$B$454,SUMPRODUCT(((Catalogue!$C$4:$C$454="ROSACE1P")*(Catalogue!$D$4:$D$454=IF(SPK!$D$31="Bronze","BRONZE",IF(SPK!$D$31="Chrome","CHROME",IF(SPK!$D$31="Blanche","BLANCHE",IF(SPK!$D$31="Noire","NOIRE","")))))*(Catalogue!$E$4:$E$454=(SPK!$D$30+0)))*ROW(Catalogue!$C$4:$C$454))-3),""))</f>
        <v/>
      </c>
      <c r="D71" s="76">
        <f>IF(OR((IF(OR(SPK!$D$29="SSP Toiture",SPK!$D$29="SSU Toiture"),"Toiture",IF(SPK!$D$29="SSP Placo","TB Placo",IF(SPK!$D$29="SSP Faux plafond","TB Faux plaf",IF(SPK!$D$29="SSP Labo","TB Labo","")))))&lt;&gt;"TB Labo",SPK!$D$31="Bronze"),0,(SPK!$D$26))</f>
        <v>0</v>
      </c>
      <c r="E71" s="76" t="s">
        <v>1034</v>
      </c>
      <c r="F71" s="76" t="str">
        <f t="shared" si="1"/>
        <v/>
      </c>
      <c r="G71" s="76">
        <f>IF(AND(B71&lt;&gt;"",B71&lt;&gt;"Non trouvé - vérifier",D71&lt;&gt;"",D71&lt;&gt;0),IF(COUNTIF($B$2:B71,B71)=1,1,0),0)</f>
        <v>0</v>
      </c>
    </row>
    <row r="72" spans="1:7" x14ac:dyDescent="0.25">
      <c r="A72" s="76" t="s">
        <v>1051</v>
      </c>
      <c r="B72" s="76" t="str">
        <f>IFERROR(INDEX(Catalogue!$A$4:$A$454,SUMPRODUCT(((Catalogue!$C$4:$C$454="TETE")*(Catalogue!$D$4:$D$454=IF(SPK!$D$31="Bronze","BRONZE",IF(SPK!$D$31="Chrome","CHROME",IF(SPK!$D$31="Blanche","BLANCHE",IF(SPK!$D$31="Noire","NOIRE","")))))*(Catalogue!$E$4:$E$454=(SPK!$D$30+0))*(Catalogue!$G$4:$G$454=(IF(SPK!$D$29="SSU Toiture","SSU",IF(OR(SPK!$D$29="SSP Toiture",SPK!$D$29="SSP Placo",SPK!$D$29="SSP Faux plafond",SPK!$D$29="SSP Labo"),"SSP",""))))*(Catalogue!$H$4:$H$454=(SPK!$D$32+0))*(Catalogue!$I$4:$I$454=(SPK!$D$33+0))*(Catalogue!$J$4:$J$454=IF(SPK!$D$34="Rapide","RAPIDE",IF(SPK!$D$34="Standard","STANDARD",""))))*ROW(Catalogue!$C$4:$C$454))-3),"Non trouvé - vérifier")</f>
        <v>Non trouvé - vérifier</v>
      </c>
      <c r="C72" s="76" t="str">
        <f>IFERROR(INDEX(Catalogue!$B$4:$B$454,SUMPRODUCT(((Catalogue!$C$4:$C$454="TETE")*(Catalogue!$D$4:$D$454=IF(SPK!$D$31="Bronze","BRONZE",IF(SPK!$D$31="Chrome","CHROME",IF(SPK!$D$31="Blanche","BLANCHE",IF(SPK!$D$31="Noire","NOIRE","")))))*(Catalogue!$E$4:$E$454=(SPK!$D$30+0))*(Catalogue!$G$4:$G$454=(IF(SPK!$D$29="SSU Toiture","SSU",IF(OR(SPK!$D$29="SSP Toiture",SPK!$D$29="SSP Placo",SPK!$D$29="SSP Faux plafond",SPK!$D$29="SSP Labo"),"SSP",""))))*(Catalogue!$H$4:$H$454=(SPK!$D$32+0))*(Catalogue!$I$4:$I$454=(SPK!$D$33+0))*(Catalogue!$J$4:$J$454=IF(SPK!$D$34="Rapide","RAPIDE",IF(SPK!$D$34="Standard","STANDARD",""))))*ROW(Catalogue!$C$4:$C$454))-3),"")</f>
        <v/>
      </c>
      <c r="D72" s="78">
        <f>(SPK!$D$26)</f>
        <v>0</v>
      </c>
      <c r="E72" s="76" t="s">
        <v>1034</v>
      </c>
      <c r="F72" s="76" t="str">
        <f t="shared" si="1"/>
        <v/>
      </c>
      <c r="G72" s="76">
        <f>IF(AND(B72&lt;&gt;"",B72&lt;&gt;"Non trouvé - vérifier",D72&lt;&gt;"",D72&lt;&gt;0),IF(COUNTIF($B$2:B72,B72)=1,1,0),0)</f>
        <v>0</v>
      </c>
    </row>
    <row r="73" spans="1:7" x14ac:dyDescent="0.25">
      <c r="A73" s="76" t="s">
        <v>1052</v>
      </c>
      <c r="B73" s="76" t="str">
        <f>IF((IFERROR(INDEX(Supports!$C$4:$C$23,MATCH(SPK!$D$35,Supports!$B$4:$B$23,0)),""))="","",IF(IFERROR(INDEX(Supports!$C$4:$C$23,MATCH(SPK!$D$35,Supports!$B$4:$B$23,0)),"")="ETRIER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vérifier"),IF(IFERROR(INDEX(Supports!$C$4:$C$23,MATCH(SPK!$D$35,Supports!$B$4:$B$23,0)),"")="COLLIER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vérifier"),IF(IFERROR(INDEX(Supports!$C$4:$C$23,MATCH(SPK!$D$35,Supports!$B$4:$B$23,0)),"")="COLLIER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vérifier"),IFERROR(INDEX(Catalogue!$A$4:$A$454,MATCH(IFERROR(INDEX(Supports!$C$4:$C$23,MATCH(SPK!$D$35,Supports!$B$4:$B$23,0)),""),Catalogue!$B$4:$B$454,0)),"")))))</f>
        <v/>
      </c>
      <c r="C73" s="76" t="str">
        <f>IF((IFERROR(INDEX(Supports!$C$4:$C$23,MATCH(SPK!$D$35,Supports!$B$4:$B$23,0)),""))="","",IF(IFERROR(INDEX(Supports!$C$4:$C$23,MATCH(SPK!$D$35,Supports!$B$4:$B$23,0)),"")="ETRIER RALLONGE (DN automatique = DN du tube)",IFERROR(INDEX(Catalogue!$B$4:$B$454,SUMPRODUCT(((Catalogue!$C$4:$C$454="ETRIER")*(Catalogue!$E$4:$E$454=(SPK!$D$22+0)))*ROW(Catalogue!$C$4:$C$454))-3),""),IF(IFERROR(INDEX(Supports!$C$4:$C$23,MATCH(SPK!$D$35,Supports!$B$4:$B$23,0)),"")="COLLIER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tube)",IFERROR(INDEX(Catalogue!$B$4:$B$454,SUMPRODUCT(((Catalogue!$C$4:$C$454="COLLIERINDUS")*(Catalogue!$E$4:$E$454=(SPK!$D$22+0)))*ROW(Catalogue!$C$4:$C$454))-3),""),IF(IFERROR(INDEX(Supports!$C$4:$C$23,MATCH(SPK!$D$35,Supports!$B$4:$B$23,0)),"")="COLLIER POIRE (DN automatique = DN du tube)",IFERROR(INDEX(Catalogue!$B$4:$B$454,SUMPRODUCT(((Catalogue!$C$4:$C$454="COLLIERPOIRE")*(Catalogue!$E$4:$E$454=(SPK!$D$22+0)))*ROW(Catalogue!$C$4:$C$454))-3),""),IFERROR(INDEX(Supports!$C$4:$C$23,MATCH(SPK!$D$35,Supports!$B$4:$B$23,0)),"")))))</f>
        <v/>
      </c>
      <c r="D73" s="76" t="str">
        <f>IF((IFERROR(INDEX(Supports!$C$4:$C$23,MATCH(SPK!$D$35,Supports!$B$4:$B$23,0)),""))="","",(IFERROR(INDEX(Supports!$D$4:$D$23,MATCH(SPK!$D$35,Supports!$B$4:$B$23,0)),0))*SPK!$D$36)</f>
        <v/>
      </c>
      <c r="E73" s="76" t="s">
        <v>1036</v>
      </c>
      <c r="F73" s="76" t="str">
        <f t="shared" si="1"/>
        <v/>
      </c>
      <c r="G73" s="76">
        <f>IF(AND(B73&lt;&gt;"",B73&lt;&gt;"Non trouvé - vérifier",D73&lt;&gt;"",D73&lt;&gt;0),IF(COUNTIF($B$2:B73,B73)=1,1,0),0)</f>
        <v>0</v>
      </c>
    </row>
    <row r="74" spans="1:7" x14ac:dyDescent="0.25">
      <c r="A74" s="76" t="s">
        <v>1052</v>
      </c>
      <c r="B74" s="76" t="str">
        <f>IF((IFERROR(INDEX(Supports!$E$4:$E$23,MATCH(SPK!$D$35,Supports!$B$4:$B$23,0)),""))="","",IF(IFERROR(INDEX(Supports!$E$4:$E$23,MATCH(SPK!$D$35,Supports!$B$4:$B$23,0)),"")="ETRIER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vérifier"),IF(IFERROR(INDEX(Supports!$E$4:$E$23,MATCH(SPK!$D$35,Supports!$B$4:$B$23,0)),"")="COLLIER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vérifier"),IF(IFERROR(INDEX(Supports!$E$4:$E$23,MATCH(SPK!$D$35,Supports!$B$4:$B$23,0)),"")="COLLIER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vérifier"),IFERROR(INDEX(Catalogue!$A$4:$A$454,MATCH(IFERROR(INDEX(Supports!$E$4:$E$23,MATCH(SPK!$D$35,Supports!$B$4:$B$23,0)),""),Catalogue!$B$4:$B$454,0)),"")))))</f>
        <v/>
      </c>
      <c r="C74" s="76" t="str">
        <f>IF((IFERROR(INDEX(Supports!$E$4:$E$23,MATCH(SPK!$D$35,Supports!$B$4:$B$23,0)),""))="","",IF(IFERROR(INDEX(Supports!$E$4:$E$23,MATCH(SPK!$D$35,Supports!$B$4:$B$23,0)),"")="ETRIER RALLONGE (DN automatique = DN du tube)",IFERROR(INDEX(Catalogue!$B$4:$B$454,SUMPRODUCT(((Catalogue!$C$4:$C$454="ETRIER")*(Catalogue!$E$4:$E$454=(SPK!$D$22+0)))*ROW(Catalogue!$C$4:$C$454))-3),""),IF(IFERROR(INDEX(Supports!$E$4:$E$23,MATCH(SPK!$D$35,Supports!$B$4:$B$23,0)),"")="COLLIER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tube)",IFERROR(INDEX(Catalogue!$B$4:$B$454,SUMPRODUCT(((Catalogue!$C$4:$C$454="COLLIERINDUS")*(Catalogue!$E$4:$E$454=(SPK!$D$22+0)))*ROW(Catalogue!$C$4:$C$454))-3),""),IF(IFERROR(INDEX(Supports!$E$4:$E$23,MATCH(SPK!$D$35,Supports!$B$4:$B$23,0)),"")="COLLIER POIRE (DN automatique = DN du tube)",IFERROR(INDEX(Catalogue!$B$4:$B$454,SUMPRODUCT(((Catalogue!$C$4:$C$454="COLLIERPOIRE")*(Catalogue!$E$4:$E$454=(SPK!$D$22+0)))*ROW(Catalogue!$C$4:$C$454))-3),""),IFERROR(INDEX(Supports!$E$4:$E$23,MATCH(SPK!$D$35,Supports!$B$4:$B$23,0)),"")))))</f>
        <v/>
      </c>
      <c r="D74" s="76" t="str">
        <f>IF((IFERROR(INDEX(Supports!$E$4:$E$23,MATCH(SPK!$D$35,Supports!$B$4:$B$23,0)),""))="","",(IFERROR(INDEX(Supports!$F$4:$F$23,MATCH(SPK!$D$35,Supports!$B$4:$B$23,0)),0))*SPK!$D$36)</f>
        <v/>
      </c>
      <c r="E74" s="76" t="s">
        <v>1036</v>
      </c>
      <c r="F74" s="76" t="str">
        <f t="shared" si="1"/>
        <v/>
      </c>
      <c r="G74" s="76">
        <f>IF(AND(B74&lt;&gt;"",B74&lt;&gt;"Non trouvé - vérifier",D74&lt;&gt;"",D74&lt;&gt;0),IF(COUNTIF($B$2:B74,B74)=1,1,0),0)</f>
        <v>0</v>
      </c>
    </row>
    <row r="75" spans="1:7" x14ac:dyDescent="0.25">
      <c r="A75" s="76" t="s">
        <v>1052</v>
      </c>
      <c r="B75" s="76" t="str">
        <f>IF((IFERROR(INDEX(Supports!$G$4:$G$23,MATCH(SPK!$D$35,Supports!$B$4:$B$23,0)),""))="","",IF(IFERROR(INDEX(Supports!$G$4:$G$23,MATCH(SPK!$D$35,Supports!$B$4:$B$23,0)),"")="ETRIER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vérifier"),IF(IFERROR(INDEX(Supports!$G$4:$G$23,MATCH(SPK!$D$35,Supports!$B$4:$B$23,0)),"")="COLLIER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vérifier"),IF(IFERROR(INDEX(Supports!$G$4:$G$23,MATCH(SPK!$D$35,Supports!$B$4:$B$23,0)),"")="COLLIER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vérifier"),IFERROR(INDEX(Catalogue!$A$4:$A$454,MATCH(IFERROR(INDEX(Supports!$G$4:$G$23,MATCH(SPK!$D$35,Supports!$B$4:$B$23,0)),""),Catalogue!$B$4:$B$454,0)),"")))))</f>
        <v/>
      </c>
      <c r="C75" s="76" t="str">
        <f>IF((IFERROR(INDEX(Supports!$G$4:$G$23,MATCH(SPK!$D$35,Supports!$B$4:$B$23,0)),""))="","",IF(IFERROR(INDEX(Supports!$G$4:$G$23,MATCH(SPK!$D$35,Supports!$B$4:$B$23,0)),"")="ETRIER RALLONGE (DN automatique = DN du tube)",IFERROR(INDEX(Catalogue!$B$4:$B$454,SUMPRODUCT(((Catalogue!$C$4:$C$454="ETRIER")*(Catalogue!$E$4:$E$454=(SPK!$D$22+0)))*ROW(Catalogue!$C$4:$C$454))-3),""),IF(IFERROR(INDEX(Supports!$G$4:$G$23,MATCH(SPK!$D$35,Supports!$B$4:$B$23,0)),"")="COLLIER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tube)",IFERROR(INDEX(Catalogue!$B$4:$B$454,SUMPRODUCT(((Catalogue!$C$4:$C$454="COLLIERINDUS")*(Catalogue!$E$4:$E$454=(SPK!$D$22+0)))*ROW(Catalogue!$C$4:$C$454))-3),""),IF(IFERROR(INDEX(Supports!$G$4:$G$23,MATCH(SPK!$D$35,Supports!$B$4:$B$23,0)),"")="COLLIER POIRE (DN automatique = DN du tube)",IFERROR(INDEX(Catalogue!$B$4:$B$454,SUMPRODUCT(((Catalogue!$C$4:$C$454="COLLIERPOIRE")*(Catalogue!$E$4:$E$454=(SPK!$D$22+0)))*ROW(Catalogue!$C$4:$C$454))-3),""),IFERROR(INDEX(Supports!$G$4:$G$23,MATCH(SPK!$D$35,Supports!$B$4:$B$23,0)),"")))))</f>
        <v/>
      </c>
      <c r="D75" s="76" t="str">
        <f>IF((IFERROR(INDEX(Supports!$G$4:$G$23,MATCH(SPK!$D$35,Supports!$B$4:$B$23,0)),""))="","",(IFERROR(INDEX(Supports!$H$4:$H$23,MATCH(SPK!$D$35,Supports!$B$4:$B$23,0)),0))*SPK!$D$36)</f>
        <v/>
      </c>
      <c r="E75" s="76" t="s">
        <v>1036</v>
      </c>
      <c r="F75" s="76" t="str">
        <f t="shared" si="1"/>
        <v/>
      </c>
      <c r="G75" s="76">
        <f>IF(AND(B75&lt;&gt;"",B75&lt;&gt;"Non trouvé - vérifier",D75&lt;&gt;"",D75&lt;&gt;0),IF(COUNTIF($B$2:B75,B75)=1,1,0),0)</f>
        <v>0</v>
      </c>
    </row>
    <row r="76" spans="1:7" x14ac:dyDescent="0.25">
      <c r="A76" s="76" t="s">
        <v>1052</v>
      </c>
      <c r="B76" s="76" t="str">
        <f>IF((IFERROR(INDEX(Supports!$I$4:$I$23,MATCH(SPK!$D$35,Supports!$B$4:$B$23,0)),""))="","",IF(IFERROR(INDEX(Supports!$I$4:$I$23,MATCH(SPK!$D$35,Supports!$B$4:$B$23,0)),"")="ETRIER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vérifier"),IF(IFERROR(INDEX(Supports!$I$4:$I$23,MATCH(SPK!$D$35,Supports!$B$4:$B$23,0)),"")="COLLIER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vérifier"),IF(IFERROR(INDEX(Supports!$I$4:$I$23,MATCH(SPK!$D$35,Supports!$B$4:$B$23,0)),"")="COLLIER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vérifier"),IFERROR(INDEX(Catalogue!$A$4:$A$454,MATCH(IFERROR(INDEX(Supports!$I$4:$I$23,MATCH(SPK!$D$35,Supports!$B$4:$B$23,0)),""),Catalogue!$B$4:$B$454,0)),"")))))</f>
        <v/>
      </c>
      <c r="C76" s="76" t="str">
        <f>IF((IFERROR(INDEX(Supports!$I$4:$I$23,MATCH(SPK!$D$35,Supports!$B$4:$B$23,0)),""))="","",IF(IFERROR(INDEX(Supports!$I$4:$I$23,MATCH(SPK!$D$35,Supports!$B$4:$B$23,0)),"")="ETRIER RALLONGE (DN automatique = DN du tube)",IFERROR(INDEX(Catalogue!$B$4:$B$454,SUMPRODUCT(((Catalogue!$C$4:$C$454="ETRIER")*(Catalogue!$E$4:$E$454=(SPK!$D$22+0)))*ROW(Catalogue!$C$4:$C$454))-3),""),IF(IFERROR(INDEX(Supports!$I$4:$I$23,MATCH(SPK!$D$35,Supports!$B$4:$B$23,0)),"")="COLLIER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tube)",IFERROR(INDEX(Catalogue!$B$4:$B$454,SUMPRODUCT(((Catalogue!$C$4:$C$454="COLLIERINDUS")*(Catalogue!$E$4:$E$454=(SPK!$D$22+0)))*ROW(Catalogue!$C$4:$C$454))-3),""),IF(IFERROR(INDEX(Supports!$I$4:$I$23,MATCH(SPK!$D$35,Supports!$B$4:$B$23,0)),"")="COLLIER POIRE (DN automatique = DN du tube)",IFERROR(INDEX(Catalogue!$B$4:$B$454,SUMPRODUCT(((Catalogue!$C$4:$C$454="COLLIERPOIRE")*(Catalogue!$E$4:$E$454=(SPK!$D$22+0)))*ROW(Catalogue!$C$4:$C$454))-3),""),IFERROR(INDEX(Supports!$I$4:$I$23,MATCH(SPK!$D$35,Supports!$B$4:$B$23,0)),"")))))</f>
        <v/>
      </c>
      <c r="D76" s="76" t="str">
        <f>IF((IFERROR(INDEX(Supports!$I$4:$I$23,MATCH(SPK!$D$35,Supports!$B$4:$B$23,0)),""))="","",(IFERROR(INDEX(Supports!$J$4:$J$23,MATCH(SPK!$D$35,Supports!$B$4:$B$23,0)),0))*SPK!$D$36)</f>
        <v/>
      </c>
      <c r="E76" s="76" t="s">
        <v>1036</v>
      </c>
      <c r="F76" s="76" t="str">
        <f t="shared" si="1"/>
        <v/>
      </c>
      <c r="G76" s="76">
        <f>IF(AND(B76&lt;&gt;"",B76&lt;&gt;"Non trouvé - vérifier",D76&lt;&gt;"",D76&lt;&gt;0),IF(COUNTIF($B$2:B76,B76)=1,1,0),0)</f>
        <v>0</v>
      </c>
    </row>
    <row r="77" spans="1:7" x14ac:dyDescent="0.25">
      <c r="A77" s="76" t="s">
        <v>1052</v>
      </c>
      <c r="B77" s="76" t="str">
        <f>IF((IFERROR(INDEX(Supports!$K$4:$K$23,MATCH(SPK!$D$35,Supports!$B$4:$B$23,0)),""))="","",IF(IFERROR(INDEX(Supports!$K$4:$K$23,MATCH(SPK!$D$35,Supports!$B$4:$B$23,0)),"")="ETRIER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vérifier"),IF(IFERROR(INDEX(Supports!$K$4:$K$23,MATCH(SPK!$D$35,Supports!$B$4:$B$23,0)),"")="COLLIER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vérifier"),IF(IFERROR(INDEX(Supports!$K$4:$K$23,MATCH(SPK!$D$35,Supports!$B$4:$B$23,0)),"")="COLLIER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vérifier"),IFERROR(INDEX(Catalogue!$A$4:$A$454,MATCH(IFERROR(INDEX(Supports!$K$4:$K$23,MATCH(SPK!$D$35,Supports!$B$4:$B$23,0)),""),Catalogue!$B$4:$B$454,0)),"")))))</f>
        <v/>
      </c>
      <c r="C77" s="76" t="str">
        <f>IF((IFERROR(INDEX(Supports!$K$4:$K$23,MATCH(SPK!$D$35,Supports!$B$4:$B$23,0)),""))="","",IF(IFERROR(INDEX(Supports!$K$4:$K$23,MATCH(SPK!$D$35,Supports!$B$4:$B$23,0)),"")="ETRIER RALLONGE (DN automatique = DN du tube)",IFERROR(INDEX(Catalogue!$B$4:$B$454,SUMPRODUCT(((Catalogue!$C$4:$C$454="ETRIER")*(Catalogue!$E$4:$E$454=(SPK!$D$22+0)))*ROW(Catalogue!$C$4:$C$454))-3),""),IF(IFERROR(INDEX(Supports!$K$4:$K$23,MATCH(SPK!$D$35,Supports!$B$4:$B$23,0)),"")="COLLIER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tube)",IFERROR(INDEX(Catalogue!$B$4:$B$454,SUMPRODUCT(((Catalogue!$C$4:$C$454="COLLIERINDUS")*(Catalogue!$E$4:$E$454=(SPK!$D$22+0)))*ROW(Catalogue!$C$4:$C$454))-3),""),IF(IFERROR(INDEX(Supports!$K$4:$K$23,MATCH(SPK!$D$35,Supports!$B$4:$B$23,0)),"")="COLLIER POIRE (DN automatique = DN du tube)",IFERROR(INDEX(Catalogue!$B$4:$B$454,SUMPRODUCT(((Catalogue!$C$4:$C$454="COLLIERPOIRE")*(Catalogue!$E$4:$E$454=(SPK!$D$22+0)))*ROW(Catalogue!$C$4:$C$454))-3),""),IFERROR(INDEX(Supports!$K$4:$K$23,MATCH(SPK!$D$35,Supports!$B$4:$B$23,0)),"")))))</f>
        <v/>
      </c>
      <c r="D77" s="76" t="str">
        <f>IF((IFERROR(INDEX(Supports!$K$4:$K$23,MATCH(SPK!$D$35,Supports!$B$4:$B$23,0)),""))="","",(IFERROR(INDEX(Supports!$L$4:$L$23,MATCH(SPK!$D$35,Supports!$B$4:$B$23,0)),0))*SPK!$D$36)</f>
        <v/>
      </c>
      <c r="E77" s="76" t="s">
        <v>1036</v>
      </c>
      <c r="F77" s="76" t="str">
        <f t="shared" si="1"/>
        <v/>
      </c>
      <c r="G77" s="76">
        <f>IF(AND(B77&lt;&gt;"",B77&lt;&gt;"Non trouvé - vérifier",D77&lt;&gt;"",D77&lt;&gt;0),IF(COUNTIF($B$2:B77,B77)=1,1,0),0)</f>
        <v>0</v>
      </c>
    </row>
    <row r="78" spans="1:7" x14ac:dyDescent="0.25">
      <c r="A78" s="76" t="s">
        <v>1052</v>
      </c>
      <c r="B78" s="76" t="str">
        <f>IF((IFERROR(INDEX(Supports!$M$4:$M$23,MATCH(SPK!$D$35,Supports!$B$4:$B$23,0)),""))="","",IF(IFERROR(INDEX(Supports!$M$4:$M$23,MATCH(SPK!$D$35,Supports!$B$4:$B$23,0)),"")="ETRIER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vérifier"),IF(IFERROR(INDEX(Supports!$M$4:$M$23,MATCH(SPK!$D$35,Supports!$B$4:$B$23,0)),"")="COLLIER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vérifier"),IF(IFERROR(INDEX(Supports!$M$4:$M$23,MATCH(SPK!$D$35,Supports!$B$4:$B$23,0)),"")="COLLIER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vérifier"),IFERROR(INDEX(Catalogue!$A$4:$A$454,MATCH(IFERROR(INDEX(Supports!$M$4:$M$23,MATCH(SPK!$D$35,Supports!$B$4:$B$23,0)),""),Catalogue!$B$4:$B$454,0)),"")))))</f>
        <v/>
      </c>
      <c r="C78" s="76" t="str">
        <f>IF((IFERROR(INDEX(Supports!$M$4:$M$23,MATCH(SPK!$D$35,Supports!$B$4:$B$23,0)),""))="","",IF(IFERROR(INDEX(Supports!$M$4:$M$23,MATCH(SPK!$D$35,Supports!$B$4:$B$23,0)),"")="ETRIER RALLONGE (DN automatique = DN du tube)",IFERROR(INDEX(Catalogue!$B$4:$B$454,SUMPRODUCT(((Catalogue!$C$4:$C$454="ETRIER")*(Catalogue!$E$4:$E$454=(SPK!$D$22+0)))*ROW(Catalogue!$C$4:$C$454))-3),""),IF(IFERROR(INDEX(Supports!$M$4:$M$23,MATCH(SPK!$D$35,Supports!$B$4:$B$23,0)),"")="COLLIER INDUSTRIEL (DN automatique = DN du tube)",IFERROR(INDEX(Catalogue!$B$4:$B$454,SUMPRODUCT(((Catalogue!$C$4:$C$454="COLLIERINDUS")*(Catalogue!$E$4:$E$454=(SPK!$D$22+0)))*ROW(Catalogue!$C$4:$C$454))-3),""),IF(IFERROR(INDEX(Supports!$M$4:$M$23,MATCH(SPK!$D$35,Supports!$B$4:$B$23,0)),"")="COLLIER POIRE (DN automatique = DN du tube)",IFERROR(INDEX(Catalogue!$B$4:$B$454,SUMPRODUCT(((Catalogue!$C$4:$C$454="COLLIERPOIRE")*(Catalogue!$E$4:$E$454=(SPK!$D$22+0)))*ROW(Catalogue!$C$4:$C$454))-3),""),IFERROR(INDEX(Supports!$M$4:$M$23,MATCH(SPK!$D$35,Supports!$B$4:$B$23,0)),"")))))</f>
        <v/>
      </c>
      <c r="D78" s="76" t="str">
        <f>IF((IFERROR(INDEX(Supports!$M$4:$M$23,MATCH(SPK!$D$35,Supports!$B$4:$B$23,0)),""))="","",(IFERROR(INDEX(Supports!$N$4:$N$23,MATCH(SPK!$D$35,Supports!$B$4:$B$23,0)),0))*SPK!$D$36)</f>
        <v/>
      </c>
      <c r="E78" s="76" t="s">
        <v>1036</v>
      </c>
      <c r="F78" s="76" t="str">
        <f t="shared" si="1"/>
        <v/>
      </c>
      <c r="G78" s="76">
        <f>IF(AND(B78&lt;&gt;"",B78&lt;&gt;"Non trouvé - vérifier",D78&lt;&gt;"",D78&lt;&gt;0),IF(COUNTIF($B$2:B78,B78)=1,1,0),0)</f>
        <v>0</v>
      </c>
    </row>
    <row r="79" spans="1:7" x14ac:dyDescent="0.25">
      <c r="A79" s="76" t="s">
        <v>1053</v>
      </c>
      <c r="B79" s="76" t="str">
        <f>IF((IFERROR(INDEX(Supports!$C$4:$C$23,MATCH(SPK!$D$37,Supports!$B$4:$B$23,0)),""))="","",IF(IFERROR(INDEX(Supports!$C$4:$C$23,MATCH(SPK!$D$37,Supports!$B$4:$B$23,0)),"")="ETRIER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vérifier"),IF(IFERROR(INDEX(Supports!$C$4:$C$23,MATCH(SPK!$D$37,Supports!$B$4:$B$23,0)),"")="COLLIER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vérifier"),IF(IFERROR(INDEX(Supports!$C$4:$C$23,MATCH(SPK!$D$37,Supports!$B$4:$B$23,0)),"")="COLLIER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vérifier"),IFERROR(INDEX(Catalogue!$A$4:$A$454,MATCH(IFERROR(INDEX(Supports!$C$4:$C$23,MATCH(SPK!$D$37,Supports!$B$4:$B$23,0)),""),Catalogue!$B$4:$B$454,0)),"")))))</f>
        <v/>
      </c>
      <c r="C79" s="76" t="str">
        <f>IF((IFERROR(INDEX(Supports!$C$4:$C$23,MATCH(SPK!$D$37,Supports!$B$4:$B$23,0)),""))="","",IF(IFERROR(INDEX(Supports!$C$4:$C$23,MATCH(SPK!$D$37,Supports!$B$4:$B$23,0)),"")="ETRIER RALLONGE (DN automatique = DN du tube)",IFERROR(INDEX(Catalogue!$B$4:$B$454,SUMPRODUCT(((Catalogue!$C$4:$C$454="ETRIER")*(Catalogue!$E$4:$E$454=(SPK!$D$22+0)))*ROW(Catalogue!$C$4:$C$454))-3),""),IF(IFERROR(INDEX(Supports!$C$4:$C$23,MATCH(SPK!$D$37,Supports!$B$4:$B$23,0)),"")="COLLIER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tube)",IFERROR(INDEX(Catalogue!$B$4:$B$454,SUMPRODUCT(((Catalogue!$C$4:$C$454="COLLIERINDUS")*(Catalogue!$E$4:$E$454=(SPK!$D$22+0)))*ROW(Catalogue!$C$4:$C$454))-3),""),IF(IFERROR(INDEX(Supports!$C$4:$C$23,MATCH(SPK!$D$37,Supports!$B$4:$B$23,0)),"")="COLLIER POIRE (DN automatique = DN du tube)",IFERROR(INDEX(Catalogue!$B$4:$B$454,SUMPRODUCT(((Catalogue!$C$4:$C$454="COLLIERPOIRE")*(Catalogue!$E$4:$E$454=(SPK!$D$22+0)))*ROW(Catalogue!$C$4:$C$454))-3),""),IFERROR(INDEX(Supports!$C$4:$C$23,MATCH(SPK!$D$37,Supports!$B$4:$B$23,0)),"")))))</f>
        <v/>
      </c>
      <c r="D79" s="76" t="str">
        <f>IF((IFERROR(INDEX(Supports!$C$4:$C$23,MATCH(SPK!$D$37,Supports!$B$4:$B$23,0)),""))="","",(IFERROR(INDEX(Supports!$D$4:$D$23,MATCH(SPK!$D$37,Supports!$B$4:$B$23,0)),0))*SPK!$D$38)</f>
        <v/>
      </c>
      <c r="E79" s="76" t="s">
        <v>1036</v>
      </c>
      <c r="F79" s="76" t="str">
        <f t="shared" si="1"/>
        <v/>
      </c>
      <c r="G79" s="76">
        <f>IF(AND(B79&lt;&gt;"",B79&lt;&gt;"Non trouvé - vérifier",D79&lt;&gt;"",D79&lt;&gt;0),IF(COUNTIF($B$2:B79,B79)=1,1,0),0)</f>
        <v>0</v>
      </c>
    </row>
    <row r="80" spans="1:7" x14ac:dyDescent="0.25">
      <c r="A80" s="76" t="s">
        <v>1053</v>
      </c>
      <c r="B80" s="76" t="str">
        <f>IF((IFERROR(INDEX(Supports!$E$4:$E$23,MATCH(SPK!$D$37,Supports!$B$4:$B$23,0)),""))="","",IF(IFERROR(INDEX(Supports!$E$4:$E$23,MATCH(SPK!$D$37,Supports!$B$4:$B$23,0)),"")="ETRIER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vérifier"),IF(IFERROR(INDEX(Supports!$E$4:$E$23,MATCH(SPK!$D$37,Supports!$B$4:$B$23,0)),"")="COLLIER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vérifier"),IF(IFERROR(INDEX(Supports!$E$4:$E$23,MATCH(SPK!$D$37,Supports!$B$4:$B$23,0)),"")="COLLIER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vérifier"),IFERROR(INDEX(Catalogue!$A$4:$A$454,MATCH(IFERROR(INDEX(Supports!$E$4:$E$23,MATCH(SPK!$D$37,Supports!$B$4:$B$23,0)),""),Catalogue!$B$4:$B$454,0)),"")))))</f>
        <v/>
      </c>
      <c r="C80" s="76" t="str">
        <f>IF((IFERROR(INDEX(Supports!$E$4:$E$23,MATCH(SPK!$D$37,Supports!$B$4:$B$23,0)),""))="","",IF(IFERROR(INDEX(Supports!$E$4:$E$23,MATCH(SPK!$D$37,Supports!$B$4:$B$23,0)),"")="ETRIER RALLONGE (DN automatique = DN du tube)",IFERROR(INDEX(Catalogue!$B$4:$B$454,SUMPRODUCT(((Catalogue!$C$4:$C$454="ETRIER")*(Catalogue!$E$4:$E$454=(SPK!$D$22+0)))*ROW(Catalogue!$C$4:$C$454))-3),""),IF(IFERROR(INDEX(Supports!$E$4:$E$23,MATCH(SPK!$D$37,Supports!$B$4:$B$23,0)),"")="COLLIER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tube)",IFERROR(INDEX(Catalogue!$B$4:$B$454,SUMPRODUCT(((Catalogue!$C$4:$C$454="COLLIERINDUS")*(Catalogue!$E$4:$E$454=(SPK!$D$22+0)))*ROW(Catalogue!$C$4:$C$454))-3),""),IF(IFERROR(INDEX(Supports!$E$4:$E$23,MATCH(SPK!$D$37,Supports!$B$4:$B$23,0)),"")="COLLIER POIRE (DN automatique = DN du tube)",IFERROR(INDEX(Catalogue!$B$4:$B$454,SUMPRODUCT(((Catalogue!$C$4:$C$454="COLLIERPOIRE")*(Catalogue!$E$4:$E$454=(SPK!$D$22+0)))*ROW(Catalogue!$C$4:$C$454))-3),""),IFERROR(INDEX(Supports!$E$4:$E$23,MATCH(SPK!$D$37,Supports!$B$4:$B$23,0)),"")))))</f>
        <v/>
      </c>
      <c r="D80" s="76" t="str">
        <f>IF((IFERROR(INDEX(Supports!$E$4:$E$23,MATCH(SPK!$D$37,Supports!$B$4:$B$23,0)),""))="","",(IFERROR(INDEX(Supports!$F$4:$F$23,MATCH(SPK!$D$37,Supports!$B$4:$B$23,0)),0))*SPK!$D$38)</f>
        <v/>
      </c>
      <c r="E80" s="76" t="s">
        <v>1036</v>
      </c>
      <c r="F80" s="76" t="str">
        <f t="shared" si="1"/>
        <v/>
      </c>
      <c r="G80" s="76">
        <f>IF(AND(B80&lt;&gt;"",B80&lt;&gt;"Non trouvé - vérifier",D80&lt;&gt;"",D80&lt;&gt;0),IF(COUNTIF($B$2:B80,B80)=1,1,0),0)</f>
        <v>0</v>
      </c>
    </row>
    <row r="81" spans="1:7" x14ac:dyDescent="0.25">
      <c r="A81" s="76" t="s">
        <v>1053</v>
      </c>
      <c r="B81" s="76" t="str">
        <f>IF((IFERROR(INDEX(Supports!$G$4:$G$23,MATCH(SPK!$D$37,Supports!$B$4:$B$23,0)),""))="","",IF(IFERROR(INDEX(Supports!$G$4:$G$23,MATCH(SPK!$D$37,Supports!$B$4:$B$23,0)),"")="ETRIER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vérifier"),IF(IFERROR(INDEX(Supports!$G$4:$G$23,MATCH(SPK!$D$37,Supports!$B$4:$B$23,0)),"")="COLLIER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vérifier"),IF(IFERROR(INDEX(Supports!$G$4:$G$23,MATCH(SPK!$D$37,Supports!$B$4:$B$23,0)),"")="COLLIER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vérifier"),IFERROR(INDEX(Catalogue!$A$4:$A$454,MATCH(IFERROR(INDEX(Supports!$G$4:$G$23,MATCH(SPK!$D$37,Supports!$B$4:$B$23,0)),""),Catalogue!$B$4:$B$454,0)),"")))))</f>
        <v/>
      </c>
      <c r="C81" s="76" t="str">
        <f>IF((IFERROR(INDEX(Supports!$G$4:$G$23,MATCH(SPK!$D$37,Supports!$B$4:$B$23,0)),""))="","",IF(IFERROR(INDEX(Supports!$G$4:$G$23,MATCH(SPK!$D$37,Supports!$B$4:$B$23,0)),"")="ETRIER RALLONGE (DN automatique = DN du tube)",IFERROR(INDEX(Catalogue!$B$4:$B$454,SUMPRODUCT(((Catalogue!$C$4:$C$454="ETRIER")*(Catalogue!$E$4:$E$454=(SPK!$D$22+0)))*ROW(Catalogue!$C$4:$C$454))-3),""),IF(IFERROR(INDEX(Supports!$G$4:$G$23,MATCH(SPK!$D$37,Supports!$B$4:$B$23,0)),"")="COLLIER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tube)",IFERROR(INDEX(Catalogue!$B$4:$B$454,SUMPRODUCT(((Catalogue!$C$4:$C$454="COLLIERINDUS")*(Catalogue!$E$4:$E$454=(SPK!$D$22+0)))*ROW(Catalogue!$C$4:$C$454))-3),""),IF(IFERROR(INDEX(Supports!$G$4:$G$23,MATCH(SPK!$D$37,Supports!$B$4:$B$23,0)),"")="COLLIER POIRE (DN automatique = DN du tube)",IFERROR(INDEX(Catalogue!$B$4:$B$454,SUMPRODUCT(((Catalogue!$C$4:$C$454="COLLIERPOIRE")*(Catalogue!$E$4:$E$454=(SPK!$D$22+0)))*ROW(Catalogue!$C$4:$C$454))-3),""),IFERROR(INDEX(Supports!$G$4:$G$23,MATCH(SPK!$D$37,Supports!$B$4:$B$23,0)),"")))))</f>
        <v/>
      </c>
      <c r="D81" s="76" t="str">
        <f>IF((IFERROR(INDEX(Supports!$G$4:$G$23,MATCH(SPK!$D$37,Supports!$B$4:$B$23,0)),""))="","",(IFERROR(INDEX(Supports!$H$4:$H$23,MATCH(SPK!$D$37,Supports!$B$4:$B$23,0)),0))*SPK!$D$38)</f>
        <v/>
      </c>
      <c r="E81" s="76" t="s">
        <v>1036</v>
      </c>
      <c r="F81" s="76" t="str">
        <f t="shared" si="1"/>
        <v/>
      </c>
      <c r="G81" s="76">
        <f>IF(AND(B81&lt;&gt;"",B81&lt;&gt;"Non trouvé - vérifier",D81&lt;&gt;"",D81&lt;&gt;0),IF(COUNTIF($B$2:B81,B81)=1,1,0),0)</f>
        <v>0</v>
      </c>
    </row>
    <row r="82" spans="1:7" x14ac:dyDescent="0.25">
      <c r="A82" s="76" t="s">
        <v>1053</v>
      </c>
      <c r="B82" s="76" t="str">
        <f>IF((IFERROR(INDEX(Supports!$I$4:$I$23,MATCH(SPK!$D$37,Supports!$B$4:$B$23,0)),""))="","",IF(IFERROR(INDEX(Supports!$I$4:$I$23,MATCH(SPK!$D$37,Supports!$B$4:$B$23,0)),"")="ETRIER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vérifier"),IF(IFERROR(INDEX(Supports!$I$4:$I$23,MATCH(SPK!$D$37,Supports!$B$4:$B$23,0)),"")="COLLIER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vérifier"),IF(IFERROR(INDEX(Supports!$I$4:$I$23,MATCH(SPK!$D$37,Supports!$B$4:$B$23,0)),"")="COLLIER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vérifier"),IFERROR(INDEX(Catalogue!$A$4:$A$454,MATCH(IFERROR(INDEX(Supports!$I$4:$I$23,MATCH(SPK!$D$37,Supports!$B$4:$B$23,0)),""),Catalogue!$B$4:$B$454,0)),"")))))</f>
        <v/>
      </c>
      <c r="C82" s="76" t="str">
        <f>IF((IFERROR(INDEX(Supports!$I$4:$I$23,MATCH(SPK!$D$37,Supports!$B$4:$B$23,0)),""))="","",IF(IFERROR(INDEX(Supports!$I$4:$I$23,MATCH(SPK!$D$37,Supports!$B$4:$B$23,0)),"")="ETRIER RALLONGE (DN automatique = DN du tube)",IFERROR(INDEX(Catalogue!$B$4:$B$454,SUMPRODUCT(((Catalogue!$C$4:$C$454="ETRIER")*(Catalogue!$E$4:$E$454=(SPK!$D$22+0)))*ROW(Catalogue!$C$4:$C$454))-3),""),IF(IFERROR(INDEX(Supports!$I$4:$I$23,MATCH(SPK!$D$37,Supports!$B$4:$B$23,0)),"")="COLLIER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tube)",IFERROR(INDEX(Catalogue!$B$4:$B$454,SUMPRODUCT(((Catalogue!$C$4:$C$454="COLLIERINDUS")*(Catalogue!$E$4:$E$454=(SPK!$D$22+0)))*ROW(Catalogue!$C$4:$C$454))-3),""),IF(IFERROR(INDEX(Supports!$I$4:$I$23,MATCH(SPK!$D$37,Supports!$B$4:$B$23,0)),"")="COLLIER POIRE (DN automatique = DN du tube)",IFERROR(INDEX(Catalogue!$B$4:$B$454,SUMPRODUCT(((Catalogue!$C$4:$C$454="COLLIERPOIRE")*(Catalogue!$E$4:$E$454=(SPK!$D$22+0)))*ROW(Catalogue!$C$4:$C$454))-3),""),IFERROR(INDEX(Supports!$I$4:$I$23,MATCH(SPK!$D$37,Supports!$B$4:$B$23,0)),"")))))</f>
        <v/>
      </c>
      <c r="D82" s="76" t="str">
        <f>IF((IFERROR(INDEX(Supports!$I$4:$I$23,MATCH(SPK!$D$37,Supports!$B$4:$B$23,0)),""))="","",(IFERROR(INDEX(Supports!$J$4:$J$23,MATCH(SPK!$D$37,Supports!$B$4:$B$23,0)),0))*SPK!$D$38)</f>
        <v/>
      </c>
      <c r="E82" s="76" t="s">
        <v>1036</v>
      </c>
      <c r="F82" s="76" t="str">
        <f t="shared" si="1"/>
        <v/>
      </c>
      <c r="G82" s="76">
        <f>IF(AND(B82&lt;&gt;"",B82&lt;&gt;"Non trouvé - vérifier",D82&lt;&gt;"",D82&lt;&gt;0),IF(COUNTIF($B$2:B82,B82)=1,1,0),0)</f>
        <v>0</v>
      </c>
    </row>
    <row r="83" spans="1:7" x14ac:dyDescent="0.25">
      <c r="A83" s="76" t="s">
        <v>1053</v>
      </c>
      <c r="B83" s="76" t="str">
        <f>IF((IFERROR(INDEX(Supports!$K$4:$K$23,MATCH(SPK!$D$37,Supports!$B$4:$B$23,0)),""))="","",IF(IFERROR(INDEX(Supports!$K$4:$K$23,MATCH(SPK!$D$37,Supports!$B$4:$B$23,0)),"")="ETRIER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vérifier"),IF(IFERROR(INDEX(Supports!$K$4:$K$23,MATCH(SPK!$D$37,Supports!$B$4:$B$23,0)),"")="COLLIER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vérifier"),IF(IFERROR(INDEX(Supports!$K$4:$K$23,MATCH(SPK!$D$37,Supports!$B$4:$B$23,0)),"")="COLLIER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vérifier"),IFERROR(INDEX(Catalogue!$A$4:$A$454,MATCH(IFERROR(INDEX(Supports!$K$4:$K$23,MATCH(SPK!$D$37,Supports!$B$4:$B$23,0)),""),Catalogue!$B$4:$B$454,0)),"")))))</f>
        <v/>
      </c>
      <c r="C83" s="76" t="str">
        <f>IF((IFERROR(INDEX(Supports!$K$4:$K$23,MATCH(SPK!$D$37,Supports!$B$4:$B$23,0)),""))="","",IF(IFERROR(INDEX(Supports!$K$4:$K$23,MATCH(SPK!$D$37,Supports!$B$4:$B$23,0)),"")="ETRIER RALLONGE (DN automatique = DN du tube)",IFERROR(INDEX(Catalogue!$B$4:$B$454,SUMPRODUCT(((Catalogue!$C$4:$C$454="ETRIER")*(Catalogue!$E$4:$E$454=(SPK!$D$22+0)))*ROW(Catalogue!$C$4:$C$454))-3),""),IF(IFERROR(INDEX(Supports!$K$4:$K$23,MATCH(SPK!$D$37,Supports!$B$4:$B$23,0)),"")="COLLIER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tube)",IFERROR(INDEX(Catalogue!$B$4:$B$454,SUMPRODUCT(((Catalogue!$C$4:$C$454="COLLIERINDUS")*(Catalogue!$E$4:$E$454=(SPK!$D$22+0)))*ROW(Catalogue!$C$4:$C$454))-3),""),IF(IFERROR(INDEX(Supports!$K$4:$K$23,MATCH(SPK!$D$37,Supports!$B$4:$B$23,0)),"")="COLLIER POIRE (DN automatique = DN du tube)",IFERROR(INDEX(Catalogue!$B$4:$B$454,SUMPRODUCT(((Catalogue!$C$4:$C$454="COLLIERPOIRE")*(Catalogue!$E$4:$E$454=(SPK!$D$22+0)))*ROW(Catalogue!$C$4:$C$454))-3),""),IFERROR(INDEX(Supports!$K$4:$K$23,MATCH(SPK!$D$37,Supports!$B$4:$B$23,0)),"")))))</f>
        <v/>
      </c>
      <c r="D83" s="76" t="str">
        <f>IF((IFERROR(INDEX(Supports!$K$4:$K$23,MATCH(SPK!$D$37,Supports!$B$4:$B$23,0)),""))="","",(IFERROR(INDEX(Supports!$L$4:$L$23,MATCH(SPK!$D$37,Supports!$B$4:$B$23,0)),0))*SPK!$D$38)</f>
        <v/>
      </c>
      <c r="E83" s="76" t="s">
        <v>1036</v>
      </c>
      <c r="F83" s="76" t="str">
        <f t="shared" si="1"/>
        <v/>
      </c>
      <c r="G83" s="76">
        <f>IF(AND(B83&lt;&gt;"",B83&lt;&gt;"Non trouvé - vérifier",D83&lt;&gt;"",D83&lt;&gt;0),IF(COUNTIF($B$2:B83,B83)=1,1,0),0)</f>
        <v>0</v>
      </c>
    </row>
    <row r="84" spans="1:7" x14ac:dyDescent="0.25">
      <c r="A84" s="76" t="s">
        <v>1053</v>
      </c>
      <c r="B84" s="76" t="str">
        <f>IF((IFERROR(INDEX(Supports!$M$4:$M$23,MATCH(SPK!$D$37,Supports!$B$4:$B$23,0)),""))="","",IF(IFERROR(INDEX(Supports!$M$4:$M$23,MATCH(SPK!$D$37,Supports!$B$4:$B$23,0)),"")="ETRIER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vérifier"),IF(IFERROR(INDEX(Supports!$M$4:$M$23,MATCH(SPK!$D$37,Supports!$B$4:$B$23,0)),"")="COLLIER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vérifier"),IF(IFERROR(INDEX(Supports!$M$4:$M$23,MATCH(SPK!$D$37,Supports!$B$4:$B$23,0)),"")="COLLIER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vérifier"),IFERROR(INDEX(Catalogue!$A$4:$A$454,MATCH(IFERROR(INDEX(Supports!$M$4:$M$23,MATCH(SPK!$D$37,Supports!$B$4:$B$23,0)),""),Catalogue!$B$4:$B$454,0)),"")))))</f>
        <v/>
      </c>
      <c r="C84" s="76" t="str">
        <f>IF((IFERROR(INDEX(Supports!$M$4:$M$23,MATCH(SPK!$D$37,Supports!$B$4:$B$23,0)),""))="","",IF(IFERROR(INDEX(Supports!$M$4:$M$23,MATCH(SPK!$D$37,Supports!$B$4:$B$23,0)),"")="ETRIER RALLONGE (DN automatique = DN du tube)",IFERROR(INDEX(Catalogue!$B$4:$B$454,SUMPRODUCT(((Catalogue!$C$4:$C$454="ETRIER")*(Catalogue!$E$4:$E$454=(SPK!$D$22+0)))*ROW(Catalogue!$C$4:$C$454))-3),""),IF(IFERROR(INDEX(Supports!$M$4:$M$23,MATCH(SPK!$D$37,Supports!$B$4:$B$23,0)),"")="COLLIER INDUSTRIEL (DN automatique = DN du tube)",IFERROR(INDEX(Catalogue!$B$4:$B$454,SUMPRODUCT(((Catalogue!$C$4:$C$454="COLLIERINDUS")*(Catalogue!$E$4:$E$454=(SPK!$D$22+0)))*ROW(Catalogue!$C$4:$C$454))-3),""),IF(IFERROR(INDEX(Supports!$M$4:$M$23,MATCH(SPK!$D$37,Supports!$B$4:$B$23,0)),"")="COLLIER POIRE (DN automatique = DN du tube)",IFERROR(INDEX(Catalogue!$B$4:$B$454,SUMPRODUCT(((Catalogue!$C$4:$C$454="COLLIERPOIRE")*(Catalogue!$E$4:$E$454=(SPK!$D$22+0)))*ROW(Catalogue!$C$4:$C$454))-3),""),IFERROR(INDEX(Supports!$M$4:$M$23,MATCH(SPK!$D$37,Supports!$B$4:$B$23,0)),"")))))</f>
        <v/>
      </c>
      <c r="D84" s="76" t="str">
        <f>IF((IFERROR(INDEX(Supports!$M$4:$M$23,MATCH(SPK!$D$37,Supports!$B$4:$B$23,0)),""))="","",(IFERROR(INDEX(Supports!$N$4:$N$23,MATCH(SPK!$D$37,Supports!$B$4:$B$23,0)),0))*SPK!$D$38)</f>
        <v/>
      </c>
      <c r="E84" s="76" t="s">
        <v>1036</v>
      </c>
      <c r="F84" s="76" t="str">
        <f t="shared" si="1"/>
        <v/>
      </c>
      <c r="G84" s="76">
        <f>IF(AND(B84&lt;&gt;"",B84&lt;&gt;"Non trouvé - vérifier",D84&lt;&gt;"",D84&lt;&gt;0),IF(COUNTIF($B$2:B84,B84)=1,1,0),0)</f>
        <v>0</v>
      </c>
    </row>
    <row r="85" spans="1:7" x14ac:dyDescent="0.25">
      <c r="A85" s="76" t="s">
        <v>1054</v>
      </c>
      <c r="B85" s="76" t="str">
        <f>IFERROR(INDEX(Catalogue!$A$4:$A$454,SUMPRODUCT(((Catalogue!$C$4:$C$454="TUBE")*(Catalogue!$G$4:$G$454&lt;&gt;"SL")*(Catalogue!$D$4:$D$454=IF(SPK!$D$6="X","GALVA",IF(SPK!$F$6="X","NOIR","")))*(Catalogue!$E$4:$E$454=(SPK!$F$22+0)))*ROW(Catalogue!$C$4:$C$454))-3),"Non trouvé - vérifier")</f>
        <v>Non trouvé - vérifier</v>
      </c>
      <c r="C85" s="76" t="str">
        <f>IFERROR(INDEX(Catalogue!$B$4:$B$454,SUMPRODUCT(((Catalogue!$C$4:$C$454="TUBE")*(Catalogue!$G$4:$G$454&lt;&gt;"SL")*(Catalogue!$D$4:$D$454=IF(SPK!$D$6="X","GALVA",IF(SPK!$F$6="X","NOIR","")))*(Catalogue!$E$4:$E$454=(SPK!$F$22+0)))*ROW(Catalogue!$C$4:$C$454))-3),"")</f>
        <v/>
      </c>
      <c r="D85" s="76">
        <f>CEILING((((SPK!$F$27*SPK!$F$26))),6)</f>
        <v>0</v>
      </c>
      <c r="E85" s="76" t="s">
        <v>1033</v>
      </c>
      <c r="F85" s="76" t="str">
        <f t="shared" si="1"/>
        <v/>
      </c>
      <c r="G85" s="76">
        <f>IF(AND(B85&lt;&gt;"",B85&lt;&gt;"Non trouvé - vérifier",D85&lt;&gt;"",D85&lt;&gt;0),IF(COUNTIF($B$2:B85,B85)=1,1,0),0)</f>
        <v>0</v>
      </c>
    </row>
    <row r="86" spans="1:7" x14ac:dyDescent="0.25">
      <c r="A86" s="76" t="s">
        <v>1054</v>
      </c>
      <c r="B86" s="76" t="str" cm="1">
        <f t="array" ref="B86">IF((SPK!$F$22+0)=25,"COUVI90FFGA025",IFERROR(_xlfn.SINGLE(INDEX(Catalogue!$A$4:$A$454,SUMPRODUCT(((Catalogue!$C$4:$C$454="COUDE90")*(Catalogue!$D$4:$D$454=IF(SPK!$D$4="X","ROUGE",IF(SPK!$F$4="X","BLANC",IF(SPK!$H$4="X","GALVA",""))))*(Catalogue!$E$4:$E$454=(SPK!$F$22+0)))*ROW(Catalogue!$C$4:$C$454))-3)),"Non trouvé - vérifier"))</f>
        <v>Non trouvé - vérifier</v>
      </c>
      <c r="C86" s="76" t="str" cm="1">
        <f t="array" ref="C86">IF((SPK!$F$22+0)=25,"COUDE 90°VISSER FF GALVA DN25",IFERROR(_xlfn.SINGLE(INDEX(Catalogue!$B$4:$B$454,SUMPRODUCT(((Catalogue!$C$4:$C$454="COUDE90")*(Catalogue!$D$4:$D$454=IF(SPK!$D$4="X","ROUGE",IF(SPK!$F$4="X","BLANC",IF(SPK!$H$4="X","GALVA",""))))*(Catalogue!$E$4:$E$454=(SPK!$F$22+0)))*ROW(Catalogue!$C$4:$C$454))-3)),""))</f>
        <v/>
      </c>
      <c r="D86" s="78">
        <f>SPK!$F$28</f>
        <v>0</v>
      </c>
      <c r="E86" s="76" t="s">
        <v>1034</v>
      </c>
      <c r="F86" s="76" t="str">
        <f t="shared" si="1"/>
        <v/>
      </c>
      <c r="G86" s="76">
        <f>IF(AND(B86&lt;&gt;"",B86&lt;&gt;"Non trouvé - vérifier",D86&lt;&gt;"",D86&lt;&gt;0),IF(COUNTIF($B$2:B86,B86)=1,1,0),0)</f>
        <v>0</v>
      </c>
    </row>
    <row r="87" spans="1:7" x14ac:dyDescent="0.25">
      <c r="A87" s="76" t="s">
        <v>1054</v>
      </c>
      <c r="B87" s="76" t="str">
        <f>IFERROR(INDEX(Catalogue!$A$4:$A$454,SUMPRODUCT(((Catalogue!$C$4:$C$454="CPC")*(Catalogue!$D$4:$D$454=IF(SPK!$D$4="X","ROUGE",IF(SPK!$F$4="X","GALVA",IF(SPK!$H$4="X","GALVA",""))))*(Catalogue!$E$4:$E$454=(SPK!$F$23+0))*(Catalogue!$F$4:$F$454=(SPK!$F$22+0))*(Catalogue!$G$4:$G$454=IF(LEFT(SPK!$F$24,1)="R","RAINURE",IF(LEFT(SPK!$F$24,1)="T","TARAUDE",""))))*ROW(Catalogue!$C$4:$C$454))-3),"Non trouvé - vérifier")</f>
        <v>Non trouvé - vérifier</v>
      </c>
      <c r="C87" s="76" t="str">
        <f>IFERROR(INDEX(Catalogue!$B$4:$B$454,SUMPRODUCT(((Catalogue!$C$4:$C$454="CPC")*(Catalogue!$D$4:$D$454=IF(SPK!$D$4="X","ROUGE",IF(SPK!$F$4="X","GALVA",IF(SPK!$H$4="X","GALVA",""))))*(Catalogue!$E$4:$E$454=(SPK!$F$23+0))*(Catalogue!$F$4:$F$454=(SPK!$F$22+0))*(Catalogue!$G$4:$G$454=IF(LEFT(SPK!$F$24,1)="R","RAINURE",IF(LEFT(SPK!$F$24,1)="T","TARAUDE",""))))*ROW(Catalogue!$C$4:$C$454))-3),"")</f>
        <v/>
      </c>
      <c r="D87" s="78">
        <f>SPK!$F$25</f>
        <v>0</v>
      </c>
      <c r="E87" s="76" t="s">
        <v>1034</v>
      </c>
      <c r="F87" s="76" t="str">
        <f t="shared" si="1"/>
        <v/>
      </c>
      <c r="G87" s="76">
        <f>IF(AND(B87&lt;&gt;"",B87&lt;&gt;"Non trouvé - vérifier",D87&lt;&gt;"",D87&lt;&gt;0),IF(COUNTIF($B$2:B87,B87)=1,1,0),0)</f>
        <v>0</v>
      </c>
    </row>
    <row r="88" spans="1:7" x14ac:dyDescent="0.25">
      <c r="A88" s="76" t="s">
        <v>1054</v>
      </c>
      <c r="B88" s="76" t="str">
        <f>IFERROR(INDEX(Catalogue!$A$4:$A$454,SUMPRODUCT(((Catalogue!$C$4:$C$454="RACCORD")*(Catalogue!$D$4:$D$454=IF(SPK!$D$4="X","ROUGE",IF(SPK!$F$4="X","BLANC",IF(SPK!$H$4="X","GALVA",""))))*(Catalogue!$E$4:$E$454=(SPK!$F$22+0)))*ROW(Catalogue!$C$4:$C$454))-3),"Non trouvé - vérifier")</f>
        <v>Non trouvé - vérifier</v>
      </c>
      <c r="C88" s="76" t="str">
        <f>IFERROR(INDEX(Catalogue!$B$4:$B$454,SUMPRODUCT(((Catalogue!$C$4:$C$454="RACCORD")*(Catalogue!$D$4:$D$454=IF(SPK!$D$4="X","ROUGE",IF(SPK!$F$4="X","BLANC",IF(SPK!$H$4="X","GALVA",""))))*(Catalogue!$E$4:$E$454=(SPK!$F$22+0)))*ROW(Catalogue!$C$4:$C$454))-3),"")</f>
        <v/>
      </c>
      <c r="D88" s="76">
        <f>ROUNDUP(((((SPK!$F$27*SPK!$F$26))/6)+(SPK!$F$28*2))*1.1,0)</f>
        <v>0</v>
      </c>
      <c r="E88" s="76" t="s">
        <v>1034</v>
      </c>
      <c r="F88" s="76" t="str">
        <f t="shared" si="1"/>
        <v/>
      </c>
      <c r="G88" s="76">
        <f>IF(AND(B88&lt;&gt;"",B88&lt;&gt;"Non trouvé - vérifier",D88&lt;&gt;"",D88&lt;&gt;0),IF(COUNTIF($B$2:B88,B88)=1,1,0),0)</f>
        <v>0</v>
      </c>
    </row>
    <row r="89" spans="1:7" x14ac:dyDescent="0.25">
      <c r="A89" s="76" t="s">
        <v>1055</v>
      </c>
      <c r="B89" s="76" t="str">
        <f>IF((SPK!$F$22+0)=25,"BOUCHVIMGA025",IFERROR(INDEX(Catalogue!$A$4:$A$454,SUMPRODUCT(((Catalogue!$C$4:$C$454="RACCORD")*(Catalogue!$D$4:$D$454=IF(SPK!$D$4="X","ROUGE",IF(SPK!$F$4="X","BLANC",IF(SPK!$H$4="X","GALVA",""))))*(Catalogue!$E$4:$E$454=(SPK!$F$22+0)))*ROW(Catalogue!$C$4:$C$454))-3),"Non trouvé - vérifier"))</f>
        <v>Non trouvé - vérifier</v>
      </c>
      <c r="C89" s="76" t="str">
        <f>IF((SPK!$F$22+0)=25,"BOUCHON VISSER M GALVA DN25",IFERROR(INDEX(Catalogue!$B$4:$B$454,SUMPRODUCT(((Catalogue!$C$4:$C$454="RACCORD")*(Catalogue!$D$4:$D$454=IF(SPK!$D$4="X","ROUGE",IF(SPK!$F$4="X","BLANC",IF(SPK!$H$4="X","GALVA",""))))*(Catalogue!$E$4:$E$454=(SPK!$F$22+0)))*ROW(Catalogue!$C$4:$C$454))-3),""))</f>
        <v/>
      </c>
      <c r="D89" s="78">
        <f>SPK!$F$25</f>
        <v>0</v>
      </c>
      <c r="E89" s="76" t="s">
        <v>1034</v>
      </c>
      <c r="F89" s="76" t="str">
        <f t="shared" si="1"/>
        <v/>
      </c>
      <c r="G89" s="76">
        <f>IF(AND(B89&lt;&gt;"",B89&lt;&gt;"Non trouvé - vérifier",D89&lt;&gt;"",D89&lt;&gt;0),IF(COUNTIF($B$2:B89,B89)=1,1,0),0)</f>
        <v>0</v>
      </c>
    </row>
    <row r="90" spans="1:7" x14ac:dyDescent="0.25">
      <c r="A90" s="76" t="s">
        <v>1056</v>
      </c>
      <c r="B90" s="76" t="str">
        <f>IF((SPK!$F$22+0)=25,"",IFERROR(INDEX(Catalogue!$A$4:$A$454,SUMPRODUCT(((Catalogue!$C$4:$C$454="FOND")*(Catalogue!$D$4:$D$454=IF(SPK!$D$4="X","ROUGE",IF(SPK!$F$4="X","BLANC",IF(SPK!$H$4="X","GALVA",""))))*(Catalogue!$E$4:$E$454=(SPK!$F$22+0)))*ROW(Catalogue!$C$4:$C$454))-3),"Non trouvé - vérifier"))</f>
        <v>Non trouvé - vérifier</v>
      </c>
      <c r="C90" s="76" t="str">
        <f>IF((SPK!$F$22+0)=25,"",IFERROR(INDEX(Catalogue!$B$4:$B$454,SUMPRODUCT(((Catalogue!$C$4:$C$454="FOND")*(Catalogue!$D$4:$D$454=IF(SPK!$D$4="X","ROUGE",IF(SPK!$F$4="X","BLANC",IF(SPK!$H$4="X","GALVA",""))))*(Catalogue!$E$4:$E$454=(SPK!$F$22+0)))*ROW(Catalogue!$C$4:$C$454))-3),""))</f>
        <v/>
      </c>
      <c r="D90" s="78">
        <f>IF((SPK!$F$22+0)=25,"",SPK!$F$25)</f>
        <v>0</v>
      </c>
      <c r="E90" s="76" t="s">
        <v>1034</v>
      </c>
      <c r="F90" s="76" t="str">
        <f t="shared" si="1"/>
        <v/>
      </c>
      <c r="G90" s="76">
        <f>IF(AND(B90&lt;&gt;"",B90&lt;&gt;"Non trouvé - vérifier",D90&lt;&gt;"",D90&lt;&gt;0),IF(COUNTIF($B$2:B90,B90)=1,1,0),0)</f>
        <v>0</v>
      </c>
    </row>
    <row r="91" spans="1:7" x14ac:dyDescent="0.25">
      <c r="A91" s="76" t="s">
        <v>1057</v>
      </c>
      <c r="B91" s="76" t="str">
        <f>IF((IF(OR(SPK!$F$29="SSP Toiture",SPK!$F$29="SSU Toiture"),"Toiture",IF(SPK!$F$29="SSP Placo","TB Placo",IF(SPK!$F$29="SSP Faux plafond","TB Faux plaf",IF(SPK!$F$29="SSP Labo","TB Labo","")))))&lt;&gt;"Toiture","",IF((SPK!$F$22+0)=25,IFERROR(INDEX(Catalogue!$A$4:$A$454,SUMPRODUCT(((Catalogue!$C$4:$C$454="TES")*(Catalogue!$D$4:$D$454="GALVA")*(Catalogue!$E$4:$E$454=(25+0))*(Catalogue!$G$4:$G$454="VISSER"))*ROW(Catalogue!$C$4:$C$454))-3),"Non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F$22+0))*(Catalogue!$F$4:$F$454=(SPK!$F$30+0))*(Catalogue!$G$4:$G$454="TARAUDE"))*ROW(Catalogue!$C$4:$C$454))-3),"Non trouvé - vérifier")))</f>
        <v/>
      </c>
      <c r="C91" s="76" t="str">
        <f>IF((IF(OR(SPK!$F$29="SSP Toiture",SPK!$F$29="SSU Toiture"),"Toiture",IF(SPK!$F$29="SSP Placo","TB Placo",IF(SPK!$F$29="SSP Faux plafond","TB Faux plaf",IF(SPK!$F$29="SSP Labo","TB Labo","")))))&lt;&gt;"Toiture","",IF((SPK!$F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F$22+0))*(Catalogue!$F$4:$F$454=(SPK!$F$30+0))*(Catalogue!$G$4:$G$454="TARAUDE"))*ROW(Catalogue!$C$4:$C$454))-3),"")))</f>
        <v/>
      </c>
      <c r="D91" s="78">
        <f>IF((IF(OR(SPK!$F$29="SSP Toiture",SPK!$F$29="SSU Toiture"),"Toiture",IF(SPK!$F$29="SSP Placo","TB Placo",IF(SPK!$F$29="SSP Faux plafond","TB Faux plaf",IF(SPK!$F$29="SSP Labo","TB Labo","")))))&lt;&gt;"Toiture",0,(SPK!$F$26))</f>
        <v>0</v>
      </c>
      <c r="E91" s="76" t="s">
        <v>1034</v>
      </c>
      <c r="F91" s="76" t="str">
        <f t="shared" si="1"/>
        <v/>
      </c>
      <c r="G91" s="76">
        <f>IF(AND(B91&lt;&gt;"",B91&lt;&gt;"Non trouvé - vérifier",D91&lt;&gt;"",D91&lt;&gt;0),IF(COUNTIF($B$2:B91,B91)=1,1,0),0)</f>
        <v>0</v>
      </c>
    </row>
    <row r="92" spans="1:7" x14ac:dyDescent="0.25">
      <c r="A92" s="76" t="s">
        <v>1057</v>
      </c>
      <c r="B92" s="76" t="str">
        <f>IF(AND((IF(OR(SPK!$F$29="SSP Toiture",SPK!$F$29="SSU Toiture"),"Toiture",IF(SPK!$F$29="SSP Placo","TB Placo",IF(SPK!$F$29="SSP Faux plafond","TB Faux plaf",IF(SPK!$F$29="SSP Labo","TB Labo","")))))="Toiture",(SPK!$F$22+0)=25),IFERROR(INDEX(Catalogue!$A$4:$A$454,SUMPRODUCT(((Catalogue!$C$4:$C$454="REDUC")*(Catalogue!$D$4:$D$454="GALVA")*(Catalogue!$E$4:$E$454=(25+0))*(Catalogue!$F$4:$F$454=(SPK!$F$30+0))*(Catalogue!$G$4:$G$454="MF"))*ROW(Catalogue!$C$4:$C$454))-3),"Non trouvé - vérifier"),"")</f>
        <v/>
      </c>
      <c r="C92" s="76" t="str">
        <f>IF(AND((IF(OR(SPK!$F$29="SSP Toiture",SPK!$F$29="SSU Toiture"),"Toiture",IF(SPK!$F$29="SSP Placo","TB Placo",IF(SPK!$F$29="SSP Faux plafond","TB Faux plaf",IF(SPK!$F$29="SSP Labo","TB Labo","")))))="Toiture",(SPK!$F$22+0)=25),IFERROR(INDEX(Catalogue!$B$4:$B$454,SUMPRODUCT(((Catalogue!$C$4:$C$454="REDUC")*(Catalogue!$D$4:$D$454="GALVA")*(Catalogue!$E$4:$E$454=(25+0))*(Catalogue!$F$4:$F$454=(SPK!$F$30+0))*(Catalogue!$G$4:$G$454="MF"))*ROW(Catalogue!$C$4:$C$454))-3),""),"")</f>
        <v/>
      </c>
      <c r="D92" s="76">
        <f>IF(AND((IF(OR(SPK!$F$29="SSP Toiture",SPK!$F$29="SSU Toiture"),"Toiture",IF(SPK!$F$29="SSP Placo","TB Placo",IF(SPK!$F$29="SSP Faux plafond","TB Faux plaf",IF(SPK!$F$29="SSP Labo","TB Labo","")))))="Toiture",(SPK!$F$22+0)=25),(SPK!$F$26),0)</f>
        <v>0</v>
      </c>
      <c r="E92" s="76" t="s">
        <v>1034</v>
      </c>
      <c r="F92" s="76" t="str">
        <f t="shared" si="1"/>
        <v/>
      </c>
      <c r="G92" s="76">
        <f>IF(AND(B92&lt;&gt;"",B92&lt;&gt;"Non trouvé - vérifier",D92&lt;&gt;"",D92&lt;&gt;0),IF(COUNTIF($B$2:B92,B92)=1,1,0),0)</f>
        <v>0</v>
      </c>
    </row>
    <row r="93" spans="1:7" x14ac:dyDescent="0.25">
      <c r="A93" s="76" t="s">
        <v>1058</v>
      </c>
      <c r="B93" s="76" t="str">
        <f>IF((IF(OR(SPK!$F$29="SSP Toiture",SPK!$F$29="SSU Toiture"),"Toiture",IF(SPK!$F$29="SSP Placo","TB Placo",IF(SPK!$F$29="SSP Faux plafond","TB Faux plaf",IF(SPK!$F$29="SSP Labo","TB Labo","")))))&lt;&gt;"TB Placo","",IF((SPK!$F$22+0)=25,IFERROR(INDEX(Catalogue!$A$4:$A$454,SUMPRODUCT(((Catalogue!$C$4:$C$454="TES")*(Catalogue!$D$4:$D$454="GALVA")*(Catalogue!$E$4:$E$454=(25+0))*(Catalogue!$G$4:$G$454="VISSER"))*ROW(Catalogue!$C$4:$C$454))-3),"Non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Non trouvé - vérifier")))</f>
        <v/>
      </c>
      <c r="C93" s="76" t="str">
        <f>IF((IF(OR(SPK!$F$29="SSP Toiture",SPK!$F$29="SSU Toiture"),"Toiture",IF(SPK!$F$29="SSP Placo","TB Placo",IF(SPK!$F$29="SSP Faux plafond","TB Faux plaf",IF(SPK!$F$29="SSP Labo","TB Labo","")))))&lt;&gt;"TB Placo","",IF((SPK!$F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")))</f>
        <v/>
      </c>
      <c r="D93" s="76">
        <f>IF((IF(OR(SPK!$F$29="SSP Toiture",SPK!$F$29="SSU Toiture"),"Toiture",IF(SPK!$F$29="SSP Placo","TB Placo",IF(SPK!$F$29="SSP Faux plafond","TB Faux plaf",IF(SPK!$F$29="SSP Labo","TB Labo","")))))&lt;&gt;"TB Placo",0,(SPK!$F$26))</f>
        <v>0</v>
      </c>
      <c r="E93" s="76" t="s">
        <v>1034</v>
      </c>
      <c r="F93" s="76" t="str">
        <f t="shared" si="1"/>
        <v/>
      </c>
      <c r="G93" s="76">
        <f>IF(AND(B93&lt;&gt;"",B93&lt;&gt;"Non trouvé - vérifier",D93&lt;&gt;"",D93&lt;&gt;0),IF(COUNTIF($B$2:B93,B93)=1,1,0),0)</f>
        <v>0</v>
      </c>
    </row>
    <row r="94" spans="1:7" x14ac:dyDescent="0.25">
      <c r="A94" s="76" t="s">
        <v>1058</v>
      </c>
      <c r="B94" s="76" t="str">
        <f>IF((IF(OR(SPK!$F$29="SSP Toiture",SPK!$F$29="SSU Toiture"),"Toiture",IF(SPK!$F$29="SSP Placo","TB Placo",IF(SPK!$F$29="SSP Faux plafond","TB Faux plaf",IF(SPK!$F$29="SSP Labo","TB Labo","")))))&lt;&gt;"TB Placo","",IFERROR(INDEX(Catalogue!$A$4:$A$454,SUMPRODUCT(((Catalogue!$C$4:$C$454="TUBE")*(Catalogue!$G$4:$G$454&lt;&gt;"SL")*(Catalogue!$D$4:$D$454=IF(SPK!$D$6="X","GALVA",IF(SPK!$F$6="X","NOIR","")))*(Catalogue!$E$4:$E$454=(25+0)))*ROW(Catalogue!$C$4:$C$454))-3),"Non trouvé - vérifier"))</f>
        <v/>
      </c>
      <c r="C94" s="76" t="str">
        <f>IF((IF(OR(SPK!$F$29="SSP Toiture",SPK!$F$29="SSU Toiture"),"Toiture",IF(SPK!$F$29="SSP Placo","TB Placo",IF(SPK!$F$29="SSP Faux plafond","TB Faux plaf",IF(SPK!$F$29="SSP Labo","TB Labo","")))))&lt;&gt;"TB Placo","",IFERROR(INDEX(Catalogue!$B$4:$B$454,SUMPRODUCT(((Catalogue!$C$4:$C$454="TUBE")*(Catalogue!$G$4:$G$454&lt;&gt;"SL")*(Catalogue!$D$4:$D$454=IF(SPK!$D$6="X","GALVA",IF(SPK!$F$6="X","NOIR","")))*(Catalogue!$E$4:$E$454=(25+0)))*ROW(Catalogue!$C$4:$C$454))-3),""))</f>
        <v/>
      </c>
      <c r="D94" s="76">
        <f>CEILING((IF((IF(OR(SPK!$F$29="SSP Toiture",SPK!$F$29="SSU Toiture"),"Toiture",IF(SPK!$F$29="SSP Placo","TB Placo",IF(SPK!$F$29="SSP Faux plafond","TB Faux plaf",IF(SPK!$F$29="SSP Labo","TB Labo","")))))&lt;&gt;"TB Placo",0,1.5*(SPK!$F$26))),6)</f>
        <v>0</v>
      </c>
      <c r="E94" s="76" t="s">
        <v>1033</v>
      </c>
      <c r="F94" s="76" t="str">
        <f t="shared" si="1"/>
        <v/>
      </c>
      <c r="G94" s="76">
        <f>IF(AND(B94&lt;&gt;"",B94&lt;&gt;"Non trouvé - vérifier",D94&lt;&gt;"",D94&lt;&gt;0),IF(COUNTIF($B$2:B94,B94)=1,1,0),0)</f>
        <v>0</v>
      </c>
    </row>
    <row r="95" spans="1:7" x14ac:dyDescent="0.25">
      <c r="A95" s="76" t="s">
        <v>1058</v>
      </c>
      <c r="B95" s="76" t="str">
        <f>IF((IF(OR(SPK!$F$29="SSP Toiture",SPK!$F$29="SSU Toiture"),"Toiture",IF(SPK!$F$29="SSP Placo","TB Placo",IF(SPK!$F$29="SSP Faux plafond","TB Faux plaf",IF(SPK!$F$29="SSP Labo","TB Labo","")))))&lt;&gt;"TB Placo","","COUVI90MFGA025")</f>
        <v/>
      </c>
      <c r="C95" s="76" t="str">
        <f>IF((IF(OR(SPK!$F$29="SSP Toiture",SPK!$F$29="SSU Toiture"),"Toiture",IF(SPK!$F$29="SSP Placo","TB Placo",IF(SPK!$F$29="SSP Faux plafond","TB Faux plaf",IF(SPK!$F$29="SSP Labo","TB Labo","")))))&lt;&gt;"TB Placo","","COUDE 90°VISSER MF GALVA DN25")</f>
        <v/>
      </c>
      <c r="D95" s="76">
        <f>IF((IF(OR(SPK!$F$29="SSP Toiture",SPK!$F$29="SSU Toiture"),"Toiture",IF(SPK!$F$29="SSP Placo","TB Placo",IF(SPK!$F$29="SSP Faux plafond","TB Faux plaf",IF(SPK!$F$29="SSP Labo","TB Labo","")))))&lt;&gt;"TB Placo",0,(SPK!$F$26))</f>
        <v>0</v>
      </c>
      <c r="E95" s="76" t="s">
        <v>1034</v>
      </c>
      <c r="F95" s="76" t="str">
        <f t="shared" si="1"/>
        <v/>
      </c>
      <c r="G95" s="76">
        <f>IF(AND(B95&lt;&gt;"",B95&lt;&gt;"Non trouvé - vérifier",D95&lt;&gt;"",D95&lt;&gt;0),IF(COUNTIF($B$2:B95,B95)=1,1,0),0)</f>
        <v>0</v>
      </c>
    </row>
    <row r="96" spans="1:7" x14ac:dyDescent="0.25">
      <c r="A96" s="76" t="s">
        <v>1058</v>
      </c>
      <c r="B96" s="76" t="str">
        <f>IF((IF(OR(SPK!$F$29="SSP Toiture",SPK!$F$29="SSU Toiture"),"Toiture",IF(SPK!$F$29="SSP Placo","TB Placo",IF(SPK!$F$29="SSP Faux plafond","TB Faux plaf",IF(SPK!$F$29="SSP Labo","TB Labo","")))))&lt;&gt;"TB Placo","","COUVI90FFGA025")</f>
        <v/>
      </c>
      <c r="C96" s="76" t="str">
        <f>IF((IF(OR(SPK!$F$29="SSP Toiture",SPK!$F$29="SSU Toiture"),"Toiture",IF(SPK!$F$29="SSP Placo","TB Placo",IF(SPK!$F$29="SSP Faux plafond","TB Faux plaf",IF(SPK!$F$29="SSP Labo","TB Labo","")))))&lt;&gt;"TB Placo","","COUDE 90°VISSER FF GALVA DN25")</f>
        <v/>
      </c>
      <c r="D96" s="76">
        <f>IF((IF(OR(SPK!$F$29="SSP Toiture",SPK!$F$29="SSU Toiture"),"Toiture",IF(SPK!$F$29="SSP Placo","TB Placo",IF(SPK!$F$29="SSP Faux plafond","TB Faux plaf",IF(SPK!$F$29="SSP Labo","TB Labo","")))))&lt;&gt;"TB Placo",0,(SPK!$F$26))</f>
        <v>0</v>
      </c>
      <c r="E96" s="76" t="s">
        <v>1034</v>
      </c>
      <c r="F96" s="76" t="str">
        <f t="shared" si="1"/>
        <v/>
      </c>
      <c r="G96" s="76">
        <f>IF(AND(B96&lt;&gt;"",B96&lt;&gt;"Non trouvé - vérifier",D96&lt;&gt;"",D96&lt;&gt;0),IF(COUNTIF($B$2:B96,B96)=1,1,0),0)</f>
        <v>0</v>
      </c>
    </row>
    <row r="97" spans="1:7" x14ac:dyDescent="0.25">
      <c r="A97" s="76" t="s">
        <v>1058</v>
      </c>
      <c r="B97" s="76" t="str">
        <f>IF((IF(OR(SPK!$F$29="SSP Toiture",SPK!$F$29="SSU Toiture"),"Toiture",IF(SPK!$F$29="SSP Placo","TB Placo",IF(SPK!$F$29="SSP Faux plafond","TB Faux plaf",IF(SPK!$F$29="SSP Labo","TB Labo","")))))&lt;&gt;"TB Placo","",IF((SPK!$F$30+0)=20,"CHANDELLEDN20","CHANDELLEGRANDEFF"))</f>
        <v/>
      </c>
      <c r="C97" s="76" t="str">
        <f>IF((IF(OR(SPK!$F$29="SSP Toiture",SPK!$F$29="SSU Toiture"),"Toiture",IF(SPK!$F$29="SSP Placo","TB Placo",IF(SPK!$F$29="SSP Faux plafond","TB Faux plaf",IF(SPK!$F$29="SSP Labo","TB Labo","")))))&lt;&gt;"TB Placo","",IF((SPK!$F$30+0)=20,"CHANDELLE REGLABLE MF GRANDE DN25X20","CHANDELLE REGLABLE FF GRANDE DN25X15"))</f>
        <v/>
      </c>
      <c r="D97" s="76">
        <f>IF((IF(OR(SPK!$F$29="SSP Toiture",SPK!$F$29="SSU Toiture"),"Toiture",IF(SPK!$F$29="SSP Placo","TB Placo",IF(SPK!$F$29="SSP Faux plafond","TB Faux plaf",IF(SPK!$F$29="SSP Labo","TB Labo","")))))&lt;&gt;"TB Placo",0,(SPK!$F$26))</f>
        <v>0</v>
      </c>
      <c r="E97" s="76" t="s">
        <v>1034</v>
      </c>
      <c r="F97" s="76" t="str">
        <f t="shared" si="1"/>
        <v/>
      </c>
      <c r="G97" s="76">
        <f>IF(AND(B97&lt;&gt;"",B97&lt;&gt;"Non trouvé - vérifier",D97&lt;&gt;"",D97&lt;&gt;0),IF(COUNTIF($B$2:B97,B97)=1,1,0),0)</f>
        <v>0</v>
      </c>
    </row>
    <row r="98" spans="1:7" x14ac:dyDescent="0.25">
      <c r="A98" s="76" t="s">
        <v>1058</v>
      </c>
      <c r="B98" s="76" t="str">
        <f>IF(OR((IF(OR(SPK!$F$29="SSP Toiture",SPK!$F$29="SSU Toiture"),"Toiture",IF(SPK!$F$29="SSP Placo","TB Placo",IF(SPK!$F$29="SSP Faux plafond","TB Faux plaf",IF(SPK!$F$29="SSP Labo","TB Labo","")))))&lt;&gt;"TB Placo",SPK!$F$31="Bronze"),"",IFERROR(INDEX(Catalogue!$A$4:$A$454,SUMPRODUCT(((Catalogue!$C$4:$C$454="ROSACE2P")*(Catalogue!$D$4:$D$454=IF(SPK!$F$31="Bronze","BRONZE",IF(SPK!$F$31="Chrome","CHROME",IF(SPK!$F$31="Blanche","BLANCHE",IF(SPK!$F$31="Noire","NOIRE","")))))*(Catalogue!$E$4:$E$454=(SPK!$F$30+0)))*ROW(Catalogue!$C$4:$C$454))-3),"Non trouvé - vérifier"))</f>
        <v/>
      </c>
      <c r="C98" s="76" t="str">
        <f>IF(OR((IF(OR(SPK!$F$29="SSP Toiture",SPK!$F$29="SSU Toiture"),"Toiture",IF(SPK!$F$29="SSP Placo","TB Placo",IF(SPK!$F$29="SSP Faux plafond","TB Faux plaf",IF(SPK!$F$29="SSP Labo","TB Labo","")))))&lt;&gt;"TB Placo",SPK!$F$31="Bronze"),"",IFERROR(INDEX(Catalogue!$B$4:$B$454,SUMPRODUCT(((Catalogue!$C$4:$C$454="ROSACE2P")*(Catalogue!$D$4:$D$454=IF(SPK!$F$31="Bronze","BRONZE",IF(SPK!$F$31="Chrome","CHROME",IF(SPK!$F$31="Blanche","BLANCHE",IF(SPK!$F$31="Noire","NOIRE","")))))*(Catalogue!$E$4:$E$454=(SPK!$F$30+0)))*ROW(Catalogue!$C$4:$C$454))-3),""))</f>
        <v/>
      </c>
      <c r="D98" s="76">
        <f>IF(OR((IF(OR(SPK!$F$29="SSP Toiture",SPK!$F$29="SSU Toiture"),"Toiture",IF(SPK!$F$29="SSP Placo","TB Placo",IF(SPK!$F$29="SSP Faux plafond","TB Faux plaf",IF(SPK!$F$29="SSP Labo","TB Labo","")))))&lt;&gt;"TB Placo",SPK!$F$31="Bronze"),0,(SPK!$F$26))</f>
        <v>0</v>
      </c>
      <c r="E98" s="76" t="s">
        <v>1034</v>
      </c>
      <c r="F98" s="76" t="str">
        <f t="shared" si="1"/>
        <v/>
      </c>
      <c r="G98" s="76">
        <f>IF(AND(B98&lt;&gt;"",B98&lt;&gt;"Non trouvé - vérifier",D98&lt;&gt;"",D98&lt;&gt;0),IF(COUNTIF($B$2:B98,B98)=1,1,0),0)</f>
        <v>0</v>
      </c>
    </row>
    <row r="99" spans="1:7" x14ac:dyDescent="0.25">
      <c r="A99" s="76" t="s">
        <v>1059</v>
      </c>
      <c r="B99" s="76" t="str">
        <f>IF((IF(OR(SPK!$F$29="SSP Toiture",SPK!$F$29="SSU Toiture"),"Toiture",IF(SPK!$F$29="SSP Placo","TB Placo",IF(SPK!$F$29="SSP Faux plafond","TB Faux plaf",IF(SPK!$F$29="SSP Labo","TB Labo","")))))&lt;&gt;"TB Faux plaf","",IF((SPK!$F$22+0)=25,IFERROR(INDEX(Catalogue!$A$4:$A$454,SUMPRODUCT(((Catalogue!$C$4:$C$454="TES")*(Catalogue!$D$4:$D$454="GALVA")*(Catalogue!$E$4:$E$454=(25+0))*(Catalogue!$G$4:$G$454="VISSER"))*ROW(Catalogue!$C$4:$C$454))-3),"Non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Non trouvé - vérifier")))</f>
        <v/>
      </c>
      <c r="C99" s="76" t="str">
        <f>IF((IF(OR(SPK!$F$29="SSP Toiture",SPK!$F$29="SSU Toiture"),"Toiture",IF(SPK!$F$29="SSP Placo","TB Placo",IF(SPK!$F$29="SSP Faux plafond","TB Faux plaf",IF(SPK!$F$29="SSP Labo","TB Labo","")))))&lt;&gt;"TB Faux plaf","",IF((SPK!$F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")))</f>
        <v/>
      </c>
      <c r="D99" s="76">
        <f>IF((IF(OR(SPK!$F$29="SSP Toiture",SPK!$F$29="SSU Toiture"),"Toiture",IF(SPK!$F$29="SSP Placo","TB Placo",IF(SPK!$F$29="SSP Faux plafond","TB Faux plaf",IF(SPK!$F$29="SSP Labo","TB Labo","")))))&lt;&gt;"TB Faux plaf",0,(SPK!$F$26))</f>
        <v>0</v>
      </c>
      <c r="E99" s="76" t="s">
        <v>1034</v>
      </c>
      <c r="F99" s="76" t="str">
        <f t="shared" si="1"/>
        <v/>
      </c>
      <c r="G99" s="76">
        <f>IF(AND(B99&lt;&gt;"",B99&lt;&gt;"Non trouvé - vérifier",D99&lt;&gt;"",D99&lt;&gt;0),IF(COUNTIF($B$2:B99,B99)=1,1,0),0)</f>
        <v>0</v>
      </c>
    </row>
    <row r="100" spans="1:7" x14ac:dyDescent="0.25">
      <c r="A100" s="76" t="s">
        <v>1059</v>
      </c>
      <c r="B100" s="76" t="str">
        <f>IF((IF(OR(SPK!$F$29="SSP Toiture",SPK!$F$29="SSU Toiture"),"Toiture",IF(SPK!$F$29="SSP Placo","TB Placo",IF(SPK!$F$29="SSP Faux plafond","TB Faux plaf",IF(SPK!$F$29="SSP Labo","TB Labo","")))))&lt;&gt;"TB Faux plaf","","COUVI90MFGA025")</f>
        <v/>
      </c>
      <c r="C100" s="76" t="str">
        <f>IF((IF(OR(SPK!$F$29="SSP Toiture",SPK!$F$29="SSU Toiture"),"Toiture",IF(SPK!$F$29="SSP Placo","TB Placo",IF(SPK!$F$29="SSP Faux plafond","TB Faux plaf",IF(SPK!$F$29="SSP Labo","TB Labo","")))))&lt;&gt;"TB Faux plaf","","COUDE 90°VISSER MF GALVA DN25")</f>
        <v/>
      </c>
      <c r="D100" s="76">
        <f>IF((IF(OR(SPK!$F$29="SSP Toiture",SPK!$F$29="SSU Toiture"),"Toiture",IF(SPK!$F$29="SSP Placo","TB Placo",IF(SPK!$F$29="SSP Faux plafond","TB Faux plaf",IF(SPK!$F$29="SSP Labo","TB Labo","")))))&lt;&gt;"TB Faux plaf",0,(SPK!$F$26))</f>
        <v>0</v>
      </c>
      <c r="E100" s="76" t="s">
        <v>1034</v>
      </c>
      <c r="F100" s="76" t="str">
        <f t="shared" si="1"/>
        <v/>
      </c>
      <c r="G100" s="76">
        <f>IF(AND(B100&lt;&gt;"",B100&lt;&gt;"Non trouvé - vérifier",D100&lt;&gt;"",D100&lt;&gt;0),IF(COUNTIF($B$2:B100,B100)=1,1,0),0)</f>
        <v>0</v>
      </c>
    </row>
    <row r="101" spans="1:7" x14ac:dyDescent="0.25">
      <c r="A101" s="76" t="s">
        <v>1059</v>
      </c>
      <c r="B101" s="76" t="str">
        <f>IF((IF(OR(SPK!$F$29="SSP Toiture",SPK!$F$29="SSU Toiture"),"Toiture",IF(SPK!$F$29="SSP Placo","TB Placo",IF(SPK!$F$29="SSP Faux plafond","TB Faux plaf",IF(SPK!$F$29="SSP Labo","TB Labo","")))))&lt;&gt;"TB Faux plaf","",IF((SPK!$F$30+0)=15,"FLEXI820MF15251521","FLEXIMF12202027APS"))</f>
        <v/>
      </c>
      <c r="C101" s="76" t="str">
        <f>IF((IF(OR(SPK!$F$29="SSP Toiture",SPK!$F$29="SSU Toiture"),"Toiture",IF(SPK!$F$29="SSP Placo","TB Placo",IF(SPK!$F$29="SSP Faux plafond","TB Faux plaf",IF(SPK!$F$29="SSP Labo","TB Labo","")))))&lt;&gt;"TB Faux plaf","",IF((SPK!$F$30+0)=15," FLEXIBLE MF LG 1540 25/15 APSAD"," FLEXIBLE MF LG 1220 25/20 APSAD"))</f>
        <v/>
      </c>
      <c r="D101" s="76">
        <f>IF((IF(OR(SPK!$F$29="SSP Toiture",SPK!$F$29="SSU Toiture"),"Toiture",IF(SPK!$F$29="SSP Placo","TB Placo",IF(SPK!$F$29="SSP Faux plafond","TB Faux plaf",IF(SPK!$F$29="SSP Labo","TB Labo","")))))&lt;&gt;"TB Faux plaf",0,(SPK!$F$26))</f>
        <v>0</v>
      </c>
      <c r="E101" s="76" t="s">
        <v>1034</v>
      </c>
      <c r="F101" s="76" t="str">
        <f t="shared" si="1"/>
        <v/>
      </c>
      <c r="G101" s="76">
        <f>IF(AND(B101&lt;&gt;"",B101&lt;&gt;"Non trouvé - vérifier",D101&lt;&gt;"",D101&lt;&gt;0),IF(COUNTIF($B$2:B101,B101)=1,1,0),0)</f>
        <v>0</v>
      </c>
    </row>
    <row r="102" spans="1:7" x14ac:dyDescent="0.25">
      <c r="A102" s="76" t="s">
        <v>1059</v>
      </c>
      <c r="B102" s="76" t="str">
        <f>IF(OR((IF(OR(SPK!$F$29="SSP Toiture",SPK!$F$29="SSU Toiture"),"Toiture",IF(SPK!$F$29="SSP Placo","TB Placo",IF(SPK!$F$29="SSP Faux plafond","TB Faux plaf",IF(SPK!$F$29="SSP Labo","TB Labo","")))))&lt;&gt;"TB Faux plaf",SPK!$F$31="Bronze"),"",IFERROR(INDEX(Catalogue!$A$4:$A$454,SUMPRODUCT(((Catalogue!$C$4:$C$454="ROSACE2P")*(Catalogue!$D$4:$D$454=IF(SPK!$F$31="Bronze","BRONZE",IF(SPK!$F$31="Chrome","CHROME",IF(SPK!$F$31="Blanche","BLANCHE",IF(SPK!$F$31="Noire","NOIRE","")))))*(Catalogue!$E$4:$E$454=(SPK!$F$30+0)))*ROW(Catalogue!$C$4:$C$454))-3),"Non trouvé - vérifier"))</f>
        <v/>
      </c>
      <c r="C102" s="76" t="str">
        <f>IF(OR((IF(OR(SPK!$F$29="SSP Toiture",SPK!$F$29="SSU Toiture"),"Toiture",IF(SPK!$F$29="SSP Placo","TB Placo",IF(SPK!$F$29="SSP Faux plafond","TB Faux plaf",IF(SPK!$F$29="SSP Labo","TB Labo","")))))&lt;&gt;"TB Faux plaf",SPK!$F$31="Bronze"),"",IFERROR(INDEX(Catalogue!$B$4:$B$454,SUMPRODUCT(((Catalogue!$C$4:$C$454="ROSACE2P")*(Catalogue!$D$4:$D$454=IF(SPK!$F$31="Bronze","BRONZE",IF(SPK!$F$31="Chrome","CHROME",IF(SPK!$F$31="Blanche","BLANCHE",IF(SPK!$F$31="Noire","NOIRE","")))))*(Catalogue!$E$4:$E$454=(SPK!$F$30+0)))*ROW(Catalogue!$C$4:$C$454))-3),""))</f>
        <v/>
      </c>
      <c r="D102" s="76">
        <f>IF(OR((IF(OR(SPK!$F$29="SSP Toiture",SPK!$F$29="SSU Toiture"),"Toiture",IF(SPK!$F$29="SSP Placo","TB Placo",IF(SPK!$F$29="SSP Faux plafond","TB Faux plaf",IF(SPK!$F$29="SSP Labo","TB Labo","")))))&lt;&gt;"TB Faux plaf",SPK!$F$31="Bronze"),0,(SPK!$F$26))</f>
        <v>0</v>
      </c>
      <c r="E102" s="76" t="s">
        <v>1034</v>
      </c>
      <c r="F102" s="76" t="str">
        <f t="shared" si="1"/>
        <v/>
      </c>
      <c r="G102" s="76">
        <f>IF(AND(B102&lt;&gt;"",B102&lt;&gt;"Non trouvé - vérifier",D102&lt;&gt;"",D102&lt;&gt;0),IF(COUNTIF($B$2:B102,B102)=1,1,0),0)</f>
        <v>0</v>
      </c>
    </row>
    <row r="103" spans="1:7" x14ac:dyDescent="0.25">
      <c r="A103" s="76" t="s">
        <v>1060</v>
      </c>
      <c r="B103" s="76" t="str">
        <f>IF((IF(OR(SPK!$F$29="SSP Toiture",SPK!$F$29="SSU Toiture"),"Toiture",IF(SPK!$F$29="SSP Placo","TB Placo",IF(SPK!$F$29="SSP Faux plafond","TB Faux plaf",IF(SPK!$F$29="SSP Labo","TB Labo","")))))&lt;&gt;"TB Labo","",IF((SPK!$F$22+0)=25,IFERROR(INDEX(Catalogue!$A$4:$A$454,SUMPRODUCT(((Catalogue!$C$4:$C$454="TES")*(Catalogue!$D$4:$D$454="GALVA")*(Catalogue!$E$4:$E$454=(25+0))*(Catalogue!$G$4:$G$454="VISSER"))*ROW(Catalogue!$C$4:$C$454))-3),"Non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Non trouvé - vérifier")))</f>
        <v/>
      </c>
      <c r="C103" s="76" t="str">
        <f>IF((IF(OR(SPK!$F$29="SSP Toiture",SPK!$F$29="SSU Toiture"),"Toiture",IF(SPK!$F$29="SSP Placo","TB Placo",IF(SPK!$F$29="SSP Faux plafond","TB Faux plaf",IF(SPK!$F$29="SSP Labo","TB Labo","")))))&lt;&gt;"TB Labo","",IF((SPK!$F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F$22+0))*(Catalogue!$F$4:$F$454=(25+0))*(Catalogue!$G$4:$G$454="TARAUDE"))*ROW(Catalogue!$C$4:$C$454))-3),"")))</f>
        <v/>
      </c>
      <c r="D103" s="76">
        <f>IF((IF(OR(SPK!$F$29="SSP Toiture",SPK!$F$29="SSU Toiture"),"Toiture",IF(SPK!$F$29="SSP Placo","TB Placo",IF(SPK!$F$29="SSP Faux plafond","TB Faux plaf",IF(SPK!$F$29="SSP Labo","TB Labo","")))))&lt;&gt;"TB Labo",0,(SPK!$F$26))</f>
        <v>0</v>
      </c>
      <c r="E103" s="76" t="s">
        <v>1034</v>
      </c>
      <c r="F103" s="76" t="str">
        <f t="shared" si="1"/>
        <v/>
      </c>
      <c r="G103" s="76">
        <f>IF(AND(B103&lt;&gt;"",B103&lt;&gt;"Non trouvé - vérifier",D103&lt;&gt;"",D103&lt;&gt;0),IF(COUNTIF($B$2:B103,B103)=1,1,0),0)</f>
        <v>0</v>
      </c>
    </row>
    <row r="104" spans="1:7" x14ac:dyDescent="0.25">
      <c r="A104" s="76" t="s">
        <v>1060</v>
      </c>
      <c r="B104" s="76" t="str">
        <f>IF((IF(OR(SPK!$F$29="SSP Toiture",SPK!$F$29="SSU Toiture"),"Toiture",IF(SPK!$F$29="SSP Placo","TB Placo",IF(SPK!$F$29="SSP Faux plafond","TB Faux plaf",IF(SPK!$F$29="SSP Labo","TB Labo","")))))&lt;&gt;"TB Labo","","COUVI90MFGA025")</f>
        <v/>
      </c>
      <c r="C104" s="76" t="str">
        <f>IF((IF(OR(SPK!$F$29="SSP Toiture",SPK!$F$29="SSU Toiture"),"Toiture",IF(SPK!$F$29="SSP Placo","TB Placo",IF(SPK!$F$29="SSP Faux plafond","TB Faux plaf",IF(SPK!$F$29="SSP Labo","TB Labo","")))))&lt;&gt;"TB Labo","","COUDE 90°VISSER MF GALVA DN25")</f>
        <v/>
      </c>
      <c r="D104" s="76">
        <f>IF((IF(OR(SPK!$F$29="SSP Toiture",SPK!$F$29="SSU Toiture"),"Toiture",IF(SPK!$F$29="SSP Placo","TB Placo",IF(SPK!$F$29="SSP Faux plafond","TB Faux plaf",IF(SPK!$F$29="SSP Labo","TB Labo","")))))&lt;&gt;"TB Labo",0,(SPK!$F$26))</f>
        <v>0</v>
      </c>
      <c r="E104" s="76" t="s">
        <v>1034</v>
      </c>
      <c r="F104" s="76" t="str">
        <f t="shared" si="1"/>
        <v/>
      </c>
      <c r="G104" s="76">
        <f>IF(AND(B104&lt;&gt;"",B104&lt;&gt;"Non trouvé - vérifier",D104&lt;&gt;"",D104&lt;&gt;0),IF(COUNTIF($B$2:B104,B104)=1,1,0),0)</f>
        <v>0</v>
      </c>
    </row>
    <row r="105" spans="1:7" x14ac:dyDescent="0.25">
      <c r="A105" s="76" t="s">
        <v>1060</v>
      </c>
      <c r="B105" s="76" t="str">
        <f>IF((IF(OR(SPK!$F$29="SSP Toiture",SPK!$F$29="SSU Toiture"),"Toiture",IF(SPK!$F$29="SSP Placo","TB Placo",IF(SPK!$F$29="SSP Faux plafond","TB Faux plaf",IF(SPK!$F$29="SSP Labo","TB Labo","")))))&lt;&gt;"TB Labo","",IF((SPK!$F$30+0)=15,"FLEXKITLABO1220","Non disponible en DN20 - vérifier"))</f>
        <v/>
      </c>
      <c r="C105" s="76" t="str">
        <f>IF((IF(OR(SPK!$F$29="SSP Toiture",SPK!$F$29="SSU Toiture"),"Toiture",IF(SPK!$F$29="SSP Placo","TB Placo",IF(SPK!$F$29="SSP Faux plafond","TB Faux plaf",IF(SPK!$F$29="SSP Labo","TB Labo","")))))&lt;&gt;"TB Labo","",IF((SPK!$F$30+0)=15,"KIT FLEXIBLE LABO LG 1220 DN15 APSAD",""))</f>
        <v/>
      </c>
      <c r="D105" s="76">
        <f>IF((IF(OR(SPK!$F$29="SSP Toiture",SPK!$F$29="SSU Toiture"),"Toiture",IF(SPK!$F$29="SSP Placo","TB Placo",IF(SPK!$F$29="SSP Faux plafond","TB Faux plaf",IF(SPK!$F$29="SSP Labo","TB Labo","")))))&lt;&gt;"TB Labo",0,(SPK!$F$26))</f>
        <v>0</v>
      </c>
      <c r="E105" s="76" t="s">
        <v>1034</v>
      </c>
      <c r="F105" s="76" t="str">
        <f t="shared" si="1"/>
        <v/>
      </c>
      <c r="G105" s="76">
        <f>IF(AND(B105&lt;&gt;"",B105&lt;&gt;"Non trouvé - vérifier",D105&lt;&gt;"",D105&lt;&gt;0),IF(COUNTIF($B$2:B105,B105)=1,1,0),0)</f>
        <v>0</v>
      </c>
    </row>
    <row r="106" spans="1:7" x14ac:dyDescent="0.25">
      <c r="A106" s="76" t="s">
        <v>1060</v>
      </c>
      <c r="B106" s="76" t="str">
        <f>IF(OR((IF(OR(SPK!$F$29="SSP Toiture",SPK!$F$29="SSU Toiture"),"Toiture",IF(SPK!$F$29="SSP Placo","TB Placo",IF(SPK!$F$29="SSP Faux plafond","TB Faux plaf",IF(SPK!$F$29="SSP Labo","TB Labo","")))))&lt;&gt;"TB Labo",SPK!$F$31="Bronze"),"",IFERROR(INDEX(Catalogue!$A$4:$A$454,SUMPRODUCT(((Catalogue!$C$4:$C$454="ROSACE1P")*(Catalogue!$D$4:$D$454=IF(SPK!$F$31="Bronze","BRONZE",IF(SPK!$F$31="Chrome","CHROME",IF(SPK!$F$31="Blanche","BLANCHE",IF(SPK!$F$31="Noire","NOIRE","")))))*(Catalogue!$E$4:$E$454=(SPK!$F$30+0)))*ROW(Catalogue!$C$4:$C$454))-3),"Non trouvé - vérifier"))</f>
        <v/>
      </c>
      <c r="C106" s="76" t="str">
        <f>IF(OR((IF(OR(SPK!$F$29="SSP Toiture",SPK!$F$29="SSU Toiture"),"Toiture",IF(SPK!$F$29="SSP Placo","TB Placo",IF(SPK!$F$29="SSP Faux plafond","TB Faux plaf",IF(SPK!$F$29="SSP Labo","TB Labo","")))))&lt;&gt;"TB Labo",SPK!$F$31="Bronze"),"",IFERROR(INDEX(Catalogue!$B$4:$B$454,SUMPRODUCT(((Catalogue!$C$4:$C$454="ROSACE1P")*(Catalogue!$D$4:$D$454=IF(SPK!$F$31="Bronze","BRONZE",IF(SPK!$F$31="Chrome","CHROME",IF(SPK!$F$31="Blanche","BLANCHE",IF(SPK!$F$31="Noire","NOIRE","")))))*(Catalogue!$E$4:$E$454=(SPK!$F$30+0)))*ROW(Catalogue!$C$4:$C$454))-3),""))</f>
        <v/>
      </c>
      <c r="D106" s="76">
        <f>IF(OR((IF(OR(SPK!$F$29="SSP Toiture",SPK!$F$29="SSU Toiture"),"Toiture",IF(SPK!$F$29="SSP Placo","TB Placo",IF(SPK!$F$29="SSP Faux plafond","TB Faux plaf",IF(SPK!$F$29="SSP Labo","TB Labo","")))))&lt;&gt;"TB Labo",SPK!$F$31="Bronze"),0,(SPK!$F$26))</f>
        <v>0</v>
      </c>
      <c r="E106" s="76" t="s">
        <v>1034</v>
      </c>
      <c r="F106" s="76" t="str">
        <f t="shared" si="1"/>
        <v/>
      </c>
      <c r="G106" s="76">
        <f>IF(AND(B106&lt;&gt;"",B106&lt;&gt;"Non trouvé - vérifier",D106&lt;&gt;"",D106&lt;&gt;0),IF(COUNTIF($B$2:B106,B106)=1,1,0),0)</f>
        <v>0</v>
      </c>
    </row>
    <row r="107" spans="1:7" x14ac:dyDescent="0.25">
      <c r="A107" s="76" t="s">
        <v>1061</v>
      </c>
      <c r="B107" s="76" t="str">
        <f>IFERROR(INDEX(Catalogue!$A$4:$A$454,SUMPRODUCT(((Catalogue!$C$4:$C$454="TETE")*(Catalogue!$D$4:$D$454=IF(SPK!$F$31="Bronze","BRONZE",IF(SPK!$F$31="Chrome","CHROME",IF(SPK!$F$31="Blanche","BLANCHE",IF(SPK!$F$31="Noire","NOIRE","")))))*(Catalogue!$E$4:$E$454=(SPK!$F$30+0))*(Catalogue!$G$4:$G$454=(IF(SPK!$F$29="SSU Toiture","SSU",IF(OR(SPK!$F$29="SSP Toiture",SPK!$F$29="SSP Placo",SPK!$F$29="SSP Faux plafond",SPK!$F$29="SSP Labo"),"SSP",""))))*(Catalogue!$H$4:$H$454=(SPK!$F$32+0))*(Catalogue!$I$4:$I$454=(SPK!$F$33+0))*(Catalogue!$J$4:$J$454=IF(SPK!$F$34="Rapide","RAPIDE",IF(SPK!$F$34="Standard","STANDARD",""))))*ROW(Catalogue!$C$4:$C$454))-3),"Non trouvé - vérifier")</f>
        <v>Non trouvé - vérifier</v>
      </c>
      <c r="C107" s="76" t="str">
        <f>IFERROR(INDEX(Catalogue!$B$4:$B$454,SUMPRODUCT(((Catalogue!$C$4:$C$454="TETE")*(Catalogue!$D$4:$D$454=IF(SPK!$F$31="Bronze","BRONZE",IF(SPK!$F$31="Chrome","CHROME",IF(SPK!$F$31="Blanche","BLANCHE",IF(SPK!$F$31="Noire","NOIRE","")))))*(Catalogue!$E$4:$E$454=(SPK!$F$30+0))*(Catalogue!$G$4:$G$454=(IF(SPK!$F$29="SSU Toiture","SSU",IF(OR(SPK!$F$29="SSP Toiture",SPK!$F$29="SSP Placo",SPK!$F$29="SSP Faux plafond",SPK!$F$29="SSP Labo"),"SSP",""))))*(Catalogue!$H$4:$H$454=(SPK!$F$32+0))*(Catalogue!$I$4:$I$454=(SPK!$F$33+0))*(Catalogue!$J$4:$J$454=IF(SPK!$F$34="Rapide","RAPIDE",IF(SPK!$F$34="Standard","STANDARD",""))))*ROW(Catalogue!$C$4:$C$454))-3),"")</f>
        <v/>
      </c>
      <c r="D107" s="78">
        <f>(SPK!$F$26)</f>
        <v>0</v>
      </c>
      <c r="E107" s="76" t="s">
        <v>1034</v>
      </c>
      <c r="F107" s="76" t="str">
        <f t="shared" si="1"/>
        <v/>
      </c>
      <c r="G107" s="76">
        <f>IF(AND(B107&lt;&gt;"",B107&lt;&gt;"Non trouvé - vérifier",D107&lt;&gt;"",D107&lt;&gt;0),IF(COUNTIF($B$2:B107,B107)=1,1,0),0)</f>
        <v>0</v>
      </c>
    </row>
    <row r="108" spans="1:7" x14ac:dyDescent="0.25">
      <c r="A108" s="76" t="s">
        <v>1062</v>
      </c>
      <c r="B108" s="76" t="str">
        <f>IF((IFERROR(INDEX(Supports!$C$4:$C$23,MATCH(SPK!$F$35,Supports!$B$4:$B$23,0)),""))="","",IF(IFERROR(INDEX(Supports!$C$4:$C$23,MATCH(SPK!$F$35,Supports!$B$4:$B$23,0)),"")="ETRIER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vérifier"),IF(IFERROR(INDEX(Supports!$C$4:$C$23,MATCH(SPK!$F$35,Supports!$B$4:$B$23,0)),"")="COLLIER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vérifier"),IF(IFERROR(INDEX(Supports!$C$4:$C$23,MATCH(SPK!$F$35,Supports!$B$4:$B$23,0)),"")="COLLIER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vérifier"),IFERROR(INDEX(Catalogue!$A$4:$A$454,MATCH(IFERROR(INDEX(Supports!$C$4:$C$23,MATCH(SPK!$F$35,Supports!$B$4:$B$23,0)),""),Catalogue!$B$4:$B$454,0)),"")))))</f>
        <v/>
      </c>
      <c r="C108" s="76" t="str">
        <f>IF((IFERROR(INDEX(Supports!$C$4:$C$23,MATCH(SPK!$F$35,Supports!$B$4:$B$23,0)),""))="","",IF(IFERROR(INDEX(Supports!$C$4:$C$23,MATCH(SPK!$F$35,Supports!$B$4:$B$23,0)),"")="ETRIER RALLONGE (DN automatique = DN du tube)",IFERROR(INDEX(Catalogue!$B$4:$B$454,SUMPRODUCT(((Catalogue!$C$4:$C$454="ETRIER")*(Catalogue!$E$4:$E$454=(SPK!$F$22+0)))*ROW(Catalogue!$C$4:$C$454))-3),""),IF(IFERROR(INDEX(Supports!$C$4:$C$23,MATCH(SPK!$F$35,Supports!$B$4:$B$23,0)),"")="COLLIER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tube)",IFERROR(INDEX(Catalogue!$B$4:$B$454,SUMPRODUCT(((Catalogue!$C$4:$C$454="COLLIERINDUS")*(Catalogue!$E$4:$E$454=(SPK!$F$22+0)))*ROW(Catalogue!$C$4:$C$454))-3),""),IF(IFERROR(INDEX(Supports!$C$4:$C$23,MATCH(SPK!$F$35,Supports!$B$4:$B$23,0)),"")="COLLIER POIRE (DN automatique = DN du tube)",IFERROR(INDEX(Catalogue!$B$4:$B$454,SUMPRODUCT(((Catalogue!$C$4:$C$454="COLLIERPOIRE")*(Catalogue!$E$4:$E$454=(SPK!$F$22+0)))*ROW(Catalogue!$C$4:$C$454))-3),""),IFERROR(INDEX(Supports!$C$4:$C$23,MATCH(SPK!$F$35,Supports!$B$4:$B$23,0)),"")))))</f>
        <v/>
      </c>
      <c r="D108" s="76" t="str">
        <f>IF((IFERROR(INDEX(Supports!$C$4:$C$23,MATCH(SPK!$F$35,Supports!$B$4:$B$23,0)),""))="","",(IFERROR(INDEX(Supports!$D$4:$D$23,MATCH(SPK!$F$35,Supports!$B$4:$B$23,0)),0))*SPK!$F$36)</f>
        <v/>
      </c>
      <c r="E108" s="76" t="s">
        <v>1036</v>
      </c>
      <c r="F108" s="76" t="str">
        <f t="shared" si="1"/>
        <v/>
      </c>
      <c r="G108" s="76">
        <f>IF(AND(B108&lt;&gt;"",B108&lt;&gt;"Non trouvé - vérifier",D108&lt;&gt;"",D108&lt;&gt;0),IF(COUNTIF($B$2:B108,B108)=1,1,0),0)</f>
        <v>0</v>
      </c>
    </row>
    <row r="109" spans="1:7" x14ac:dyDescent="0.25">
      <c r="A109" s="76" t="s">
        <v>1062</v>
      </c>
      <c r="B109" s="76" t="str">
        <f>IF((IFERROR(INDEX(Supports!$E$4:$E$23,MATCH(SPK!$F$35,Supports!$B$4:$B$23,0)),""))="","",IF(IFERROR(INDEX(Supports!$E$4:$E$23,MATCH(SPK!$F$35,Supports!$B$4:$B$23,0)),"")="ETRIER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vérifier"),IF(IFERROR(INDEX(Supports!$E$4:$E$23,MATCH(SPK!$F$35,Supports!$B$4:$B$23,0)),"")="COLLIER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vérifier"),IF(IFERROR(INDEX(Supports!$E$4:$E$23,MATCH(SPK!$F$35,Supports!$B$4:$B$23,0)),"")="COLLIER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vérifier"),IFERROR(INDEX(Catalogue!$A$4:$A$454,MATCH(IFERROR(INDEX(Supports!$E$4:$E$23,MATCH(SPK!$F$35,Supports!$B$4:$B$23,0)),""),Catalogue!$B$4:$B$454,0)),"")))))</f>
        <v/>
      </c>
      <c r="C109" s="76" t="str">
        <f>IF((IFERROR(INDEX(Supports!$E$4:$E$23,MATCH(SPK!$F$35,Supports!$B$4:$B$23,0)),""))="","",IF(IFERROR(INDEX(Supports!$E$4:$E$23,MATCH(SPK!$F$35,Supports!$B$4:$B$23,0)),"")="ETRIER RALLONGE (DN automatique = DN du tube)",IFERROR(INDEX(Catalogue!$B$4:$B$454,SUMPRODUCT(((Catalogue!$C$4:$C$454="ETRIER")*(Catalogue!$E$4:$E$454=(SPK!$F$22+0)))*ROW(Catalogue!$C$4:$C$454))-3),""),IF(IFERROR(INDEX(Supports!$E$4:$E$23,MATCH(SPK!$F$35,Supports!$B$4:$B$23,0)),"")="COLLIER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tube)",IFERROR(INDEX(Catalogue!$B$4:$B$454,SUMPRODUCT(((Catalogue!$C$4:$C$454="COLLIERINDUS")*(Catalogue!$E$4:$E$454=(SPK!$F$22+0)))*ROW(Catalogue!$C$4:$C$454))-3),""),IF(IFERROR(INDEX(Supports!$E$4:$E$23,MATCH(SPK!$F$35,Supports!$B$4:$B$23,0)),"")="COLLIER POIRE (DN automatique = DN du tube)",IFERROR(INDEX(Catalogue!$B$4:$B$454,SUMPRODUCT(((Catalogue!$C$4:$C$454="COLLIERPOIRE")*(Catalogue!$E$4:$E$454=(SPK!$F$22+0)))*ROW(Catalogue!$C$4:$C$454))-3),""),IFERROR(INDEX(Supports!$E$4:$E$23,MATCH(SPK!$F$35,Supports!$B$4:$B$23,0)),"")))))</f>
        <v/>
      </c>
      <c r="D109" s="76" t="str">
        <f>IF((IFERROR(INDEX(Supports!$E$4:$E$23,MATCH(SPK!$F$35,Supports!$B$4:$B$23,0)),""))="","",(IFERROR(INDEX(Supports!$F$4:$F$23,MATCH(SPK!$F$35,Supports!$B$4:$B$23,0)),0))*SPK!$F$36)</f>
        <v/>
      </c>
      <c r="E109" s="76" t="s">
        <v>1036</v>
      </c>
      <c r="F109" s="76" t="str">
        <f t="shared" si="1"/>
        <v/>
      </c>
      <c r="G109" s="76">
        <f>IF(AND(B109&lt;&gt;"",B109&lt;&gt;"Non trouvé - vérifier",D109&lt;&gt;"",D109&lt;&gt;0),IF(COUNTIF($B$2:B109,B109)=1,1,0),0)</f>
        <v>0</v>
      </c>
    </row>
    <row r="110" spans="1:7" x14ac:dyDescent="0.25">
      <c r="A110" s="76" t="s">
        <v>1062</v>
      </c>
      <c r="B110" s="76" t="str">
        <f>IF((IFERROR(INDEX(Supports!$G$4:$G$23,MATCH(SPK!$F$35,Supports!$B$4:$B$23,0)),""))="","",IF(IFERROR(INDEX(Supports!$G$4:$G$23,MATCH(SPK!$F$35,Supports!$B$4:$B$23,0)),"")="ETRIER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vérifier"),IF(IFERROR(INDEX(Supports!$G$4:$G$23,MATCH(SPK!$F$35,Supports!$B$4:$B$23,0)),"")="COLLIER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vérifier"),IF(IFERROR(INDEX(Supports!$G$4:$G$23,MATCH(SPK!$F$35,Supports!$B$4:$B$23,0)),"")="COLLIER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vérifier"),IFERROR(INDEX(Catalogue!$A$4:$A$454,MATCH(IFERROR(INDEX(Supports!$G$4:$G$23,MATCH(SPK!$F$35,Supports!$B$4:$B$23,0)),""),Catalogue!$B$4:$B$454,0)),"")))))</f>
        <v/>
      </c>
      <c r="C110" s="76" t="str">
        <f>IF((IFERROR(INDEX(Supports!$G$4:$G$23,MATCH(SPK!$F$35,Supports!$B$4:$B$23,0)),""))="","",IF(IFERROR(INDEX(Supports!$G$4:$G$23,MATCH(SPK!$F$35,Supports!$B$4:$B$23,0)),"")="ETRIER RALLONGE (DN automatique = DN du tube)",IFERROR(INDEX(Catalogue!$B$4:$B$454,SUMPRODUCT(((Catalogue!$C$4:$C$454="ETRIER")*(Catalogue!$E$4:$E$454=(SPK!$F$22+0)))*ROW(Catalogue!$C$4:$C$454))-3),""),IF(IFERROR(INDEX(Supports!$G$4:$G$23,MATCH(SPK!$F$35,Supports!$B$4:$B$23,0)),"")="COLLIER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tube)",IFERROR(INDEX(Catalogue!$B$4:$B$454,SUMPRODUCT(((Catalogue!$C$4:$C$454="COLLIERINDUS")*(Catalogue!$E$4:$E$454=(SPK!$F$22+0)))*ROW(Catalogue!$C$4:$C$454))-3),""),IF(IFERROR(INDEX(Supports!$G$4:$G$23,MATCH(SPK!$F$35,Supports!$B$4:$B$23,0)),"")="COLLIER POIRE (DN automatique = DN du tube)",IFERROR(INDEX(Catalogue!$B$4:$B$454,SUMPRODUCT(((Catalogue!$C$4:$C$454="COLLIERPOIRE")*(Catalogue!$E$4:$E$454=(SPK!$F$22+0)))*ROW(Catalogue!$C$4:$C$454))-3),""),IFERROR(INDEX(Supports!$G$4:$G$23,MATCH(SPK!$F$35,Supports!$B$4:$B$23,0)),"")))))</f>
        <v/>
      </c>
      <c r="D110" s="76" t="str">
        <f>IF((IFERROR(INDEX(Supports!$G$4:$G$23,MATCH(SPK!$F$35,Supports!$B$4:$B$23,0)),""))="","",(IFERROR(INDEX(Supports!$H$4:$H$23,MATCH(SPK!$F$35,Supports!$B$4:$B$23,0)),0))*SPK!$F$36)</f>
        <v/>
      </c>
      <c r="E110" s="76" t="s">
        <v>1036</v>
      </c>
      <c r="F110" s="76" t="str">
        <f t="shared" si="1"/>
        <v/>
      </c>
      <c r="G110" s="76">
        <f>IF(AND(B110&lt;&gt;"",B110&lt;&gt;"Non trouvé - vérifier",D110&lt;&gt;"",D110&lt;&gt;0),IF(COUNTIF($B$2:B110,B110)=1,1,0),0)</f>
        <v>0</v>
      </c>
    </row>
    <row r="111" spans="1:7" x14ac:dyDescent="0.25">
      <c r="A111" s="76" t="s">
        <v>1062</v>
      </c>
      <c r="B111" s="76" t="str">
        <f>IF((IFERROR(INDEX(Supports!$I$4:$I$23,MATCH(SPK!$F$35,Supports!$B$4:$B$23,0)),""))="","",IF(IFERROR(INDEX(Supports!$I$4:$I$23,MATCH(SPK!$F$35,Supports!$B$4:$B$23,0)),"")="ETRIER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vérifier"),IF(IFERROR(INDEX(Supports!$I$4:$I$23,MATCH(SPK!$F$35,Supports!$B$4:$B$23,0)),"")="COLLIER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vérifier"),IF(IFERROR(INDEX(Supports!$I$4:$I$23,MATCH(SPK!$F$35,Supports!$B$4:$B$23,0)),"")="COLLIER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vérifier"),IFERROR(INDEX(Catalogue!$A$4:$A$454,MATCH(IFERROR(INDEX(Supports!$I$4:$I$23,MATCH(SPK!$F$35,Supports!$B$4:$B$23,0)),""),Catalogue!$B$4:$B$454,0)),"")))))</f>
        <v/>
      </c>
      <c r="C111" s="76" t="str">
        <f>IF((IFERROR(INDEX(Supports!$I$4:$I$23,MATCH(SPK!$F$35,Supports!$B$4:$B$23,0)),""))="","",IF(IFERROR(INDEX(Supports!$I$4:$I$23,MATCH(SPK!$F$35,Supports!$B$4:$B$23,0)),"")="ETRIER RALLONGE (DN automatique = DN du tube)",IFERROR(INDEX(Catalogue!$B$4:$B$454,SUMPRODUCT(((Catalogue!$C$4:$C$454="ETRIER")*(Catalogue!$E$4:$E$454=(SPK!$F$22+0)))*ROW(Catalogue!$C$4:$C$454))-3),""),IF(IFERROR(INDEX(Supports!$I$4:$I$23,MATCH(SPK!$F$35,Supports!$B$4:$B$23,0)),"")="COLLIER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tube)",IFERROR(INDEX(Catalogue!$B$4:$B$454,SUMPRODUCT(((Catalogue!$C$4:$C$454="COLLIERINDUS")*(Catalogue!$E$4:$E$454=(SPK!$F$22+0)))*ROW(Catalogue!$C$4:$C$454))-3),""),IF(IFERROR(INDEX(Supports!$I$4:$I$23,MATCH(SPK!$F$35,Supports!$B$4:$B$23,0)),"")="COLLIER POIRE (DN automatique = DN du tube)",IFERROR(INDEX(Catalogue!$B$4:$B$454,SUMPRODUCT(((Catalogue!$C$4:$C$454="COLLIERPOIRE")*(Catalogue!$E$4:$E$454=(SPK!$F$22+0)))*ROW(Catalogue!$C$4:$C$454))-3),""),IFERROR(INDEX(Supports!$I$4:$I$23,MATCH(SPK!$F$35,Supports!$B$4:$B$23,0)),"")))))</f>
        <v/>
      </c>
      <c r="D111" s="76" t="str">
        <f>IF((IFERROR(INDEX(Supports!$I$4:$I$23,MATCH(SPK!$F$35,Supports!$B$4:$B$23,0)),""))="","",(IFERROR(INDEX(Supports!$J$4:$J$23,MATCH(SPK!$F$35,Supports!$B$4:$B$23,0)),0))*SPK!$F$36)</f>
        <v/>
      </c>
      <c r="E111" s="76" t="s">
        <v>1036</v>
      </c>
      <c r="F111" s="76" t="str">
        <f t="shared" si="1"/>
        <v/>
      </c>
      <c r="G111" s="76">
        <f>IF(AND(B111&lt;&gt;"",B111&lt;&gt;"Non trouvé - vérifier",D111&lt;&gt;"",D111&lt;&gt;0),IF(COUNTIF($B$2:B111,B111)=1,1,0),0)</f>
        <v>0</v>
      </c>
    </row>
    <row r="112" spans="1:7" x14ac:dyDescent="0.25">
      <c r="A112" s="76" t="s">
        <v>1062</v>
      </c>
      <c r="B112" s="76" t="str">
        <f>IF((IFERROR(INDEX(Supports!$K$4:$K$23,MATCH(SPK!$F$35,Supports!$B$4:$B$23,0)),""))="","",IF(IFERROR(INDEX(Supports!$K$4:$K$23,MATCH(SPK!$F$35,Supports!$B$4:$B$23,0)),"")="ETRIER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vérifier"),IF(IFERROR(INDEX(Supports!$K$4:$K$23,MATCH(SPK!$F$35,Supports!$B$4:$B$23,0)),"")="COLLIER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vérifier"),IF(IFERROR(INDEX(Supports!$K$4:$K$23,MATCH(SPK!$F$35,Supports!$B$4:$B$23,0)),"")="COLLIER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vérifier"),IFERROR(INDEX(Catalogue!$A$4:$A$454,MATCH(IFERROR(INDEX(Supports!$K$4:$K$23,MATCH(SPK!$F$35,Supports!$B$4:$B$23,0)),""),Catalogue!$B$4:$B$454,0)),"")))))</f>
        <v/>
      </c>
      <c r="C112" s="76" t="str">
        <f>IF((IFERROR(INDEX(Supports!$K$4:$K$23,MATCH(SPK!$F$35,Supports!$B$4:$B$23,0)),""))="","",IF(IFERROR(INDEX(Supports!$K$4:$K$23,MATCH(SPK!$F$35,Supports!$B$4:$B$23,0)),"")="ETRIER RALLONGE (DN automatique = DN du tube)",IFERROR(INDEX(Catalogue!$B$4:$B$454,SUMPRODUCT(((Catalogue!$C$4:$C$454="ETRIER")*(Catalogue!$E$4:$E$454=(SPK!$F$22+0)))*ROW(Catalogue!$C$4:$C$454))-3),""),IF(IFERROR(INDEX(Supports!$K$4:$K$23,MATCH(SPK!$F$35,Supports!$B$4:$B$23,0)),"")="COLLIER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tube)",IFERROR(INDEX(Catalogue!$B$4:$B$454,SUMPRODUCT(((Catalogue!$C$4:$C$454="COLLIERINDUS")*(Catalogue!$E$4:$E$454=(SPK!$F$22+0)))*ROW(Catalogue!$C$4:$C$454))-3),""),IF(IFERROR(INDEX(Supports!$K$4:$K$23,MATCH(SPK!$F$35,Supports!$B$4:$B$23,0)),"")="COLLIER POIRE (DN automatique = DN du tube)",IFERROR(INDEX(Catalogue!$B$4:$B$454,SUMPRODUCT(((Catalogue!$C$4:$C$454="COLLIERPOIRE")*(Catalogue!$E$4:$E$454=(SPK!$F$22+0)))*ROW(Catalogue!$C$4:$C$454))-3),""),IFERROR(INDEX(Supports!$K$4:$K$23,MATCH(SPK!$F$35,Supports!$B$4:$B$23,0)),"")))))</f>
        <v/>
      </c>
      <c r="D112" s="76" t="str">
        <f>IF((IFERROR(INDEX(Supports!$K$4:$K$23,MATCH(SPK!$F$35,Supports!$B$4:$B$23,0)),""))="","",(IFERROR(INDEX(Supports!$L$4:$L$23,MATCH(SPK!$F$35,Supports!$B$4:$B$23,0)),0))*SPK!$F$36)</f>
        <v/>
      </c>
      <c r="E112" s="76" t="s">
        <v>1036</v>
      </c>
      <c r="F112" s="76" t="str">
        <f t="shared" si="1"/>
        <v/>
      </c>
      <c r="G112" s="76">
        <f>IF(AND(B112&lt;&gt;"",B112&lt;&gt;"Non trouvé - vérifier",D112&lt;&gt;"",D112&lt;&gt;0),IF(COUNTIF($B$2:B112,B112)=1,1,0),0)</f>
        <v>0</v>
      </c>
    </row>
    <row r="113" spans="1:7" x14ac:dyDescent="0.25">
      <c r="A113" s="76" t="s">
        <v>1062</v>
      </c>
      <c r="B113" s="76" t="str">
        <f>IF((IFERROR(INDEX(Supports!$M$4:$M$23,MATCH(SPK!$F$35,Supports!$B$4:$B$23,0)),""))="","",IF(IFERROR(INDEX(Supports!$M$4:$M$23,MATCH(SPK!$F$35,Supports!$B$4:$B$23,0)),"")="ETRIER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vérifier"),IF(IFERROR(INDEX(Supports!$M$4:$M$23,MATCH(SPK!$F$35,Supports!$B$4:$B$23,0)),"")="COLLIER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vérifier"),IF(IFERROR(INDEX(Supports!$M$4:$M$23,MATCH(SPK!$F$35,Supports!$B$4:$B$23,0)),"")="COLLIER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vérifier"),IFERROR(INDEX(Catalogue!$A$4:$A$454,MATCH(IFERROR(INDEX(Supports!$M$4:$M$23,MATCH(SPK!$F$35,Supports!$B$4:$B$23,0)),""),Catalogue!$B$4:$B$454,0)),"")))))</f>
        <v/>
      </c>
      <c r="C113" s="76" t="str">
        <f>IF((IFERROR(INDEX(Supports!$M$4:$M$23,MATCH(SPK!$F$35,Supports!$B$4:$B$23,0)),""))="","",IF(IFERROR(INDEX(Supports!$M$4:$M$23,MATCH(SPK!$F$35,Supports!$B$4:$B$23,0)),"")="ETRIER RALLONGE (DN automatique = DN du tube)",IFERROR(INDEX(Catalogue!$B$4:$B$454,SUMPRODUCT(((Catalogue!$C$4:$C$454="ETRIER")*(Catalogue!$E$4:$E$454=(SPK!$F$22+0)))*ROW(Catalogue!$C$4:$C$454))-3),""),IF(IFERROR(INDEX(Supports!$M$4:$M$23,MATCH(SPK!$F$35,Supports!$B$4:$B$23,0)),"")="COLLIER INDUSTRIEL (DN automatique = DN du tube)",IFERROR(INDEX(Catalogue!$B$4:$B$454,SUMPRODUCT(((Catalogue!$C$4:$C$454="COLLIERINDUS")*(Catalogue!$E$4:$E$454=(SPK!$F$22+0)))*ROW(Catalogue!$C$4:$C$454))-3),""),IF(IFERROR(INDEX(Supports!$M$4:$M$23,MATCH(SPK!$F$35,Supports!$B$4:$B$23,0)),"")="COLLIER POIRE (DN automatique = DN du tube)",IFERROR(INDEX(Catalogue!$B$4:$B$454,SUMPRODUCT(((Catalogue!$C$4:$C$454="COLLIERPOIRE")*(Catalogue!$E$4:$E$454=(SPK!$F$22+0)))*ROW(Catalogue!$C$4:$C$454))-3),""),IFERROR(INDEX(Supports!$M$4:$M$23,MATCH(SPK!$F$35,Supports!$B$4:$B$23,0)),"")))))</f>
        <v/>
      </c>
      <c r="D113" s="76" t="str">
        <f>IF((IFERROR(INDEX(Supports!$M$4:$M$23,MATCH(SPK!$F$35,Supports!$B$4:$B$23,0)),""))="","",(IFERROR(INDEX(Supports!$N$4:$N$23,MATCH(SPK!$F$35,Supports!$B$4:$B$23,0)),0))*SPK!$F$36)</f>
        <v/>
      </c>
      <c r="E113" s="76" t="s">
        <v>1036</v>
      </c>
      <c r="F113" s="76" t="str">
        <f t="shared" si="1"/>
        <v/>
      </c>
      <c r="G113" s="76">
        <f>IF(AND(B113&lt;&gt;"",B113&lt;&gt;"Non trouvé - vérifier",D113&lt;&gt;"",D113&lt;&gt;0),IF(COUNTIF($B$2:B113,B113)=1,1,0),0)</f>
        <v>0</v>
      </c>
    </row>
    <row r="114" spans="1:7" x14ac:dyDescent="0.25">
      <c r="A114" s="76" t="s">
        <v>1063</v>
      </c>
      <c r="B114" s="76" t="str">
        <f>IF((IFERROR(INDEX(Supports!$C$4:$C$23,MATCH(SPK!$F$37,Supports!$B$4:$B$23,0)),""))="","",IF(IFERROR(INDEX(Supports!$C$4:$C$23,MATCH(SPK!$F$37,Supports!$B$4:$B$23,0)),"")="ETRIER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vérifier"),IF(IFERROR(INDEX(Supports!$C$4:$C$23,MATCH(SPK!$F$37,Supports!$B$4:$B$23,0)),"")="COLLIER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vérifier"),IF(IFERROR(INDEX(Supports!$C$4:$C$23,MATCH(SPK!$F$37,Supports!$B$4:$B$23,0)),"")="COLLIER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vérifier"),IFERROR(INDEX(Catalogue!$A$4:$A$454,MATCH(IFERROR(INDEX(Supports!$C$4:$C$23,MATCH(SPK!$F$37,Supports!$B$4:$B$23,0)),""),Catalogue!$B$4:$B$454,0)),"")))))</f>
        <v/>
      </c>
      <c r="C114" s="76" t="str">
        <f>IF((IFERROR(INDEX(Supports!$C$4:$C$23,MATCH(SPK!$F$37,Supports!$B$4:$B$23,0)),""))="","",IF(IFERROR(INDEX(Supports!$C$4:$C$23,MATCH(SPK!$F$37,Supports!$B$4:$B$23,0)),"")="ETRIER RALLONGE (DN automatique = DN du tube)",IFERROR(INDEX(Catalogue!$B$4:$B$454,SUMPRODUCT(((Catalogue!$C$4:$C$454="ETRIER")*(Catalogue!$E$4:$E$454=(SPK!$F$22+0)))*ROW(Catalogue!$C$4:$C$454))-3),""),IF(IFERROR(INDEX(Supports!$C$4:$C$23,MATCH(SPK!$F$37,Supports!$B$4:$B$23,0)),"")="COLLIER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tube)",IFERROR(INDEX(Catalogue!$B$4:$B$454,SUMPRODUCT(((Catalogue!$C$4:$C$454="COLLIERINDUS")*(Catalogue!$E$4:$E$454=(SPK!$F$22+0)))*ROW(Catalogue!$C$4:$C$454))-3),""),IF(IFERROR(INDEX(Supports!$C$4:$C$23,MATCH(SPK!$F$37,Supports!$B$4:$B$23,0)),"")="COLLIER POIRE (DN automatique = DN du tube)",IFERROR(INDEX(Catalogue!$B$4:$B$454,SUMPRODUCT(((Catalogue!$C$4:$C$454="COLLIERPOIRE")*(Catalogue!$E$4:$E$454=(SPK!$F$22+0)))*ROW(Catalogue!$C$4:$C$454))-3),""),IFERROR(INDEX(Supports!$C$4:$C$23,MATCH(SPK!$F$37,Supports!$B$4:$B$23,0)),"")))))</f>
        <v/>
      </c>
      <c r="D114" s="76" t="str">
        <f>IF((IFERROR(INDEX(Supports!$C$4:$C$23,MATCH(SPK!$F$37,Supports!$B$4:$B$23,0)),""))="","",(IFERROR(INDEX(Supports!$D$4:$D$23,MATCH(SPK!$F$37,Supports!$B$4:$B$23,0)),0))*SPK!$F$38)</f>
        <v/>
      </c>
      <c r="E114" s="76" t="s">
        <v>1036</v>
      </c>
      <c r="F114" s="76" t="str">
        <f t="shared" si="1"/>
        <v/>
      </c>
      <c r="G114" s="76">
        <f>IF(AND(B114&lt;&gt;"",B114&lt;&gt;"Non trouvé - vérifier",D114&lt;&gt;"",D114&lt;&gt;0),IF(COUNTIF($B$2:B114,B114)=1,1,0),0)</f>
        <v>0</v>
      </c>
    </row>
    <row r="115" spans="1:7" x14ac:dyDescent="0.25">
      <c r="A115" s="76" t="s">
        <v>1063</v>
      </c>
      <c r="B115" s="76" t="str">
        <f>IF((IFERROR(INDEX(Supports!$E$4:$E$23,MATCH(SPK!$F$37,Supports!$B$4:$B$23,0)),""))="","",IF(IFERROR(INDEX(Supports!$E$4:$E$23,MATCH(SPK!$F$37,Supports!$B$4:$B$23,0)),"")="ETRIER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vérifier"),IF(IFERROR(INDEX(Supports!$E$4:$E$23,MATCH(SPK!$F$37,Supports!$B$4:$B$23,0)),"")="COLLIER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vérifier"),IF(IFERROR(INDEX(Supports!$E$4:$E$23,MATCH(SPK!$F$37,Supports!$B$4:$B$23,0)),"")="COLLIER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vérifier"),IFERROR(INDEX(Catalogue!$A$4:$A$454,MATCH(IFERROR(INDEX(Supports!$E$4:$E$23,MATCH(SPK!$F$37,Supports!$B$4:$B$23,0)),""),Catalogue!$B$4:$B$454,0)),"")))))</f>
        <v/>
      </c>
      <c r="C115" s="76" t="str">
        <f>IF((IFERROR(INDEX(Supports!$E$4:$E$23,MATCH(SPK!$F$37,Supports!$B$4:$B$23,0)),""))="","",IF(IFERROR(INDEX(Supports!$E$4:$E$23,MATCH(SPK!$F$37,Supports!$B$4:$B$23,0)),"")="ETRIER RALLONGE (DN automatique = DN du tube)",IFERROR(INDEX(Catalogue!$B$4:$B$454,SUMPRODUCT(((Catalogue!$C$4:$C$454="ETRIER")*(Catalogue!$E$4:$E$454=(SPK!$F$22+0)))*ROW(Catalogue!$C$4:$C$454))-3),""),IF(IFERROR(INDEX(Supports!$E$4:$E$23,MATCH(SPK!$F$37,Supports!$B$4:$B$23,0)),"")="COLLIER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tube)",IFERROR(INDEX(Catalogue!$B$4:$B$454,SUMPRODUCT(((Catalogue!$C$4:$C$454="COLLIERINDUS")*(Catalogue!$E$4:$E$454=(SPK!$F$22+0)))*ROW(Catalogue!$C$4:$C$454))-3),""),IF(IFERROR(INDEX(Supports!$E$4:$E$23,MATCH(SPK!$F$37,Supports!$B$4:$B$23,0)),"")="COLLIER POIRE (DN automatique = DN du tube)",IFERROR(INDEX(Catalogue!$B$4:$B$454,SUMPRODUCT(((Catalogue!$C$4:$C$454="COLLIERPOIRE")*(Catalogue!$E$4:$E$454=(SPK!$F$22+0)))*ROW(Catalogue!$C$4:$C$454))-3),""),IFERROR(INDEX(Supports!$E$4:$E$23,MATCH(SPK!$F$37,Supports!$B$4:$B$23,0)),"")))))</f>
        <v/>
      </c>
      <c r="D115" s="76" t="str">
        <f>IF((IFERROR(INDEX(Supports!$E$4:$E$23,MATCH(SPK!$F$37,Supports!$B$4:$B$23,0)),""))="","",(IFERROR(INDEX(Supports!$F$4:$F$23,MATCH(SPK!$F$37,Supports!$B$4:$B$23,0)),0))*SPK!$F$38)</f>
        <v/>
      </c>
      <c r="E115" s="76" t="s">
        <v>1036</v>
      </c>
      <c r="F115" s="76" t="str">
        <f t="shared" si="1"/>
        <v/>
      </c>
      <c r="G115" s="76">
        <f>IF(AND(B115&lt;&gt;"",B115&lt;&gt;"Non trouvé - vérifier",D115&lt;&gt;"",D115&lt;&gt;0),IF(COUNTIF($B$2:B115,B115)=1,1,0),0)</f>
        <v>0</v>
      </c>
    </row>
    <row r="116" spans="1:7" x14ac:dyDescent="0.25">
      <c r="A116" s="76" t="s">
        <v>1063</v>
      </c>
      <c r="B116" s="76" t="str">
        <f>IF((IFERROR(INDEX(Supports!$G$4:$G$23,MATCH(SPK!$F$37,Supports!$B$4:$B$23,0)),""))="","",IF(IFERROR(INDEX(Supports!$G$4:$G$23,MATCH(SPK!$F$37,Supports!$B$4:$B$23,0)),"")="ETRIER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vérifier"),IF(IFERROR(INDEX(Supports!$G$4:$G$23,MATCH(SPK!$F$37,Supports!$B$4:$B$23,0)),"")="COLLIER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vérifier"),IF(IFERROR(INDEX(Supports!$G$4:$G$23,MATCH(SPK!$F$37,Supports!$B$4:$B$23,0)),"")="COLLIER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vérifier"),IFERROR(INDEX(Catalogue!$A$4:$A$454,MATCH(IFERROR(INDEX(Supports!$G$4:$G$23,MATCH(SPK!$F$37,Supports!$B$4:$B$23,0)),""),Catalogue!$B$4:$B$454,0)),"")))))</f>
        <v/>
      </c>
      <c r="C116" s="76" t="str">
        <f>IF((IFERROR(INDEX(Supports!$G$4:$G$23,MATCH(SPK!$F$37,Supports!$B$4:$B$23,0)),""))="","",IF(IFERROR(INDEX(Supports!$G$4:$G$23,MATCH(SPK!$F$37,Supports!$B$4:$B$23,0)),"")="ETRIER RALLONGE (DN automatique = DN du tube)",IFERROR(INDEX(Catalogue!$B$4:$B$454,SUMPRODUCT(((Catalogue!$C$4:$C$454="ETRIER")*(Catalogue!$E$4:$E$454=(SPK!$F$22+0)))*ROW(Catalogue!$C$4:$C$454))-3),""),IF(IFERROR(INDEX(Supports!$G$4:$G$23,MATCH(SPK!$F$37,Supports!$B$4:$B$23,0)),"")="COLLIER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tube)",IFERROR(INDEX(Catalogue!$B$4:$B$454,SUMPRODUCT(((Catalogue!$C$4:$C$454="COLLIERINDUS")*(Catalogue!$E$4:$E$454=(SPK!$F$22+0)))*ROW(Catalogue!$C$4:$C$454))-3),""),IF(IFERROR(INDEX(Supports!$G$4:$G$23,MATCH(SPK!$F$37,Supports!$B$4:$B$23,0)),"")="COLLIER POIRE (DN automatique = DN du tube)",IFERROR(INDEX(Catalogue!$B$4:$B$454,SUMPRODUCT(((Catalogue!$C$4:$C$454="COLLIERPOIRE")*(Catalogue!$E$4:$E$454=(SPK!$F$22+0)))*ROW(Catalogue!$C$4:$C$454))-3),""),IFERROR(INDEX(Supports!$G$4:$G$23,MATCH(SPK!$F$37,Supports!$B$4:$B$23,0)),"")))))</f>
        <v/>
      </c>
      <c r="D116" s="76" t="str">
        <f>IF((IFERROR(INDEX(Supports!$G$4:$G$23,MATCH(SPK!$F$37,Supports!$B$4:$B$23,0)),""))="","",(IFERROR(INDEX(Supports!$H$4:$H$23,MATCH(SPK!$F$37,Supports!$B$4:$B$23,0)),0))*SPK!$F$38)</f>
        <v/>
      </c>
      <c r="E116" s="76" t="s">
        <v>1036</v>
      </c>
      <c r="F116" s="76" t="str">
        <f t="shared" si="1"/>
        <v/>
      </c>
      <c r="G116" s="76">
        <f>IF(AND(B116&lt;&gt;"",B116&lt;&gt;"Non trouvé - vérifier",D116&lt;&gt;"",D116&lt;&gt;0),IF(COUNTIF($B$2:B116,B116)=1,1,0),0)</f>
        <v>0</v>
      </c>
    </row>
    <row r="117" spans="1:7" x14ac:dyDescent="0.25">
      <c r="A117" s="76" t="s">
        <v>1063</v>
      </c>
      <c r="B117" s="76" t="str">
        <f>IF((IFERROR(INDEX(Supports!$I$4:$I$23,MATCH(SPK!$F$37,Supports!$B$4:$B$23,0)),""))="","",IF(IFERROR(INDEX(Supports!$I$4:$I$23,MATCH(SPK!$F$37,Supports!$B$4:$B$23,0)),"")="ETRIER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vérifier"),IF(IFERROR(INDEX(Supports!$I$4:$I$23,MATCH(SPK!$F$37,Supports!$B$4:$B$23,0)),"")="COLLIER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vérifier"),IF(IFERROR(INDEX(Supports!$I$4:$I$23,MATCH(SPK!$F$37,Supports!$B$4:$B$23,0)),"")="COLLIER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vérifier"),IFERROR(INDEX(Catalogue!$A$4:$A$454,MATCH(IFERROR(INDEX(Supports!$I$4:$I$23,MATCH(SPK!$F$37,Supports!$B$4:$B$23,0)),""),Catalogue!$B$4:$B$454,0)),"")))))</f>
        <v/>
      </c>
      <c r="C117" s="76" t="str">
        <f>IF((IFERROR(INDEX(Supports!$I$4:$I$23,MATCH(SPK!$F$37,Supports!$B$4:$B$23,0)),""))="","",IF(IFERROR(INDEX(Supports!$I$4:$I$23,MATCH(SPK!$F$37,Supports!$B$4:$B$23,0)),"")="ETRIER RALLONGE (DN automatique = DN du tube)",IFERROR(INDEX(Catalogue!$B$4:$B$454,SUMPRODUCT(((Catalogue!$C$4:$C$454="ETRIER")*(Catalogue!$E$4:$E$454=(SPK!$F$22+0)))*ROW(Catalogue!$C$4:$C$454))-3),""),IF(IFERROR(INDEX(Supports!$I$4:$I$23,MATCH(SPK!$F$37,Supports!$B$4:$B$23,0)),"")="COLLIER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tube)",IFERROR(INDEX(Catalogue!$B$4:$B$454,SUMPRODUCT(((Catalogue!$C$4:$C$454="COLLIERINDUS")*(Catalogue!$E$4:$E$454=(SPK!$F$22+0)))*ROW(Catalogue!$C$4:$C$454))-3),""),IF(IFERROR(INDEX(Supports!$I$4:$I$23,MATCH(SPK!$F$37,Supports!$B$4:$B$23,0)),"")="COLLIER POIRE (DN automatique = DN du tube)",IFERROR(INDEX(Catalogue!$B$4:$B$454,SUMPRODUCT(((Catalogue!$C$4:$C$454="COLLIERPOIRE")*(Catalogue!$E$4:$E$454=(SPK!$F$22+0)))*ROW(Catalogue!$C$4:$C$454))-3),""),IFERROR(INDEX(Supports!$I$4:$I$23,MATCH(SPK!$F$37,Supports!$B$4:$B$23,0)),"")))))</f>
        <v/>
      </c>
      <c r="D117" s="76" t="str">
        <f>IF((IFERROR(INDEX(Supports!$I$4:$I$23,MATCH(SPK!$F$37,Supports!$B$4:$B$23,0)),""))="","",(IFERROR(INDEX(Supports!$J$4:$J$23,MATCH(SPK!$F$37,Supports!$B$4:$B$23,0)),0))*SPK!$F$38)</f>
        <v/>
      </c>
      <c r="E117" s="76" t="s">
        <v>1036</v>
      </c>
      <c r="F117" s="76" t="str">
        <f t="shared" si="1"/>
        <v/>
      </c>
      <c r="G117" s="76">
        <f>IF(AND(B117&lt;&gt;"",B117&lt;&gt;"Non trouvé - vérifier",D117&lt;&gt;"",D117&lt;&gt;0),IF(COUNTIF($B$2:B117,B117)=1,1,0),0)</f>
        <v>0</v>
      </c>
    </row>
    <row r="118" spans="1:7" x14ac:dyDescent="0.25">
      <c r="A118" s="76" t="s">
        <v>1063</v>
      </c>
      <c r="B118" s="76" t="str">
        <f>IF((IFERROR(INDEX(Supports!$K$4:$K$23,MATCH(SPK!$F$37,Supports!$B$4:$B$23,0)),""))="","",IF(IFERROR(INDEX(Supports!$K$4:$K$23,MATCH(SPK!$F$37,Supports!$B$4:$B$23,0)),"")="ETRIER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vérifier"),IF(IFERROR(INDEX(Supports!$K$4:$K$23,MATCH(SPK!$F$37,Supports!$B$4:$B$23,0)),"")="COLLIER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vérifier"),IF(IFERROR(INDEX(Supports!$K$4:$K$23,MATCH(SPK!$F$37,Supports!$B$4:$B$23,0)),"")="COLLIER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vérifier"),IFERROR(INDEX(Catalogue!$A$4:$A$454,MATCH(IFERROR(INDEX(Supports!$K$4:$K$23,MATCH(SPK!$F$37,Supports!$B$4:$B$23,0)),""),Catalogue!$B$4:$B$454,0)),"")))))</f>
        <v/>
      </c>
      <c r="C118" s="76" t="str">
        <f>IF((IFERROR(INDEX(Supports!$K$4:$K$23,MATCH(SPK!$F$37,Supports!$B$4:$B$23,0)),""))="","",IF(IFERROR(INDEX(Supports!$K$4:$K$23,MATCH(SPK!$F$37,Supports!$B$4:$B$23,0)),"")="ETRIER RALLONGE (DN automatique = DN du tube)",IFERROR(INDEX(Catalogue!$B$4:$B$454,SUMPRODUCT(((Catalogue!$C$4:$C$454="ETRIER")*(Catalogue!$E$4:$E$454=(SPK!$F$22+0)))*ROW(Catalogue!$C$4:$C$454))-3),""),IF(IFERROR(INDEX(Supports!$K$4:$K$23,MATCH(SPK!$F$37,Supports!$B$4:$B$23,0)),"")="COLLIER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tube)",IFERROR(INDEX(Catalogue!$B$4:$B$454,SUMPRODUCT(((Catalogue!$C$4:$C$454="COLLIERINDUS")*(Catalogue!$E$4:$E$454=(SPK!$F$22+0)))*ROW(Catalogue!$C$4:$C$454))-3),""),IF(IFERROR(INDEX(Supports!$K$4:$K$23,MATCH(SPK!$F$37,Supports!$B$4:$B$23,0)),"")="COLLIER POIRE (DN automatique = DN du tube)",IFERROR(INDEX(Catalogue!$B$4:$B$454,SUMPRODUCT(((Catalogue!$C$4:$C$454="COLLIERPOIRE")*(Catalogue!$E$4:$E$454=(SPK!$F$22+0)))*ROW(Catalogue!$C$4:$C$454))-3),""),IFERROR(INDEX(Supports!$K$4:$K$23,MATCH(SPK!$F$37,Supports!$B$4:$B$23,0)),"")))))</f>
        <v/>
      </c>
      <c r="D118" s="76" t="str">
        <f>IF((IFERROR(INDEX(Supports!$K$4:$K$23,MATCH(SPK!$F$37,Supports!$B$4:$B$23,0)),""))="","",(IFERROR(INDEX(Supports!$L$4:$L$23,MATCH(SPK!$F$37,Supports!$B$4:$B$23,0)),0))*SPK!$F$38)</f>
        <v/>
      </c>
      <c r="E118" s="76" t="s">
        <v>1036</v>
      </c>
      <c r="F118" s="76" t="str">
        <f t="shared" si="1"/>
        <v/>
      </c>
      <c r="G118" s="76">
        <f>IF(AND(B118&lt;&gt;"",B118&lt;&gt;"Non trouvé - vérifier",D118&lt;&gt;"",D118&lt;&gt;0),IF(COUNTIF($B$2:B118,B118)=1,1,0),0)</f>
        <v>0</v>
      </c>
    </row>
    <row r="119" spans="1:7" x14ac:dyDescent="0.25">
      <c r="A119" s="76" t="s">
        <v>1063</v>
      </c>
      <c r="B119" s="76" t="str">
        <f>IF((IFERROR(INDEX(Supports!$M$4:$M$23,MATCH(SPK!$F$37,Supports!$B$4:$B$23,0)),""))="","",IF(IFERROR(INDEX(Supports!$M$4:$M$23,MATCH(SPK!$F$37,Supports!$B$4:$B$23,0)),"")="ETRIER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vérifier"),IF(IFERROR(INDEX(Supports!$M$4:$M$23,MATCH(SPK!$F$37,Supports!$B$4:$B$23,0)),"")="COLLIER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vérifier"),IF(IFERROR(INDEX(Supports!$M$4:$M$23,MATCH(SPK!$F$37,Supports!$B$4:$B$23,0)),"")="COLLIER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vérifier"),IFERROR(INDEX(Catalogue!$A$4:$A$454,MATCH(IFERROR(INDEX(Supports!$M$4:$M$23,MATCH(SPK!$F$37,Supports!$B$4:$B$23,0)),""),Catalogue!$B$4:$B$454,0)),"")))))</f>
        <v/>
      </c>
      <c r="C119" s="76" t="str">
        <f>IF((IFERROR(INDEX(Supports!$M$4:$M$23,MATCH(SPK!$F$37,Supports!$B$4:$B$23,0)),""))="","",IF(IFERROR(INDEX(Supports!$M$4:$M$23,MATCH(SPK!$F$37,Supports!$B$4:$B$23,0)),"")="ETRIER RALLONGE (DN automatique = DN du tube)",IFERROR(INDEX(Catalogue!$B$4:$B$454,SUMPRODUCT(((Catalogue!$C$4:$C$454="ETRIER")*(Catalogue!$E$4:$E$454=(SPK!$F$22+0)))*ROW(Catalogue!$C$4:$C$454))-3),""),IF(IFERROR(INDEX(Supports!$M$4:$M$23,MATCH(SPK!$F$37,Supports!$B$4:$B$23,0)),"")="COLLIER INDUSTRIEL (DN automatique = DN du tube)",IFERROR(INDEX(Catalogue!$B$4:$B$454,SUMPRODUCT(((Catalogue!$C$4:$C$454="COLLIERINDUS")*(Catalogue!$E$4:$E$454=(SPK!$F$22+0)))*ROW(Catalogue!$C$4:$C$454))-3),""),IF(IFERROR(INDEX(Supports!$M$4:$M$23,MATCH(SPK!$F$37,Supports!$B$4:$B$23,0)),"")="COLLIER POIRE (DN automatique = DN du tube)",IFERROR(INDEX(Catalogue!$B$4:$B$454,SUMPRODUCT(((Catalogue!$C$4:$C$454="COLLIERPOIRE")*(Catalogue!$E$4:$E$454=(SPK!$F$22+0)))*ROW(Catalogue!$C$4:$C$454))-3),""),IFERROR(INDEX(Supports!$M$4:$M$23,MATCH(SPK!$F$37,Supports!$B$4:$B$23,0)),"")))))</f>
        <v/>
      </c>
      <c r="D119" s="76" t="str">
        <f>IF((IFERROR(INDEX(Supports!$M$4:$M$23,MATCH(SPK!$F$37,Supports!$B$4:$B$23,0)),""))="","",(IFERROR(INDEX(Supports!$N$4:$N$23,MATCH(SPK!$F$37,Supports!$B$4:$B$23,0)),0))*SPK!$F$38)</f>
        <v/>
      </c>
      <c r="E119" s="76" t="s">
        <v>1036</v>
      </c>
      <c r="F119" s="76" t="str">
        <f t="shared" si="1"/>
        <v/>
      </c>
      <c r="G119" s="76">
        <f>IF(AND(B119&lt;&gt;"",B119&lt;&gt;"Non trouvé - vérifier",D119&lt;&gt;"",D119&lt;&gt;0),IF(COUNTIF($B$2:B119,B119)=1,1,0),0)</f>
        <v>0</v>
      </c>
    </row>
    <row r="120" spans="1:7" x14ac:dyDescent="0.25">
      <c r="A120" s="76" t="s">
        <v>1064</v>
      </c>
      <c r="B120" s="76" t="str">
        <f>IFERROR(INDEX(Catalogue!$A$4:$A$454,SUMPRODUCT(((Catalogue!$C$4:$C$454="TUBE")*(Catalogue!$G$4:$G$454&lt;&gt;"SL")*(Catalogue!$D$4:$D$454=IF(SPK!$D$6="X","GALVA",IF(SPK!$F$6="X","NOIR","")))*(Catalogue!$E$4:$E$454=(SPK!$H$22+0)))*ROW(Catalogue!$C$4:$C$454))-3),"Non trouvé - vérifier")</f>
        <v>Non trouvé - vérifier</v>
      </c>
      <c r="C120" s="76" t="str">
        <f>IFERROR(INDEX(Catalogue!$B$4:$B$454,SUMPRODUCT(((Catalogue!$C$4:$C$454="TUBE")*(Catalogue!$G$4:$G$454&lt;&gt;"SL")*(Catalogue!$D$4:$D$454=IF(SPK!$D$6="X","GALVA",IF(SPK!$F$6="X","NOIR","")))*(Catalogue!$E$4:$E$454=(SPK!$H$22+0)))*ROW(Catalogue!$C$4:$C$454))-3),"")</f>
        <v/>
      </c>
      <c r="D120" s="76">
        <f>CEILING((((SPK!$H$27*SPK!$H$26))),6)</f>
        <v>0</v>
      </c>
      <c r="E120" s="76" t="s">
        <v>1033</v>
      </c>
      <c r="F120" s="76" t="str">
        <f t="shared" si="1"/>
        <v/>
      </c>
      <c r="G120" s="76">
        <f>IF(AND(B120&lt;&gt;"",B120&lt;&gt;"Non trouvé - vérifier",D120&lt;&gt;"",D120&lt;&gt;0),IF(COUNTIF($B$2:B120,B120)=1,1,0),0)</f>
        <v>0</v>
      </c>
    </row>
    <row r="121" spans="1:7" x14ac:dyDescent="0.25">
      <c r="A121" s="76" t="s">
        <v>1064</v>
      </c>
      <c r="B121" s="76" t="str" cm="1">
        <f t="array" ref="B121">IF((SPK!$H$22+0)=25,"COUVI90FFGA025",IFERROR(_xlfn.SINGLE(INDEX(Catalogue!$A$4:$A$454,SUMPRODUCT(((Catalogue!$C$4:$C$454="COUDE90")*(Catalogue!$D$4:$D$454=IF(SPK!$D$4="X","ROUGE",IF(SPK!$F$4="X","BLANC",IF(SPK!$H$4="X","GALVA",""))))*(Catalogue!$E$4:$E$454=(SPK!$H$22+0)))*ROW(Catalogue!$C$4:$C$454))-3)),"Non trouvé - vérifier"))</f>
        <v>Non trouvé - vérifier</v>
      </c>
      <c r="C121" s="76" t="str" cm="1">
        <f t="array" ref="C121">IF((SPK!$H$22+0)=25,"COUDE 90°VISSER FF GALVA DN25",IFERROR(_xlfn.SINGLE(INDEX(Catalogue!$B$4:$B$454,SUMPRODUCT(((Catalogue!$C$4:$C$454="COUDE90")*(Catalogue!$D$4:$D$454=IF(SPK!$D$4="X","ROUGE",IF(SPK!$F$4="X","BLANC",IF(SPK!$H$4="X","GALVA",""))))*(Catalogue!$E$4:$E$454=(SPK!$H$22+0)))*ROW(Catalogue!$C$4:$C$454))-3)),""))</f>
        <v/>
      </c>
      <c r="D121" s="78">
        <f>SPK!$H$28</f>
        <v>0</v>
      </c>
      <c r="E121" s="76" t="s">
        <v>1034</v>
      </c>
      <c r="F121" s="76" t="str">
        <f t="shared" si="1"/>
        <v/>
      </c>
      <c r="G121" s="76">
        <f>IF(AND(B121&lt;&gt;"",B121&lt;&gt;"Non trouvé - vérifier",D121&lt;&gt;"",D121&lt;&gt;0),IF(COUNTIF($B$2:B243,B121)=1,1,0),0)</f>
        <v>0</v>
      </c>
    </row>
    <row r="122" spans="1:7" x14ac:dyDescent="0.25">
      <c r="A122" s="76" t="s">
        <v>1064</v>
      </c>
      <c r="B122" s="76" t="str">
        <f>IFERROR(INDEX(Catalogue!$A$4:$A$454,SUMPRODUCT(((Catalogue!$C$4:$C$454="CPC")*(Catalogue!$D$4:$D$454=IF(SPK!$D$4="X","ROUGE",IF(SPK!$F$4="X","GALVA",IF(SPK!$H$4="X","GALVA",""))))*(Catalogue!$E$4:$E$454=(SPK!$H$23+0))*(Catalogue!$F$4:$F$454=(SPK!$H$22+0))*(Catalogue!$G$4:$G$454=IF(LEFT(SPK!$H$24,1)="R","RAINURE",IF(LEFT(SPK!$H$24,1)="T","TARAUDE",""))))*ROW(Catalogue!$C$4:$C$454))-3),"Non trouvé - vérifier")</f>
        <v>Non trouvé - vérifier</v>
      </c>
      <c r="C122" s="76" t="str">
        <f>IFERROR(INDEX(Catalogue!$B$4:$B$454,SUMPRODUCT(((Catalogue!$C$4:$C$454="CPC")*(Catalogue!$D$4:$D$454=IF(SPK!$D$4="X","ROUGE",IF(SPK!$F$4="X","GALVA",IF(SPK!$H$4="X","GALVA",""))))*(Catalogue!$E$4:$E$454=(SPK!$H$23+0))*(Catalogue!$F$4:$F$454=(SPK!$H$22+0))*(Catalogue!$G$4:$G$454=IF(LEFT(SPK!$H$24,1)="R","RAINURE",IF(LEFT(SPK!$H$24,1)="T","TARAUDE",""))))*ROW(Catalogue!$C$4:$C$454))-3),"")</f>
        <v/>
      </c>
      <c r="D122" s="78">
        <f>SPK!$H$25</f>
        <v>0</v>
      </c>
      <c r="E122" s="76" t="s">
        <v>1034</v>
      </c>
      <c r="F122" s="76" t="str">
        <f t="shared" si="1"/>
        <v/>
      </c>
      <c r="G122" s="76">
        <f>IF(AND(B122&lt;&gt;"",B122&lt;&gt;"Non trouvé - vérifier",D122&lt;&gt;"",D122&lt;&gt;0),IF(COUNTIF($B$2:B122,B122)=1,1,0),0)</f>
        <v>0</v>
      </c>
    </row>
    <row r="123" spans="1:7" x14ac:dyDescent="0.25">
      <c r="A123" s="76" t="s">
        <v>1064</v>
      </c>
      <c r="B123" s="76" t="str">
        <f>IFERROR(INDEX(Catalogue!$A$4:$A$454,SUMPRODUCT(((Catalogue!$C$4:$C$454="RACCORD")*(Catalogue!$D$4:$D$454=IF(SPK!$D$4="X","ROUGE",IF(SPK!$F$4="X","BLANC",IF(SPK!$H$4="X","GALVA",""))))*(Catalogue!$E$4:$E$454=(SPK!$H$22+0)))*ROW(Catalogue!$C$4:$C$454))-3),"Non trouvé - vérifier")</f>
        <v>Non trouvé - vérifier</v>
      </c>
      <c r="C123" s="76" t="str">
        <f>IFERROR(INDEX(Catalogue!$B$4:$B$454,SUMPRODUCT(((Catalogue!$C$4:$C$454="RACCORD")*(Catalogue!$D$4:$D$454=IF(SPK!$D$4="X","ROUGE",IF(SPK!$F$4="X","BLANC",IF(SPK!$H$4="X","GALVA",""))))*(Catalogue!$E$4:$E$454=(SPK!$H$22+0)))*ROW(Catalogue!$C$4:$C$454))-3),"")</f>
        <v/>
      </c>
      <c r="D123" s="76">
        <f>ROUNDUP(((((SPK!$H$27*SPK!$H$26))/6)+(SPK!$H$28*2))*1.1,0)</f>
        <v>0</v>
      </c>
      <c r="E123" s="76" t="s">
        <v>1034</v>
      </c>
      <c r="F123" s="76" t="str">
        <f t="shared" si="1"/>
        <v/>
      </c>
      <c r="G123" s="76">
        <f>IF(AND(B123&lt;&gt;"",B123&lt;&gt;"Non trouvé - vérifier",D123&lt;&gt;"",D123&lt;&gt;0),IF(COUNTIF($B$2:B123,B123)=1,1,0),0)</f>
        <v>0</v>
      </c>
    </row>
    <row r="124" spans="1:7" x14ac:dyDescent="0.25">
      <c r="A124" s="76" t="s">
        <v>1065</v>
      </c>
      <c r="B124" s="76" t="str">
        <f>IF((SPK!$H$22+0)=25,"BOUCHVIMGA025",IFERROR(INDEX(Catalogue!$A$4:$A$454,SUMPRODUCT(((Catalogue!$C$4:$C$454="RACCORD")*(Catalogue!$D$4:$D$454=IF(SPK!$D$4="X","ROUGE",IF(SPK!$F$4="X","BLANC",IF(SPK!$H$4="X","GALVA",""))))*(Catalogue!$E$4:$E$454=(SPK!$H$22+0)))*ROW(Catalogue!$C$4:$C$454))-3),"Non trouvé - vérifier"))</f>
        <v>Non trouvé - vérifier</v>
      </c>
      <c r="C124" s="76" t="str">
        <f>IF((SPK!$H$22+0)=25,"BOUCHON VISSER M GALVA DN25",IFERROR(INDEX(Catalogue!$B$4:$B$454,SUMPRODUCT(((Catalogue!$C$4:$C$454="RACCORD")*(Catalogue!$D$4:$D$454=IF(SPK!$D$4="X","ROUGE",IF(SPK!$F$4="X","BLANC",IF(SPK!$H$4="X","GALVA",""))))*(Catalogue!$E$4:$E$454=(SPK!$H$22+0)))*ROW(Catalogue!$C$4:$C$454))-3),""))</f>
        <v/>
      </c>
      <c r="D124" s="78">
        <f>SPK!$H$25</f>
        <v>0</v>
      </c>
      <c r="E124" s="76" t="s">
        <v>1034</v>
      </c>
      <c r="F124" s="76" t="str">
        <f t="shared" si="1"/>
        <v/>
      </c>
      <c r="G124" s="76">
        <f>IF(AND(B124&lt;&gt;"",B124&lt;&gt;"Non trouvé - vérifier",D124&lt;&gt;"",D124&lt;&gt;0),IF(COUNTIF($B$2:B124,B124)=1,1,0),0)</f>
        <v>0</v>
      </c>
    </row>
    <row r="125" spans="1:7" x14ac:dyDescent="0.25">
      <c r="A125" s="76" t="s">
        <v>1066</v>
      </c>
      <c r="B125" s="76" t="str">
        <f>IF((SPK!$H$22+0)=25,"",IFERROR(INDEX(Catalogue!$A$4:$A$454,SUMPRODUCT(((Catalogue!$C$4:$C$454="FOND")*(Catalogue!$D$4:$D$454=IF(SPK!$D$4="X","ROUGE",IF(SPK!$F$4="X","BLANC",IF(SPK!$H$4="X","GALVA",""))))*(Catalogue!$E$4:$E$454=(SPK!$H$22+0)))*ROW(Catalogue!$C$4:$C$454))-3),"Non trouvé - vérifier"))</f>
        <v>Non trouvé - vérifier</v>
      </c>
      <c r="C125" s="76" t="str">
        <f>IF((SPK!$H$22+0)=25,"",IFERROR(INDEX(Catalogue!$B$4:$B$454,SUMPRODUCT(((Catalogue!$C$4:$C$454="FOND")*(Catalogue!$D$4:$D$454=IF(SPK!$D$4="X","ROUGE",IF(SPK!$F$4="X","BLANC",IF(SPK!$H$4="X","GALVA",""))))*(Catalogue!$E$4:$E$454=(SPK!$H$22+0)))*ROW(Catalogue!$C$4:$C$454))-3),""))</f>
        <v/>
      </c>
      <c r="D125" s="78">
        <f>IF((SPK!$H$22+0)=25,"",SPK!$H$25)</f>
        <v>0</v>
      </c>
      <c r="E125" s="76" t="s">
        <v>1034</v>
      </c>
      <c r="F125" s="76" t="str">
        <f t="shared" si="1"/>
        <v/>
      </c>
      <c r="G125" s="76">
        <f>IF(AND(B125&lt;&gt;"",B125&lt;&gt;"Non trouvé - vérifier",D125&lt;&gt;"",D125&lt;&gt;0),IF(COUNTIF($B$2:B125,B125)=1,1,0),0)</f>
        <v>0</v>
      </c>
    </row>
    <row r="126" spans="1:7" x14ac:dyDescent="0.25">
      <c r="A126" s="76" t="s">
        <v>1067</v>
      </c>
      <c r="B126" s="76" t="str">
        <f>IF((IF(OR(SPK!$H$29="SSP Toiture",SPK!$H$29="SSU Toiture"),"Toiture",IF(SPK!$H$29="SSP Placo","TB Placo",IF(SPK!$H$29="SSP Faux plafond","TB Faux plaf",IF(SPK!$H$29="SSP Labo","TB Labo","")))))&lt;&gt;"Toiture","",IF((SPK!$H$22+0)=25,IFERROR(INDEX(Catalogue!$A$4:$A$454,SUMPRODUCT(((Catalogue!$C$4:$C$454="TES")*(Catalogue!$D$4:$D$454="GALVA")*(Catalogue!$E$4:$E$454=(25+0))*(Catalogue!$G$4:$G$454="VISSER"))*ROW(Catalogue!$C$4:$C$454))-3),"Non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H$22+0))*(Catalogue!$F$4:$F$454=(SPK!$H$30+0))*(Catalogue!$G$4:$G$454="TARAUDE"))*ROW(Catalogue!$C$4:$C$454))-3),"Non trouvé - vérifier")))</f>
        <v/>
      </c>
      <c r="C126" s="76" t="str">
        <f>IF((IF(OR(SPK!$H$29="SSP Toiture",SPK!$H$29="SSU Toiture"),"Toiture",IF(SPK!$H$29="SSP Placo","TB Placo",IF(SPK!$H$29="SSP Faux plafond","TB Faux plaf",IF(SPK!$H$29="SSP Labo","TB Labo","")))))&lt;&gt;"Toiture","",IF((SPK!$H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H$22+0))*(Catalogue!$F$4:$F$454=(SPK!$H$30+0))*(Catalogue!$G$4:$G$454="TARAUDE"))*ROW(Catalogue!$C$4:$C$454))-3),"")))</f>
        <v/>
      </c>
      <c r="D126" s="76">
        <f>IF((IF(OR(SPK!$H$29="SSP Toiture",SPK!$H$29="SSU Toiture"),"Toiture",IF(SPK!$H$29="SSP Placo","TB Placo",IF(SPK!$H$29="SSP Faux plafond","TB Faux plaf",IF(SPK!$H$29="SSP Labo","TB Labo","")))))&lt;&gt;"Toiture",0,(SPK!$H$26))</f>
        <v>0</v>
      </c>
      <c r="E126" s="76" t="s">
        <v>1034</v>
      </c>
      <c r="F126" s="76" t="str">
        <f t="shared" si="1"/>
        <v/>
      </c>
      <c r="G126" s="76">
        <f>IF(AND(B126&lt;&gt;"",B126&lt;&gt;"Non trouvé - vérifier",D126&lt;&gt;"",D126&lt;&gt;0),IF(COUNTIF($B$2:B126,B126)=1,1,0),0)</f>
        <v>0</v>
      </c>
    </row>
    <row r="127" spans="1:7" x14ac:dyDescent="0.25">
      <c r="A127" s="76" t="s">
        <v>1067</v>
      </c>
      <c r="B127" s="76" t="str">
        <f>IF(AND((IF(OR(SPK!$H$29="SSP Toiture",SPK!$H$29="SSU Toiture"),"Toiture",IF(SPK!$H$29="SSP Placo","TB Placo",IF(SPK!$H$29="SSP Faux plafond","TB Faux plaf",IF(SPK!$H$29="SSP Labo","TB Labo","")))))="Toiture",(SPK!$H$22+0)=25),IFERROR(INDEX(Catalogue!$A$4:$A$454,SUMPRODUCT(((Catalogue!$C$4:$C$454="REDUC")*(Catalogue!$D$4:$D$454="GALVA")*(Catalogue!$E$4:$E$454=(25+0))*(Catalogue!$F$4:$F$454=(SPK!$H$30+0))*(Catalogue!$G$4:$G$454="MF"))*ROW(Catalogue!$C$4:$C$454))-3),"Non trouvé - vérifier"),"")</f>
        <v/>
      </c>
      <c r="C127" s="76" t="str">
        <f>IF(AND((IF(OR(SPK!$H$29="SSP Toiture",SPK!$H$29="SSU Toiture"),"Toiture",IF(SPK!$H$29="SSP Placo","TB Placo",IF(SPK!$H$29="SSP Faux plafond","TB Faux plaf",IF(SPK!$H$29="SSP Labo","TB Labo","")))))="Toiture",(SPK!$H$22+0)=25),IFERROR(INDEX(Catalogue!$B$4:$B$454,SUMPRODUCT(((Catalogue!$C$4:$C$454="REDUC")*(Catalogue!$D$4:$D$454="GALVA")*(Catalogue!$E$4:$E$454=(25+0))*(Catalogue!$F$4:$F$454=(SPK!$H$30+0))*(Catalogue!$G$4:$G$454="MF"))*ROW(Catalogue!$C$4:$C$454))-3),""),"")</f>
        <v/>
      </c>
      <c r="D127" s="76">
        <f>IF(AND((IF(OR(SPK!$H$29="SSP Toiture",SPK!$H$29="SSU Toiture"),"Toiture",IF(SPK!$H$29="SSP Placo","TB Placo",IF(SPK!$H$29="SSP Faux plafond","TB Faux plaf",IF(SPK!$H$29="SSP Labo","TB Labo","")))))="Toiture",(SPK!$H$22+0)=25),(SPK!$H$26),0)</f>
        <v>0</v>
      </c>
      <c r="E127" s="76" t="s">
        <v>1034</v>
      </c>
      <c r="F127" s="76" t="str">
        <f t="shared" si="1"/>
        <v/>
      </c>
      <c r="G127" s="76">
        <f>IF(AND(B127&lt;&gt;"",B127&lt;&gt;"Non trouvé - vérifier",D127&lt;&gt;"",D127&lt;&gt;0),IF(COUNTIF($B$2:B127,B127)=1,1,0),0)</f>
        <v>0</v>
      </c>
    </row>
    <row r="128" spans="1:7" x14ac:dyDescent="0.25">
      <c r="A128" s="76" t="s">
        <v>1068</v>
      </c>
      <c r="B128" s="76" t="str">
        <f>IF((IF(OR(SPK!$H$29="SSP Toiture",SPK!$H$29="SSU Toiture"),"Toiture",IF(SPK!$H$29="SSP Placo","TB Placo",IF(SPK!$H$29="SSP Faux plafond","TB Faux plaf",IF(SPK!$H$29="SSP Labo","TB Labo","")))))&lt;&gt;"TB Placo","",IF((SPK!$H$22+0)=25,IFERROR(INDEX(Catalogue!$A$4:$A$454,SUMPRODUCT(((Catalogue!$C$4:$C$454="TES")*(Catalogue!$D$4:$D$454="GALVA")*(Catalogue!$E$4:$E$454=(25+0))*(Catalogue!$G$4:$G$454="VISSER"))*ROW(Catalogue!$C$4:$C$454))-3),"Non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Non trouvé - vérifier")))</f>
        <v/>
      </c>
      <c r="C128" s="76" t="str">
        <f>IF((IF(OR(SPK!$H$29="SSP Toiture",SPK!$H$29="SSU Toiture"),"Toiture",IF(SPK!$H$29="SSP Placo","TB Placo",IF(SPK!$H$29="SSP Faux plafond","TB Faux plaf",IF(SPK!$H$29="SSP Labo","TB Labo","")))))&lt;&gt;"TB Placo","",IF((SPK!$H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")))</f>
        <v/>
      </c>
      <c r="D128" s="76">
        <f>IF((IF(OR(SPK!$H$29="SSP Toiture",SPK!$H$29="SSU Toiture"),"Toiture",IF(SPK!$H$29="SSP Placo","TB Placo",IF(SPK!$H$29="SSP Faux plafond","TB Faux plaf",IF(SPK!$H$29="SSP Labo","TB Labo","")))))&lt;&gt;"TB Placo",0,(SPK!$H$26))</f>
        <v>0</v>
      </c>
      <c r="E128" s="76" t="s">
        <v>1034</v>
      </c>
      <c r="F128" s="76" t="str">
        <f t="shared" si="1"/>
        <v/>
      </c>
      <c r="G128" s="76">
        <f>IF(AND(B128&lt;&gt;"",B128&lt;&gt;"Non trouvé - vérifier",D128&lt;&gt;"",D128&lt;&gt;0),IF(COUNTIF($B$2:B128,B128)=1,1,0),0)</f>
        <v>0</v>
      </c>
    </row>
    <row r="129" spans="1:7" x14ac:dyDescent="0.25">
      <c r="A129" s="76" t="s">
        <v>1068</v>
      </c>
      <c r="B129" s="76" t="str">
        <f>IF((IF(OR(SPK!$H$29="SSP Toiture",SPK!$H$29="SSU Toiture"),"Toiture",IF(SPK!$H$29="SSP Placo","TB Placo",IF(SPK!$H$29="SSP Faux plafond","TB Faux plaf",IF(SPK!$H$29="SSP Labo","TB Labo","")))))&lt;&gt;"TB Placo","",IFERROR(INDEX(Catalogue!$A$4:$A$454,SUMPRODUCT(((Catalogue!$C$4:$C$454="TUBE")*(Catalogue!$G$4:$G$454&lt;&gt;"SL")*(Catalogue!$D$4:$D$454=IF(SPK!$D$6="X","GALVA",IF(SPK!$F$6="X","NOIR","")))*(Catalogue!$E$4:$E$454=(25+0)))*ROW(Catalogue!$C$4:$C$454))-3),"Non trouvé - vérifier"))</f>
        <v/>
      </c>
      <c r="C129" s="76" t="str">
        <f>IF((IF(OR(SPK!$H$29="SSP Toiture",SPK!$H$29="SSU Toiture"),"Toiture",IF(SPK!$H$29="SSP Placo","TB Placo",IF(SPK!$H$29="SSP Faux plafond","TB Faux plaf",IF(SPK!$H$29="SSP Labo","TB Labo","")))))&lt;&gt;"TB Placo","",IFERROR(INDEX(Catalogue!$B$4:$B$454,SUMPRODUCT(((Catalogue!$C$4:$C$454="TUBE")*(Catalogue!$G$4:$G$454&lt;&gt;"SL")*(Catalogue!$D$4:$D$454=IF(SPK!$D$6="X","GALVA",IF(SPK!$F$6="X","NOIR","")))*(Catalogue!$E$4:$E$454=(25+0)))*ROW(Catalogue!$C$4:$C$454))-3),""))</f>
        <v/>
      </c>
      <c r="D129" s="76">
        <f>CEILING((IF((IF(OR(SPK!$H$29="SSP Toiture",SPK!$H$29="SSU Toiture"),"Toiture",IF(SPK!$H$29="SSP Placo","TB Placo",IF(SPK!$H$29="SSP Faux plafond","TB Faux plaf",IF(SPK!$H$29="SSP Labo","TB Labo","")))))&lt;&gt;"TB Placo",0,1.5*(SPK!$H$26))),6)</f>
        <v>0</v>
      </c>
      <c r="E129" s="76" t="s">
        <v>1033</v>
      </c>
      <c r="F129" s="76" t="str">
        <f t="shared" si="1"/>
        <v/>
      </c>
      <c r="G129" s="76">
        <f>IF(AND(B129&lt;&gt;"",B129&lt;&gt;"Non trouvé - vérifier",D129&lt;&gt;"",D129&lt;&gt;0),IF(COUNTIF($B$2:B129,B129)=1,1,0),0)</f>
        <v>0</v>
      </c>
    </row>
    <row r="130" spans="1:7" x14ac:dyDescent="0.25">
      <c r="A130" s="76" t="s">
        <v>1068</v>
      </c>
      <c r="B130" s="76" t="str">
        <f>IF((IF(OR(SPK!$H$29="SSP Toiture",SPK!$H$29="SSU Toiture"),"Toiture",IF(SPK!$H$29="SSP Placo","TB Placo",IF(SPK!$H$29="SSP Faux plafond","TB Faux plaf",IF(SPK!$H$29="SSP Labo","TB Labo","")))))&lt;&gt;"TB Placo","","COUVI90MFGA025")</f>
        <v/>
      </c>
      <c r="C130" s="76" t="str">
        <f>IF((IF(OR(SPK!$H$29="SSP Toiture",SPK!$H$29="SSU Toiture"),"Toiture",IF(SPK!$H$29="SSP Placo","TB Placo",IF(SPK!$H$29="SSP Faux plafond","TB Faux plaf",IF(SPK!$H$29="SSP Labo","TB Labo","")))))&lt;&gt;"TB Placo","","COUDE 90°VISSER MF GALVA DN25")</f>
        <v/>
      </c>
      <c r="D130" s="76">
        <f>IF((IF(OR(SPK!$H$29="SSP Toiture",SPK!$H$29="SSU Toiture"),"Toiture",IF(SPK!$H$29="SSP Placo","TB Placo",IF(SPK!$H$29="SSP Faux plafond","TB Faux plaf",IF(SPK!$H$29="SSP Labo","TB Labo","")))))&lt;&gt;"TB Placo",0,(SPK!$H$26))</f>
        <v>0</v>
      </c>
      <c r="E130" s="76" t="s">
        <v>1034</v>
      </c>
      <c r="F130" s="76" t="str">
        <f t="shared" ref="F130:F193" si="2">IF(AND(B130&lt;&gt;"",B130&lt;&gt;"Non trouvé - vérifier",D130&lt;&gt;"",D130&lt;&gt;0),SUMIF($B$2:$B$244,B130,$D$2:$D$244),"")</f>
        <v/>
      </c>
      <c r="G130" s="76">
        <f>IF(AND(B130&lt;&gt;"",B130&lt;&gt;"Non trouvé - vérifier",D130&lt;&gt;"",D130&lt;&gt;0),IF(COUNTIF($B$2:B130,B130)=1,1,0),0)</f>
        <v>0</v>
      </c>
    </row>
    <row r="131" spans="1:7" x14ac:dyDescent="0.25">
      <c r="A131" s="76" t="s">
        <v>1068</v>
      </c>
      <c r="B131" s="76" t="str">
        <f>IF((IF(OR(SPK!$H$29="SSP Toiture",SPK!$H$29="SSU Toiture"),"Toiture",IF(SPK!$H$29="SSP Placo","TB Placo",IF(SPK!$H$29="SSP Faux plafond","TB Faux plaf",IF(SPK!$H$29="SSP Labo","TB Labo","")))))&lt;&gt;"TB Placo","","COUVI90FFGA025")</f>
        <v/>
      </c>
      <c r="C131" s="76" t="str">
        <f>IF((IF(OR(SPK!$H$29="SSP Toiture",SPK!$H$29="SSU Toiture"),"Toiture",IF(SPK!$H$29="SSP Placo","TB Placo",IF(SPK!$H$29="SSP Faux plafond","TB Faux plaf",IF(SPK!$H$29="SSP Labo","TB Labo","")))))&lt;&gt;"TB Placo","","COUDE 90°VISSER FF GALVA DN25")</f>
        <v/>
      </c>
      <c r="D131" s="76">
        <f>IF((IF(OR(SPK!$H$29="SSP Toiture",SPK!$H$29="SSU Toiture"),"Toiture",IF(SPK!$H$29="SSP Placo","TB Placo",IF(SPK!$H$29="SSP Faux plafond","TB Faux plaf",IF(SPK!$H$29="SSP Labo","TB Labo","")))))&lt;&gt;"TB Placo",0,(SPK!$H$26))</f>
        <v>0</v>
      </c>
      <c r="E131" s="76" t="s">
        <v>1034</v>
      </c>
      <c r="F131" s="76" t="str">
        <f t="shared" si="2"/>
        <v/>
      </c>
      <c r="G131" s="76">
        <f>IF(AND(B131&lt;&gt;"",B131&lt;&gt;"Non trouvé - vérifier",D131&lt;&gt;"",D131&lt;&gt;0),IF(COUNTIF($B$2:B131,B131)=1,1,0),0)</f>
        <v>0</v>
      </c>
    </row>
    <row r="132" spans="1:7" x14ac:dyDescent="0.25">
      <c r="A132" s="76" t="s">
        <v>1068</v>
      </c>
      <c r="B132" s="76" t="str">
        <f>IF((IF(OR(SPK!$H$29="SSP Toiture",SPK!$H$29="SSU Toiture"),"Toiture",IF(SPK!$H$29="SSP Placo","TB Placo",IF(SPK!$H$29="SSP Faux plafond","TB Faux plaf",IF(SPK!$H$29="SSP Labo","TB Labo","")))))&lt;&gt;"TB Placo","",IF((SPK!$H$30+0)=20,"CHANDELLEDN20","CHANDELLEGRANDEFF"))</f>
        <v/>
      </c>
      <c r="C132" s="76" t="str">
        <f>IF((IF(OR(SPK!$H$29="SSP Toiture",SPK!$H$29="SSU Toiture"),"Toiture",IF(SPK!$H$29="SSP Placo","TB Placo",IF(SPK!$H$29="SSP Faux plafond","TB Faux plaf",IF(SPK!$H$29="SSP Labo","TB Labo","")))))&lt;&gt;"TB Placo","",IF((SPK!$H$30+0)=20,"CHANDELLE REGLABLE MF GRANDE DN25X20","CHANDELLE REGLABLE FF GRANDE DN25X15"))</f>
        <v/>
      </c>
      <c r="D132" s="76">
        <f>IF((IF(OR(SPK!$H$29="SSP Toiture",SPK!$H$29="SSU Toiture"),"Toiture",IF(SPK!$H$29="SSP Placo","TB Placo",IF(SPK!$H$29="SSP Faux plafond","TB Faux plaf",IF(SPK!$H$29="SSP Labo","TB Labo","")))))&lt;&gt;"TB Placo",0,(SPK!$H$26))</f>
        <v>0</v>
      </c>
      <c r="E132" s="76" t="s">
        <v>1034</v>
      </c>
      <c r="F132" s="76" t="str">
        <f t="shared" si="2"/>
        <v/>
      </c>
      <c r="G132" s="76">
        <f>IF(AND(B132&lt;&gt;"",B132&lt;&gt;"Non trouvé - vérifier",D132&lt;&gt;"",D132&lt;&gt;0),IF(COUNTIF($B$2:B132,B132)=1,1,0),0)</f>
        <v>0</v>
      </c>
    </row>
    <row r="133" spans="1:7" x14ac:dyDescent="0.25">
      <c r="A133" s="76" t="s">
        <v>1068</v>
      </c>
      <c r="B133" s="76" t="str">
        <f>IF(OR((IF(OR(SPK!$H$29="SSP Toiture",SPK!$H$29="SSU Toiture"),"Toiture",IF(SPK!$H$29="SSP Placo","TB Placo",IF(SPK!$H$29="SSP Faux plafond","TB Faux plaf",IF(SPK!$H$29="SSP Labo","TB Labo","")))))&lt;&gt;"TB Placo",SPK!$H$31="Bronze"),"",IFERROR(INDEX(Catalogue!$A$4:$A$454,SUMPRODUCT(((Catalogue!$C$4:$C$454="ROSACE2P")*(Catalogue!$D$4:$D$454=IF(SPK!$H$31="Bronze","BRONZE",IF(SPK!$H$31="Chrome","CHROME",IF(SPK!$H$31="Blanche","BLANCHE",IF(SPK!$H$31="Noire","NOIRE","")))))*(Catalogue!$E$4:$E$454=(SPK!$H$30+0)))*ROW(Catalogue!$C$4:$C$454))-3),"Non trouvé - vérifier"))</f>
        <v/>
      </c>
      <c r="C133" s="76" t="str">
        <f>IF(OR((IF(OR(SPK!$H$29="SSP Toiture",SPK!$H$29="SSU Toiture"),"Toiture",IF(SPK!$H$29="SSP Placo","TB Placo",IF(SPK!$H$29="SSP Faux plafond","TB Faux plaf",IF(SPK!$H$29="SSP Labo","TB Labo","")))))&lt;&gt;"TB Placo",SPK!$H$31="Bronze"),"",IFERROR(INDEX(Catalogue!$B$4:$B$454,SUMPRODUCT(((Catalogue!$C$4:$C$454="ROSACE2P")*(Catalogue!$D$4:$D$454=IF(SPK!$H$31="Bronze","BRONZE",IF(SPK!$H$31="Chrome","CHROME",IF(SPK!$H$31="Blanche","BLANCHE",IF(SPK!$H$31="Noire","NOIRE","")))))*(Catalogue!$E$4:$E$454=(SPK!$H$30+0)))*ROW(Catalogue!$C$4:$C$454))-3),""))</f>
        <v/>
      </c>
      <c r="D133" s="76">
        <f>IF(OR((IF(OR(SPK!$H$29="SSP Toiture",SPK!$H$29="SSU Toiture"),"Toiture",IF(SPK!$H$29="SSP Placo","TB Placo",IF(SPK!$H$29="SSP Faux plafond","TB Faux plaf",IF(SPK!$H$29="SSP Labo","TB Labo","")))))&lt;&gt;"TB Placo",SPK!$H$31="Bronze"),0,(SPK!$H$26))</f>
        <v>0</v>
      </c>
      <c r="E133" s="76" t="s">
        <v>1034</v>
      </c>
      <c r="F133" s="76" t="str">
        <f t="shared" si="2"/>
        <v/>
      </c>
      <c r="G133" s="76">
        <f>IF(AND(B133&lt;&gt;"",B133&lt;&gt;"Non trouvé - vérifier",D133&lt;&gt;"",D133&lt;&gt;0),IF(COUNTIF($B$2:B133,B133)=1,1,0),0)</f>
        <v>0</v>
      </c>
    </row>
    <row r="134" spans="1:7" x14ac:dyDescent="0.25">
      <c r="A134" s="76" t="s">
        <v>1069</v>
      </c>
      <c r="B134" s="76" t="str">
        <f>IF((IF(OR(SPK!$H$29="SSP Toiture",SPK!$H$29="SSU Toiture"),"Toiture",IF(SPK!$H$29="SSP Placo","TB Placo",IF(SPK!$H$29="SSP Faux plafond","TB Faux plaf",IF(SPK!$H$29="SSP Labo","TB Labo","")))))&lt;&gt;"TB Faux plaf","",IF((SPK!$H$22+0)=25,IFERROR(INDEX(Catalogue!$A$4:$A$454,SUMPRODUCT(((Catalogue!$C$4:$C$454="TES")*(Catalogue!$D$4:$D$454="GALVA")*(Catalogue!$E$4:$E$454=(25+0))*(Catalogue!$G$4:$G$454="VISSER"))*ROW(Catalogue!$C$4:$C$454))-3),"Non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Non trouvé - vérifier")))</f>
        <v/>
      </c>
      <c r="C134" s="76" t="str">
        <f>IF((IF(OR(SPK!$H$29="SSP Toiture",SPK!$H$29="SSU Toiture"),"Toiture",IF(SPK!$H$29="SSP Placo","TB Placo",IF(SPK!$H$29="SSP Faux plafond","TB Faux plaf",IF(SPK!$H$29="SSP Labo","TB Labo","")))))&lt;&gt;"TB Faux plaf","",IF((SPK!$H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")))</f>
        <v/>
      </c>
      <c r="D134" s="76">
        <f>IF((IF(OR(SPK!$H$29="SSP Toiture",SPK!$H$29="SSU Toiture"),"Toiture",IF(SPK!$H$29="SSP Placo","TB Placo",IF(SPK!$H$29="SSP Faux plafond","TB Faux plaf",IF(SPK!$H$29="SSP Labo","TB Labo","")))))&lt;&gt;"TB Faux plaf",0,(SPK!$H$26))</f>
        <v>0</v>
      </c>
      <c r="E134" s="76" t="s">
        <v>1034</v>
      </c>
      <c r="F134" s="76" t="str">
        <f t="shared" si="2"/>
        <v/>
      </c>
      <c r="G134" s="76">
        <f>IF(AND(B134&lt;&gt;"",B134&lt;&gt;"Non trouvé - vérifier",D134&lt;&gt;"",D134&lt;&gt;0),IF(COUNTIF($B$2:B134,B134)=1,1,0),0)</f>
        <v>0</v>
      </c>
    </row>
    <row r="135" spans="1:7" x14ac:dyDescent="0.25">
      <c r="A135" s="76" t="s">
        <v>1069</v>
      </c>
      <c r="B135" s="76" t="str">
        <f>IF((IF(OR(SPK!$H$29="SSP Toiture",SPK!$H$29="SSU Toiture"),"Toiture",IF(SPK!$H$29="SSP Placo","TB Placo",IF(SPK!$H$29="SSP Faux plafond","TB Faux plaf",IF(SPK!$H$29="SSP Labo","TB Labo","")))))&lt;&gt;"TB Faux plaf","","COUVI90MFGA025")</f>
        <v/>
      </c>
      <c r="C135" s="76" t="str">
        <f>IF((IF(OR(SPK!$H$29="SSP Toiture",SPK!$H$29="SSU Toiture"),"Toiture",IF(SPK!$H$29="SSP Placo","TB Placo",IF(SPK!$H$29="SSP Faux plafond","TB Faux plaf",IF(SPK!$H$29="SSP Labo","TB Labo","")))))&lt;&gt;"TB Faux plaf","","COUDE 90°VISSER MF GALVA DN25")</f>
        <v/>
      </c>
      <c r="D135" s="76">
        <f>IF((IF(OR(SPK!$H$29="SSP Toiture",SPK!$H$29="SSU Toiture"),"Toiture",IF(SPK!$H$29="SSP Placo","TB Placo",IF(SPK!$H$29="SSP Faux plafond","TB Faux plaf",IF(SPK!$H$29="SSP Labo","TB Labo","")))))&lt;&gt;"TB Faux plaf",0,(SPK!$H$26))</f>
        <v>0</v>
      </c>
      <c r="E135" s="76" t="s">
        <v>1034</v>
      </c>
      <c r="F135" s="76" t="str">
        <f t="shared" si="2"/>
        <v/>
      </c>
      <c r="G135" s="76">
        <f>IF(AND(B135&lt;&gt;"",B135&lt;&gt;"Non trouvé - vérifier",D135&lt;&gt;"",D135&lt;&gt;0),IF(COUNTIF($B$2:B135,B135)=1,1,0),0)</f>
        <v>0</v>
      </c>
    </row>
    <row r="136" spans="1:7" x14ac:dyDescent="0.25">
      <c r="A136" s="76" t="s">
        <v>1069</v>
      </c>
      <c r="B136" s="76" t="str">
        <f>IF((IF(OR(SPK!$H$29="SSP Toiture",SPK!$H$29="SSU Toiture"),"Toiture",IF(SPK!$H$29="SSP Placo","TB Placo",IF(SPK!$H$29="SSP Faux plafond","TB Faux plaf",IF(SPK!$H$29="SSP Labo","TB Labo","")))))&lt;&gt;"TB Faux plaf","",IF((SPK!$H$30+0)=15,"FLEXI820MF15251521","FLEXIMF12202027APS"))</f>
        <v/>
      </c>
      <c r="C136" s="76" t="str">
        <f>IF((IF(OR(SPK!$H$29="SSP Toiture",SPK!$H$29="SSU Toiture"),"Toiture",IF(SPK!$H$29="SSP Placo","TB Placo",IF(SPK!$H$29="SSP Faux plafond","TB Faux plaf",IF(SPK!$H$29="SSP Labo","TB Labo","")))))&lt;&gt;"TB Faux plaf","",IF((SPK!$H$30+0)=15," FLEXIBLE MF LG 1540 25/15 APSAD"," FLEXIBLE MF LG 1220 25/20 APSAD"))</f>
        <v/>
      </c>
      <c r="D136" s="76">
        <f>IF((IF(OR(SPK!$H$29="SSP Toiture",SPK!$H$29="SSU Toiture"),"Toiture",IF(SPK!$H$29="SSP Placo","TB Placo",IF(SPK!$H$29="SSP Faux plafond","TB Faux plaf",IF(SPK!$H$29="SSP Labo","TB Labo","")))))&lt;&gt;"TB Faux plaf",0,(SPK!$H$26))</f>
        <v>0</v>
      </c>
      <c r="E136" s="76" t="s">
        <v>1034</v>
      </c>
      <c r="F136" s="76" t="str">
        <f t="shared" si="2"/>
        <v/>
      </c>
      <c r="G136" s="76">
        <f>IF(AND(B136&lt;&gt;"",B136&lt;&gt;"Non trouvé - vérifier",D136&lt;&gt;"",D136&lt;&gt;0),IF(COUNTIF($B$2:B136,B136)=1,1,0),0)</f>
        <v>0</v>
      </c>
    </row>
    <row r="137" spans="1:7" x14ac:dyDescent="0.25">
      <c r="A137" s="76" t="s">
        <v>1069</v>
      </c>
      <c r="B137" s="76" t="str">
        <f>IF(OR((IF(OR(SPK!$H$29="SSP Toiture",SPK!$H$29="SSU Toiture"),"Toiture",IF(SPK!$H$29="SSP Placo","TB Placo",IF(SPK!$H$29="SSP Faux plafond","TB Faux plaf",IF(SPK!$H$29="SSP Labo","TB Labo","")))))&lt;&gt;"TB Faux plaf",SPK!$H$31="Bronze"),"",IFERROR(INDEX(Catalogue!$A$4:$A$454,SUMPRODUCT(((Catalogue!$C$4:$C$454="ROSACE2P")*(Catalogue!$D$4:$D$454=IF(SPK!$H$31="Bronze","BRONZE",IF(SPK!$H$31="Chrome","CHROME",IF(SPK!$H$31="Blanche","BLANCHE",IF(SPK!$H$31="Noire","NOIRE","")))))*(Catalogue!$E$4:$E$454=(SPK!$H$30+0)))*ROW(Catalogue!$C$4:$C$454))-3),"Non trouvé - vérifier"))</f>
        <v/>
      </c>
      <c r="C137" s="76" t="str">
        <f>IF(OR((IF(OR(SPK!$H$29="SSP Toiture",SPK!$H$29="SSU Toiture"),"Toiture",IF(SPK!$H$29="SSP Placo","TB Placo",IF(SPK!$H$29="SSP Faux plafond","TB Faux plaf",IF(SPK!$H$29="SSP Labo","TB Labo","")))))&lt;&gt;"TB Faux plaf",SPK!$H$31="Bronze"),"",IFERROR(INDEX(Catalogue!$B$4:$B$454,SUMPRODUCT(((Catalogue!$C$4:$C$454="ROSACE2P")*(Catalogue!$D$4:$D$454=IF(SPK!$H$31="Bronze","BRONZE",IF(SPK!$H$31="Chrome","CHROME",IF(SPK!$H$31="Blanche","BLANCHE",IF(SPK!$H$31="Noire","NOIRE","")))))*(Catalogue!$E$4:$E$454=(SPK!$H$30+0)))*ROW(Catalogue!$C$4:$C$454))-3),""))</f>
        <v/>
      </c>
      <c r="D137" s="76">
        <f>IF(OR((IF(OR(SPK!$H$29="SSP Toiture",SPK!$H$29="SSU Toiture"),"Toiture",IF(SPK!$H$29="SSP Placo","TB Placo",IF(SPK!$H$29="SSP Faux plafond","TB Faux plaf",IF(SPK!$H$29="SSP Labo","TB Labo","")))))&lt;&gt;"TB Faux plaf",SPK!$H$31="Bronze"),0,(SPK!$H$26))</f>
        <v>0</v>
      </c>
      <c r="E137" s="76" t="s">
        <v>1034</v>
      </c>
      <c r="F137" s="76" t="str">
        <f t="shared" si="2"/>
        <v/>
      </c>
      <c r="G137" s="76">
        <f>IF(AND(B137&lt;&gt;"",B137&lt;&gt;"Non trouvé - vérifier",D137&lt;&gt;"",D137&lt;&gt;0),IF(COUNTIF($B$2:B137,B137)=1,1,0),0)</f>
        <v>0</v>
      </c>
    </row>
    <row r="138" spans="1:7" x14ac:dyDescent="0.25">
      <c r="A138" s="76" t="s">
        <v>1070</v>
      </c>
      <c r="B138" s="76" t="str">
        <f>IF((IF(OR(SPK!$H$29="SSP Toiture",SPK!$H$29="SSU Toiture"),"Toiture",IF(SPK!$H$29="SSP Placo","TB Placo",IF(SPK!$H$29="SSP Faux plafond","TB Faux plaf",IF(SPK!$H$29="SSP Labo","TB Labo","")))))&lt;&gt;"TB Labo","",IF((SPK!$H$22+0)=25,IFERROR(INDEX(Catalogue!$A$4:$A$454,SUMPRODUCT(((Catalogue!$C$4:$C$454="TES")*(Catalogue!$D$4:$D$454="GALVA")*(Catalogue!$E$4:$E$454=(25+0))*(Catalogue!$G$4:$G$454="VISSER"))*ROW(Catalogue!$C$4:$C$454))-3),"Non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Non trouvé - vérifier")))</f>
        <v/>
      </c>
      <c r="C138" s="76" t="str">
        <f>IF((IF(OR(SPK!$H$29="SSP Toiture",SPK!$H$29="SSU Toiture"),"Toiture",IF(SPK!$H$29="SSP Placo","TB Placo",IF(SPK!$H$29="SSP Faux plafond","TB Faux plaf",IF(SPK!$H$29="SSP Labo","TB Labo","")))))&lt;&gt;"TB Labo","",IF((SPK!$H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H$22+0))*(Catalogue!$F$4:$F$454=(25+0))*(Catalogue!$G$4:$G$454="TARAUDE"))*ROW(Catalogue!$C$4:$C$454))-3),"")))</f>
        <v/>
      </c>
      <c r="D138" s="76">
        <f>IF((IF(OR(SPK!$H$29="SSP Toiture",SPK!$H$29="SSU Toiture"),"Toiture",IF(SPK!$H$29="SSP Placo","TB Placo",IF(SPK!$H$29="SSP Faux plafond","TB Faux plaf",IF(SPK!$H$29="SSP Labo","TB Labo","")))))&lt;&gt;"TB Labo",0,(SPK!$H$26))</f>
        <v>0</v>
      </c>
      <c r="E138" s="76" t="s">
        <v>1034</v>
      </c>
      <c r="F138" s="76" t="str">
        <f t="shared" si="2"/>
        <v/>
      </c>
      <c r="G138" s="76">
        <f>IF(AND(B138&lt;&gt;"",B138&lt;&gt;"Non trouvé - vérifier",D138&lt;&gt;"",D138&lt;&gt;0),IF(COUNTIF($B$2:B138,B138)=1,1,0),0)</f>
        <v>0</v>
      </c>
    </row>
    <row r="139" spans="1:7" x14ac:dyDescent="0.25">
      <c r="A139" s="76" t="s">
        <v>1070</v>
      </c>
      <c r="B139" s="76" t="str">
        <f>IF((IF(OR(SPK!$H$29="SSP Toiture",SPK!$H$29="SSU Toiture"),"Toiture",IF(SPK!$H$29="SSP Placo","TB Placo",IF(SPK!$H$29="SSP Faux plafond","TB Faux plaf",IF(SPK!$H$29="SSP Labo","TB Labo","")))))&lt;&gt;"TB Labo","","COUVI90MFGA025")</f>
        <v/>
      </c>
      <c r="C139" s="76" t="str">
        <f>IF((IF(OR(SPK!$H$29="SSP Toiture",SPK!$H$29="SSU Toiture"),"Toiture",IF(SPK!$H$29="SSP Placo","TB Placo",IF(SPK!$H$29="SSP Faux plafond","TB Faux plaf",IF(SPK!$H$29="SSP Labo","TB Labo","")))))&lt;&gt;"TB Labo","","COUDE 90°VISSER MF GALVA DN25")</f>
        <v/>
      </c>
      <c r="D139" s="76">
        <f>IF((IF(OR(SPK!$H$29="SSP Toiture",SPK!$H$29="SSU Toiture"),"Toiture",IF(SPK!$H$29="SSP Placo","TB Placo",IF(SPK!$H$29="SSP Faux plafond","TB Faux plaf",IF(SPK!$H$29="SSP Labo","TB Labo","")))))&lt;&gt;"TB Labo",0,(SPK!$H$26))</f>
        <v>0</v>
      </c>
      <c r="E139" s="76" t="s">
        <v>1034</v>
      </c>
      <c r="F139" s="76" t="str">
        <f t="shared" si="2"/>
        <v/>
      </c>
      <c r="G139" s="76">
        <f>IF(AND(B139&lt;&gt;"",B139&lt;&gt;"Non trouvé - vérifier",D139&lt;&gt;"",D139&lt;&gt;0),IF(COUNTIF($B$2:B139,B139)=1,1,0),0)</f>
        <v>0</v>
      </c>
    </row>
    <row r="140" spans="1:7" x14ac:dyDescent="0.25">
      <c r="A140" s="76" t="s">
        <v>1070</v>
      </c>
      <c r="B140" s="76" t="str">
        <f>IF((IF(OR(SPK!$H$29="SSP Toiture",SPK!$H$29="SSU Toiture"),"Toiture",IF(SPK!$H$29="SSP Placo","TB Placo",IF(SPK!$H$29="SSP Faux plafond","TB Faux plaf",IF(SPK!$H$29="SSP Labo","TB Labo","")))))&lt;&gt;"TB Labo","",IF((SPK!$H$30+0)=15,"FLEXKITLABO1220","Non disponible en DN20 - vérifier"))</f>
        <v/>
      </c>
      <c r="C140" s="76" t="str">
        <f>IF((IF(OR(SPK!$H$29="SSP Toiture",SPK!$H$29="SSU Toiture"),"Toiture",IF(SPK!$H$29="SSP Placo","TB Placo",IF(SPK!$H$29="SSP Faux plafond","TB Faux plaf",IF(SPK!$H$29="SSP Labo","TB Labo","")))))&lt;&gt;"TB Labo","",IF((SPK!$H$30+0)=15,"KIT FLEXIBLE LABO LG 1220 DN15 APSAD",""))</f>
        <v/>
      </c>
      <c r="D140" s="76">
        <f>IF((IF(OR(SPK!$H$29="SSP Toiture",SPK!$H$29="SSU Toiture"),"Toiture",IF(SPK!$H$29="SSP Placo","TB Placo",IF(SPK!$H$29="SSP Faux plafond","TB Faux plaf",IF(SPK!$H$29="SSP Labo","TB Labo","")))))&lt;&gt;"TB Labo",0,(SPK!$H$26))</f>
        <v>0</v>
      </c>
      <c r="E140" s="76" t="s">
        <v>1034</v>
      </c>
      <c r="F140" s="76" t="str">
        <f t="shared" si="2"/>
        <v/>
      </c>
      <c r="G140" s="76">
        <f>IF(AND(B140&lt;&gt;"",B140&lt;&gt;"Non trouvé - vérifier",D140&lt;&gt;"",D140&lt;&gt;0),IF(COUNTIF($B$2:B140,B140)=1,1,0),0)</f>
        <v>0</v>
      </c>
    </row>
    <row r="141" spans="1:7" x14ac:dyDescent="0.25">
      <c r="A141" s="76" t="s">
        <v>1070</v>
      </c>
      <c r="B141" s="76" t="str">
        <f>IF(OR((IF(OR(SPK!$H$29="SSP Toiture",SPK!$H$29="SSU Toiture"),"Toiture",IF(SPK!$H$29="SSP Placo","TB Placo",IF(SPK!$H$29="SSP Faux plafond","TB Faux plaf",IF(SPK!$H$29="SSP Labo","TB Labo","")))))&lt;&gt;"TB Labo",SPK!$H$31="Bronze"),"",IFERROR(INDEX(Catalogue!$A$4:$A$454,SUMPRODUCT(((Catalogue!$C$4:$C$454="ROSACE1P")*(Catalogue!$D$4:$D$454=IF(SPK!$H$31="Bronze","BRONZE",IF(SPK!$H$31="Chrome","CHROME",IF(SPK!$H$31="Blanche","BLANCHE",IF(SPK!$H$31="Noire","NOIRE","")))))*(Catalogue!$E$4:$E$454=(SPK!$H$30+0)))*ROW(Catalogue!$C$4:$C$454))-3),"Non trouvé - vérifier"))</f>
        <v/>
      </c>
      <c r="C141" s="76" t="str">
        <f>IF(OR((IF(OR(SPK!$H$29="SSP Toiture",SPK!$H$29="SSU Toiture"),"Toiture",IF(SPK!$H$29="SSP Placo","TB Placo",IF(SPK!$H$29="SSP Faux plafond","TB Faux plaf",IF(SPK!$H$29="SSP Labo","TB Labo","")))))&lt;&gt;"TB Labo",SPK!$H$31="Bronze"),"",IFERROR(INDEX(Catalogue!$B$4:$B$454,SUMPRODUCT(((Catalogue!$C$4:$C$454="ROSACE1P")*(Catalogue!$D$4:$D$454=IF(SPK!$H$31="Bronze","BRONZE",IF(SPK!$H$31="Chrome","CHROME",IF(SPK!$H$31="Blanche","BLANCHE",IF(SPK!$H$31="Noire","NOIRE","")))))*(Catalogue!$E$4:$E$454=(SPK!$H$30+0)))*ROW(Catalogue!$C$4:$C$454))-3),""))</f>
        <v/>
      </c>
      <c r="D141" s="76">
        <f>IF(OR((IF(OR(SPK!$H$29="SSP Toiture",SPK!$H$29="SSU Toiture"),"Toiture",IF(SPK!$H$29="SSP Placo","TB Placo",IF(SPK!$H$29="SSP Faux plafond","TB Faux plaf",IF(SPK!$H$29="SSP Labo","TB Labo","")))))&lt;&gt;"TB Labo",SPK!$H$31="Bronze"),0,(SPK!$H$26))</f>
        <v>0</v>
      </c>
      <c r="E141" s="76" t="s">
        <v>1034</v>
      </c>
      <c r="F141" s="76" t="str">
        <f t="shared" si="2"/>
        <v/>
      </c>
      <c r="G141" s="76">
        <f>IF(AND(B141&lt;&gt;"",B141&lt;&gt;"Non trouvé - vérifier",D141&lt;&gt;"",D141&lt;&gt;0),IF(COUNTIF($B$2:B141,B141)=1,1,0),0)</f>
        <v>0</v>
      </c>
    </row>
    <row r="142" spans="1:7" x14ac:dyDescent="0.25">
      <c r="A142" s="76" t="s">
        <v>1071</v>
      </c>
      <c r="B142" s="76" t="str">
        <f>IFERROR(INDEX(Catalogue!$A$4:$A$454,SUMPRODUCT(((Catalogue!$C$4:$C$454="TETE")*(Catalogue!$D$4:$D$454=IF(SPK!$H$31="Bronze","BRONZE",IF(SPK!$H$31="Chrome","CHROME",IF(SPK!$H$31="Blanche","BLANCHE",IF(SPK!$H$31="Noire","NOIRE","")))))*(Catalogue!$E$4:$E$454=(SPK!$H$30+0))*(Catalogue!$G$4:$G$454=(IF(SPK!$H$29="SSU Toiture","SSU",IF(OR(SPK!$H$29="SSP Toiture",SPK!$H$29="SSP Placo",SPK!$H$29="SSP Faux plafond",SPK!$H$29="SSP Labo"),"SSP",""))))*(Catalogue!$H$4:$H$454=(SPK!$H$32+0))*(Catalogue!$I$4:$I$454=(SPK!$H$33+0))*(Catalogue!$J$4:$J$454=IF(SPK!$H$34="Rapide","RAPIDE",IF(SPK!$H$34="Standard","STANDARD",""))))*ROW(Catalogue!$C$4:$C$454))-3),"Non trouvé - vérifier")</f>
        <v>Non trouvé - vérifier</v>
      </c>
      <c r="C142" s="76" t="str">
        <f>IFERROR(INDEX(Catalogue!$B$4:$B$454,SUMPRODUCT(((Catalogue!$C$4:$C$454="TETE")*(Catalogue!$D$4:$D$454=IF(SPK!$H$31="Bronze","BRONZE",IF(SPK!$H$31="Chrome","CHROME",IF(SPK!$H$31="Blanche","BLANCHE",IF(SPK!$H$31="Noire","NOIRE","")))))*(Catalogue!$E$4:$E$454=(SPK!$H$30+0))*(Catalogue!$G$4:$G$454=(IF(SPK!$H$29="SSU Toiture","SSU",IF(OR(SPK!$H$29="SSP Toiture",SPK!$H$29="SSP Placo",SPK!$H$29="SSP Faux plafond",SPK!$H$29="SSP Labo"),"SSP",""))))*(Catalogue!$H$4:$H$454=(SPK!$H$32+0))*(Catalogue!$I$4:$I$454=(SPK!$H$33+0))*(Catalogue!$J$4:$J$454=IF(SPK!$H$34="Rapide","RAPIDE",IF(SPK!$H$34="Standard","STANDARD",""))))*ROW(Catalogue!$C$4:$C$454))-3),"")</f>
        <v/>
      </c>
      <c r="D142" s="78">
        <f>(SPK!$H$26)</f>
        <v>0</v>
      </c>
      <c r="E142" s="76" t="s">
        <v>1034</v>
      </c>
      <c r="F142" s="76" t="str">
        <f t="shared" si="2"/>
        <v/>
      </c>
      <c r="G142" s="76">
        <f>IF(AND(B142&lt;&gt;"",B142&lt;&gt;"Non trouvé - vérifier",D142&lt;&gt;"",D142&lt;&gt;0),IF(COUNTIF($B$2:B142,B142)=1,1,0),0)</f>
        <v>0</v>
      </c>
    </row>
    <row r="143" spans="1:7" x14ac:dyDescent="0.25">
      <c r="A143" s="76" t="s">
        <v>1072</v>
      </c>
      <c r="B143" s="76" t="str">
        <f>IF((IFERROR(INDEX(Supports!$C$4:$C$23,MATCH(SPK!$H$35,Supports!$B$4:$B$23,0)),""))="","",IF(IFERROR(INDEX(Supports!$C$4:$C$23,MATCH(SPK!$H$35,Supports!$B$4:$B$23,0)),"")="ETRIER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vérifier"),IF(IFERROR(INDEX(Supports!$C$4:$C$23,MATCH(SPK!$H$35,Supports!$B$4:$B$23,0)),"")="COLLIER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vérifier"),IF(IFERROR(INDEX(Supports!$C$4:$C$23,MATCH(SPK!$H$35,Supports!$B$4:$B$23,0)),"")="COLLIER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vérifier"),IFERROR(INDEX(Catalogue!$A$4:$A$454,MATCH(IFERROR(INDEX(Supports!$C$4:$C$23,MATCH(SPK!$H$35,Supports!$B$4:$B$23,0)),""),Catalogue!$B$4:$B$454,0)),"")))))</f>
        <v/>
      </c>
      <c r="C143" s="76" t="str">
        <f>IF((IFERROR(INDEX(Supports!$C$4:$C$23,MATCH(SPK!$H$35,Supports!$B$4:$B$23,0)),""))="","",IF(IFERROR(INDEX(Supports!$C$4:$C$23,MATCH(SPK!$H$35,Supports!$B$4:$B$23,0)),"")="ETRIER RALLONGE (DN automatique = DN du tube)",IFERROR(INDEX(Catalogue!$B$4:$B$454,SUMPRODUCT(((Catalogue!$C$4:$C$454="ETRIER")*(Catalogue!$E$4:$E$454=(SPK!$H$22+0)))*ROW(Catalogue!$C$4:$C$454))-3),""),IF(IFERROR(INDEX(Supports!$C$4:$C$23,MATCH(SPK!$H$35,Supports!$B$4:$B$23,0)),"")="COLLIER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tube)",IFERROR(INDEX(Catalogue!$B$4:$B$454,SUMPRODUCT(((Catalogue!$C$4:$C$454="COLLIERINDUS")*(Catalogue!$E$4:$E$454=(SPK!$H$22+0)))*ROW(Catalogue!$C$4:$C$454))-3),""),IF(IFERROR(INDEX(Supports!$C$4:$C$23,MATCH(SPK!$H$35,Supports!$B$4:$B$23,0)),"")="COLLIER POIRE (DN automatique = DN du tube)",IFERROR(INDEX(Catalogue!$B$4:$B$454,SUMPRODUCT(((Catalogue!$C$4:$C$454="COLLIERPOIRE")*(Catalogue!$E$4:$E$454=(SPK!$H$22+0)))*ROW(Catalogue!$C$4:$C$454))-3),""),IFERROR(INDEX(Supports!$C$4:$C$23,MATCH(SPK!$H$35,Supports!$B$4:$B$23,0)),"")))))</f>
        <v/>
      </c>
      <c r="D143" s="76" t="str">
        <f>IF((IFERROR(INDEX(Supports!$C$4:$C$23,MATCH(SPK!$H$35,Supports!$B$4:$B$23,0)),""))="","",(IFERROR(INDEX(Supports!$D$4:$D$23,MATCH(SPK!$H$35,Supports!$B$4:$B$23,0)),0))*SPK!$H$36)</f>
        <v/>
      </c>
      <c r="E143" s="76" t="s">
        <v>1036</v>
      </c>
      <c r="F143" s="76" t="str">
        <f t="shared" si="2"/>
        <v/>
      </c>
      <c r="G143" s="76">
        <f>IF(AND(B143&lt;&gt;"",B143&lt;&gt;"Non trouvé - vérifier",D143&lt;&gt;"",D143&lt;&gt;0),IF(COUNTIF($B$2:B143,B143)=1,1,0),0)</f>
        <v>0</v>
      </c>
    </row>
    <row r="144" spans="1:7" x14ac:dyDescent="0.25">
      <c r="A144" s="76" t="s">
        <v>1072</v>
      </c>
      <c r="B144" s="76" t="str">
        <f>IF((IFERROR(INDEX(Supports!$E$4:$E$23,MATCH(SPK!$H$35,Supports!$B$4:$B$23,0)),""))="","",IF(IFERROR(INDEX(Supports!$E$4:$E$23,MATCH(SPK!$H$35,Supports!$B$4:$B$23,0)),"")="ETRIER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vérifier"),IF(IFERROR(INDEX(Supports!$E$4:$E$23,MATCH(SPK!$H$35,Supports!$B$4:$B$23,0)),"")="COLLIER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vérifier"),IF(IFERROR(INDEX(Supports!$E$4:$E$23,MATCH(SPK!$H$35,Supports!$B$4:$B$23,0)),"")="COLLIER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vérifier"),IFERROR(INDEX(Catalogue!$A$4:$A$454,MATCH(IFERROR(INDEX(Supports!$E$4:$E$23,MATCH(SPK!$H$35,Supports!$B$4:$B$23,0)),""),Catalogue!$B$4:$B$454,0)),"")))))</f>
        <v/>
      </c>
      <c r="C144" s="76" t="str">
        <f>IF((IFERROR(INDEX(Supports!$E$4:$E$23,MATCH(SPK!$H$35,Supports!$B$4:$B$23,0)),""))="","",IF(IFERROR(INDEX(Supports!$E$4:$E$23,MATCH(SPK!$H$35,Supports!$B$4:$B$23,0)),"")="ETRIER RALLONGE (DN automatique = DN du tube)",IFERROR(INDEX(Catalogue!$B$4:$B$454,SUMPRODUCT(((Catalogue!$C$4:$C$454="ETRIER")*(Catalogue!$E$4:$E$454=(SPK!$H$22+0)))*ROW(Catalogue!$C$4:$C$454))-3),""),IF(IFERROR(INDEX(Supports!$E$4:$E$23,MATCH(SPK!$H$35,Supports!$B$4:$B$23,0)),"")="COLLIER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tube)",IFERROR(INDEX(Catalogue!$B$4:$B$454,SUMPRODUCT(((Catalogue!$C$4:$C$454="COLLIERINDUS")*(Catalogue!$E$4:$E$454=(SPK!$H$22+0)))*ROW(Catalogue!$C$4:$C$454))-3),""),IF(IFERROR(INDEX(Supports!$E$4:$E$23,MATCH(SPK!$H$35,Supports!$B$4:$B$23,0)),"")="COLLIER POIRE (DN automatique = DN du tube)",IFERROR(INDEX(Catalogue!$B$4:$B$454,SUMPRODUCT(((Catalogue!$C$4:$C$454="COLLIERPOIRE")*(Catalogue!$E$4:$E$454=(SPK!$H$22+0)))*ROW(Catalogue!$C$4:$C$454))-3),""),IFERROR(INDEX(Supports!$E$4:$E$23,MATCH(SPK!$H$35,Supports!$B$4:$B$23,0)),"")))))</f>
        <v/>
      </c>
      <c r="D144" s="76" t="str">
        <f>IF((IFERROR(INDEX(Supports!$E$4:$E$23,MATCH(SPK!$H$35,Supports!$B$4:$B$23,0)),""))="","",(IFERROR(INDEX(Supports!$F$4:$F$23,MATCH(SPK!$H$35,Supports!$B$4:$B$23,0)),0))*SPK!$H$36)</f>
        <v/>
      </c>
      <c r="E144" s="76" t="s">
        <v>1036</v>
      </c>
      <c r="F144" s="76" t="str">
        <f t="shared" si="2"/>
        <v/>
      </c>
      <c r="G144" s="76">
        <f>IF(AND(B144&lt;&gt;"",B144&lt;&gt;"Non trouvé - vérifier",D144&lt;&gt;"",D144&lt;&gt;0),IF(COUNTIF($B$2:B144,B144)=1,1,0),0)</f>
        <v>0</v>
      </c>
    </row>
    <row r="145" spans="1:7" x14ac:dyDescent="0.25">
      <c r="A145" s="76" t="s">
        <v>1072</v>
      </c>
      <c r="B145" s="76" t="str">
        <f>IF((IFERROR(INDEX(Supports!$G$4:$G$23,MATCH(SPK!$H$35,Supports!$B$4:$B$23,0)),""))="","",IF(IFERROR(INDEX(Supports!$G$4:$G$23,MATCH(SPK!$H$35,Supports!$B$4:$B$23,0)),"")="ETRIER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vérifier"),IF(IFERROR(INDEX(Supports!$G$4:$G$23,MATCH(SPK!$H$35,Supports!$B$4:$B$23,0)),"")="COLLIER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vérifier"),IF(IFERROR(INDEX(Supports!$G$4:$G$23,MATCH(SPK!$H$35,Supports!$B$4:$B$23,0)),"")="COLLIER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vérifier"),IFERROR(INDEX(Catalogue!$A$4:$A$454,MATCH(IFERROR(INDEX(Supports!$G$4:$G$23,MATCH(SPK!$H$35,Supports!$B$4:$B$23,0)),""),Catalogue!$B$4:$B$454,0)),"")))))</f>
        <v/>
      </c>
      <c r="C145" s="76" t="str">
        <f>IF((IFERROR(INDEX(Supports!$G$4:$G$23,MATCH(SPK!$H$35,Supports!$B$4:$B$23,0)),""))="","",IF(IFERROR(INDEX(Supports!$G$4:$G$23,MATCH(SPK!$H$35,Supports!$B$4:$B$23,0)),"")="ETRIER RALLONGE (DN automatique = DN du tube)",IFERROR(INDEX(Catalogue!$B$4:$B$454,SUMPRODUCT(((Catalogue!$C$4:$C$454="ETRIER")*(Catalogue!$E$4:$E$454=(SPK!$H$22+0)))*ROW(Catalogue!$C$4:$C$454))-3),""),IF(IFERROR(INDEX(Supports!$G$4:$G$23,MATCH(SPK!$H$35,Supports!$B$4:$B$23,0)),"")="COLLIER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tube)",IFERROR(INDEX(Catalogue!$B$4:$B$454,SUMPRODUCT(((Catalogue!$C$4:$C$454="COLLIERINDUS")*(Catalogue!$E$4:$E$454=(SPK!$H$22+0)))*ROW(Catalogue!$C$4:$C$454))-3),""),IF(IFERROR(INDEX(Supports!$G$4:$G$23,MATCH(SPK!$H$35,Supports!$B$4:$B$23,0)),"")="COLLIER POIRE (DN automatique = DN du tube)",IFERROR(INDEX(Catalogue!$B$4:$B$454,SUMPRODUCT(((Catalogue!$C$4:$C$454="COLLIERPOIRE")*(Catalogue!$E$4:$E$454=(SPK!$H$22+0)))*ROW(Catalogue!$C$4:$C$454))-3),""),IFERROR(INDEX(Supports!$G$4:$G$23,MATCH(SPK!$H$35,Supports!$B$4:$B$23,0)),"")))))</f>
        <v/>
      </c>
      <c r="D145" s="76" t="str">
        <f>IF((IFERROR(INDEX(Supports!$G$4:$G$23,MATCH(SPK!$H$35,Supports!$B$4:$B$23,0)),""))="","",(IFERROR(INDEX(Supports!$H$4:$H$23,MATCH(SPK!$H$35,Supports!$B$4:$B$23,0)),0))*SPK!$H$36)</f>
        <v/>
      </c>
      <c r="E145" s="76" t="s">
        <v>1036</v>
      </c>
      <c r="F145" s="76" t="str">
        <f t="shared" si="2"/>
        <v/>
      </c>
      <c r="G145" s="76">
        <f>IF(AND(B145&lt;&gt;"",B145&lt;&gt;"Non trouvé - vérifier",D145&lt;&gt;"",D145&lt;&gt;0),IF(COUNTIF($B$2:B145,B145)=1,1,0),0)</f>
        <v>0</v>
      </c>
    </row>
    <row r="146" spans="1:7" x14ac:dyDescent="0.25">
      <c r="A146" s="76" t="s">
        <v>1072</v>
      </c>
      <c r="B146" s="76" t="str">
        <f>IF((IFERROR(INDEX(Supports!$I$4:$I$23,MATCH(SPK!$H$35,Supports!$B$4:$B$23,0)),""))="","",IF(IFERROR(INDEX(Supports!$I$4:$I$23,MATCH(SPK!$H$35,Supports!$B$4:$B$23,0)),"")="ETRIER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vérifier"),IF(IFERROR(INDEX(Supports!$I$4:$I$23,MATCH(SPK!$H$35,Supports!$B$4:$B$23,0)),"")="COLLIER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vérifier"),IF(IFERROR(INDEX(Supports!$I$4:$I$23,MATCH(SPK!$H$35,Supports!$B$4:$B$23,0)),"")="COLLIER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vérifier"),IFERROR(INDEX(Catalogue!$A$4:$A$454,MATCH(IFERROR(INDEX(Supports!$I$4:$I$23,MATCH(SPK!$H$35,Supports!$B$4:$B$23,0)),""),Catalogue!$B$4:$B$454,0)),"")))))</f>
        <v/>
      </c>
      <c r="C146" s="76" t="str">
        <f>IF((IFERROR(INDEX(Supports!$I$4:$I$23,MATCH(SPK!$H$35,Supports!$B$4:$B$23,0)),""))="","",IF(IFERROR(INDEX(Supports!$I$4:$I$23,MATCH(SPK!$H$35,Supports!$B$4:$B$23,0)),"")="ETRIER RALLONGE (DN automatique = DN du tube)",IFERROR(INDEX(Catalogue!$B$4:$B$454,SUMPRODUCT(((Catalogue!$C$4:$C$454="ETRIER")*(Catalogue!$E$4:$E$454=(SPK!$H$22+0)))*ROW(Catalogue!$C$4:$C$454))-3),""),IF(IFERROR(INDEX(Supports!$I$4:$I$23,MATCH(SPK!$H$35,Supports!$B$4:$B$23,0)),"")="COLLIER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tube)",IFERROR(INDEX(Catalogue!$B$4:$B$454,SUMPRODUCT(((Catalogue!$C$4:$C$454="COLLIERINDUS")*(Catalogue!$E$4:$E$454=(SPK!$H$22+0)))*ROW(Catalogue!$C$4:$C$454))-3),""),IF(IFERROR(INDEX(Supports!$I$4:$I$23,MATCH(SPK!$H$35,Supports!$B$4:$B$23,0)),"")="COLLIER POIRE (DN automatique = DN du tube)",IFERROR(INDEX(Catalogue!$B$4:$B$454,SUMPRODUCT(((Catalogue!$C$4:$C$454="COLLIERPOIRE")*(Catalogue!$E$4:$E$454=(SPK!$H$22+0)))*ROW(Catalogue!$C$4:$C$454))-3),""),IFERROR(INDEX(Supports!$I$4:$I$23,MATCH(SPK!$H$35,Supports!$B$4:$B$23,0)),"")))))</f>
        <v/>
      </c>
      <c r="D146" s="76" t="str">
        <f>IF((IFERROR(INDEX(Supports!$I$4:$I$23,MATCH(SPK!$H$35,Supports!$B$4:$B$23,0)),""))="","",(IFERROR(INDEX(Supports!$J$4:$J$23,MATCH(SPK!$H$35,Supports!$B$4:$B$23,0)),0))*SPK!$H$36)</f>
        <v/>
      </c>
      <c r="E146" s="76" t="s">
        <v>1036</v>
      </c>
      <c r="F146" s="76" t="str">
        <f t="shared" si="2"/>
        <v/>
      </c>
      <c r="G146" s="76">
        <f>IF(AND(B146&lt;&gt;"",B146&lt;&gt;"Non trouvé - vérifier",D146&lt;&gt;"",D146&lt;&gt;0),IF(COUNTIF($B$2:B146,B146)=1,1,0),0)</f>
        <v>0</v>
      </c>
    </row>
    <row r="147" spans="1:7" x14ac:dyDescent="0.25">
      <c r="A147" s="76" t="s">
        <v>1072</v>
      </c>
      <c r="B147" s="76" t="str">
        <f>IF((IFERROR(INDEX(Supports!$K$4:$K$23,MATCH(SPK!$H$35,Supports!$B$4:$B$23,0)),""))="","",IF(IFERROR(INDEX(Supports!$K$4:$K$23,MATCH(SPK!$H$35,Supports!$B$4:$B$23,0)),"")="ETRIER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vérifier"),IF(IFERROR(INDEX(Supports!$K$4:$K$23,MATCH(SPK!$H$35,Supports!$B$4:$B$23,0)),"")="COLLIER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vérifier"),IF(IFERROR(INDEX(Supports!$K$4:$K$23,MATCH(SPK!$H$35,Supports!$B$4:$B$23,0)),"")="COLLIER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vérifier"),IFERROR(INDEX(Catalogue!$A$4:$A$454,MATCH(IFERROR(INDEX(Supports!$K$4:$K$23,MATCH(SPK!$H$35,Supports!$B$4:$B$23,0)),""),Catalogue!$B$4:$B$454,0)),"")))))</f>
        <v/>
      </c>
      <c r="C147" s="76" t="str">
        <f>IF((IFERROR(INDEX(Supports!$K$4:$K$23,MATCH(SPK!$H$35,Supports!$B$4:$B$23,0)),""))="","",IF(IFERROR(INDEX(Supports!$K$4:$K$23,MATCH(SPK!$H$35,Supports!$B$4:$B$23,0)),"")="ETRIER RALLONGE (DN automatique = DN du tube)",IFERROR(INDEX(Catalogue!$B$4:$B$454,SUMPRODUCT(((Catalogue!$C$4:$C$454="ETRIER")*(Catalogue!$E$4:$E$454=(SPK!$H$22+0)))*ROW(Catalogue!$C$4:$C$454))-3),""),IF(IFERROR(INDEX(Supports!$K$4:$K$23,MATCH(SPK!$H$35,Supports!$B$4:$B$23,0)),"")="COLLIER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tube)",IFERROR(INDEX(Catalogue!$B$4:$B$454,SUMPRODUCT(((Catalogue!$C$4:$C$454="COLLIERINDUS")*(Catalogue!$E$4:$E$454=(SPK!$H$22+0)))*ROW(Catalogue!$C$4:$C$454))-3),""),IF(IFERROR(INDEX(Supports!$K$4:$K$23,MATCH(SPK!$H$35,Supports!$B$4:$B$23,0)),"")="COLLIER POIRE (DN automatique = DN du tube)",IFERROR(INDEX(Catalogue!$B$4:$B$454,SUMPRODUCT(((Catalogue!$C$4:$C$454="COLLIERPOIRE")*(Catalogue!$E$4:$E$454=(SPK!$H$22+0)))*ROW(Catalogue!$C$4:$C$454))-3),""),IFERROR(INDEX(Supports!$K$4:$K$23,MATCH(SPK!$H$35,Supports!$B$4:$B$23,0)),"")))))</f>
        <v/>
      </c>
      <c r="D147" s="76" t="str">
        <f>IF((IFERROR(INDEX(Supports!$K$4:$K$23,MATCH(SPK!$H$35,Supports!$B$4:$B$23,0)),""))="","",(IFERROR(INDEX(Supports!$L$4:$L$23,MATCH(SPK!$H$35,Supports!$B$4:$B$23,0)),0))*SPK!$H$36)</f>
        <v/>
      </c>
      <c r="E147" s="76" t="s">
        <v>1036</v>
      </c>
      <c r="F147" s="76" t="str">
        <f t="shared" si="2"/>
        <v/>
      </c>
      <c r="G147" s="76">
        <f>IF(AND(B147&lt;&gt;"",B147&lt;&gt;"Non trouvé - vérifier",D147&lt;&gt;"",D147&lt;&gt;0),IF(COUNTIF($B$2:B147,B147)=1,1,0),0)</f>
        <v>0</v>
      </c>
    </row>
    <row r="148" spans="1:7" x14ac:dyDescent="0.25">
      <c r="A148" s="76" t="s">
        <v>1072</v>
      </c>
      <c r="B148" s="76" t="str">
        <f>IF((IFERROR(INDEX(Supports!$M$4:$M$23,MATCH(SPK!$H$35,Supports!$B$4:$B$23,0)),""))="","",IF(IFERROR(INDEX(Supports!$M$4:$M$23,MATCH(SPK!$H$35,Supports!$B$4:$B$23,0)),"")="ETRIER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vérifier"),IF(IFERROR(INDEX(Supports!$M$4:$M$23,MATCH(SPK!$H$35,Supports!$B$4:$B$23,0)),"")="COLLIER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vérifier"),IF(IFERROR(INDEX(Supports!$M$4:$M$23,MATCH(SPK!$H$35,Supports!$B$4:$B$23,0)),"")="COLLIER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vérifier"),IFERROR(INDEX(Catalogue!$A$4:$A$454,MATCH(IFERROR(INDEX(Supports!$M$4:$M$23,MATCH(SPK!$H$35,Supports!$B$4:$B$23,0)),""),Catalogue!$B$4:$B$454,0)),"")))))</f>
        <v/>
      </c>
      <c r="C148" s="76" t="str">
        <f>IF((IFERROR(INDEX(Supports!$M$4:$M$23,MATCH(SPK!$H$35,Supports!$B$4:$B$23,0)),""))="","",IF(IFERROR(INDEX(Supports!$M$4:$M$23,MATCH(SPK!$H$35,Supports!$B$4:$B$23,0)),"")="ETRIER RALLONGE (DN automatique = DN du tube)",IFERROR(INDEX(Catalogue!$B$4:$B$454,SUMPRODUCT(((Catalogue!$C$4:$C$454="ETRIER")*(Catalogue!$E$4:$E$454=(SPK!$H$22+0)))*ROW(Catalogue!$C$4:$C$454))-3),""),IF(IFERROR(INDEX(Supports!$M$4:$M$23,MATCH(SPK!$H$35,Supports!$B$4:$B$23,0)),"")="COLLIER INDUSTRIEL (DN automatique = DN du tube)",IFERROR(INDEX(Catalogue!$B$4:$B$454,SUMPRODUCT(((Catalogue!$C$4:$C$454="COLLIERINDUS")*(Catalogue!$E$4:$E$454=(SPK!$H$22+0)))*ROW(Catalogue!$C$4:$C$454))-3),""),IF(IFERROR(INDEX(Supports!$M$4:$M$23,MATCH(SPK!$H$35,Supports!$B$4:$B$23,0)),"")="COLLIER POIRE (DN automatique = DN du tube)",IFERROR(INDEX(Catalogue!$B$4:$B$454,SUMPRODUCT(((Catalogue!$C$4:$C$454="COLLIERPOIRE")*(Catalogue!$E$4:$E$454=(SPK!$H$22+0)))*ROW(Catalogue!$C$4:$C$454))-3),""),IFERROR(INDEX(Supports!$M$4:$M$23,MATCH(SPK!$H$35,Supports!$B$4:$B$23,0)),"")))))</f>
        <v/>
      </c>
      <c r="D148" s="76" t="str">
        <f>IF((IFERROR(INDEX(Supports!$M$4:$M$23,MATCH(SPK!$H$35,Supports!$B$4:$B$23,0)),""))="","",(IFERROR(INDEX(Supports!$N$4:$N$23,MATCH(SPK!$H$35,Supports!$B$4:$B$23,0)),0))*SPK!$H$36)</f>
        <v/>
      </c>
      <c r="E148" s="76" t="s">
        <v>1036</v>
      </c>
      <c r="F148" s="76" t="str">
        <f t="shared" si="2"/>
        <v/>
      </c>
      <c r="G148" s="76">
        <f>IF(AND(B148&lt;&gt;"",B148&lt;&gt;"Non trouvé - vérifier",D148&lt;&gt;"",D148&lt;&gt;0),IF(COUNTIF($B$2:B148,B148)=1,1,0),0)</f>
        <v>0</v>
      </c>
    </row>
    <row r="149" spans="1:7" x14ac:dyDescent="0.25">
      <c r="A149" s="76" t="s">
        <v>1073</v>
      </c>
      <c r="B149" s="76" t="str">
        <f>IF((IFERROR(INDEX(Supports!$C$4:$C$23,MATCH(SPK!$H$37,Supports!$B$4:$B$23,0)),""))="","",IF(IFERROR(INDEX(Supports!$C$4:$C$23,MATCH(SPK!$H$37,Supports!$B$4:$B$23,0)),"")="ETRIER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vérifier"),IF(IFERROR(INDEX(Supports!$C$4:$C$23,MATCH(SPK!$H$37,Supports!$B$4:$B$23,0)),"")="COLLIER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vérifier"),IF(IFERROR(INDEX(Supports!$C$4:$C$23,MATCH(SPK!$H$37,Supports!$B$4:$B$23,0)),"")="COLLIER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vérifier"),IFERROR(INDEX(Catalogue!$A$4:$A$454,MATCH(IFERROR(INDEX(Supports!$C$4:$C$23,MATCH(SPK!$H$37,Supports!$B$4:$B$23,0)),""),Catalogue!$B$4:$B$454,0)),"")))))</f>
        <v/>
      </c>
      <c r="C149" s="76" t="str">
        <f>IF((IFERROR(INDEX(Supports!$C$4:$C$23,MATCH(SPK!$H$37,Supports!$B$4:$B$23,0)),""))="","",IF(IFERROR(INDEX(Supports!$C$4:$C$23,MATCH(SPK!$H$37,Supports!$B$4:$B$23,0)),"")="ETRIER RALLONGE (DN automatique = DN du tube)",IFERROR(INDEX(Catalogue!$B$4:$B$454,SUMPRODUCT(((Catalogue!$C$4:$C$454="ETRIER")*(Catalogue!$E$4:$E$454=(SPK!$H$22+0)))*ROW(Catalogue!$C$4:$C$454))-3),""),IF(IFERROR(INDEX(Supports!$C$4:$C$23,MATCH(SPK!$H$37,Supports!$B$4:$B$23,0)),"")="COLLIER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tube)",IFERROR(INDEX(Catalogue!$B$4:$B$454,SUMPRODUCT(((Catalogue!$C$4:$C$454="COLLIERINDUS")*(Catalogue!$E$4:$E$454=(SPK!$H$22+0)))*ROW(Catalogue!$C$4:$C$454))-3),""),IF(IFERROR(INDEX(Supports!$C$4:$C$23,MATCH(SPK!$H$37,Supports!$B$4:$B$23,0)),"")="COLLIER POIRE (DN automatique = DN du tube)",IFERROR(INDEX(Catalogue!$B$4:$B$454,SUMPRODUCT(((Catalogue!$C$4:$C$454="COLLIERPOIRE")*(Catalogue!$E$4:$E$454=(SPK!$H$22+0)))*ROW(Catalogue!$C$4:$C$454))-3),""),IFERROR(INDEX(Supports!$C$4:$C$23,MATCH(SPK!$H$37,Supports!$B$4:$B$23,0)),"")))))</f>
        <v/>
      </c>
      <c r="D149" s="76" t="str">
        <f>IF((IFERROR(INDEX(Supports!$C$4:$C$23,MATCH(SPK!$H$37,Supports!$B$4:$B$23,0)),""))="","",(IFERROR(INDEX(Supports!$D$4:$D$23,MATCH(SPK!$H$37,Supports!$B$4:$B$23,0)),0))*SPK!$H$38)</f>
        <v/>
      </c>
      <c r="E149" s="76" t="s">
        <v>1036</v>
      </c>
      <c r="F149" s="76" t="str">
        <f t="shared" si="2"/>
        <v/>
      </c>
      <c r="G149" s="76">
        <f>IF(AND(B149&lt;&gt;"",B149&lt;&gt;"Non trouvé - vérifier",D149&lt;&gt;"",D149&lt;&gt;0),IF(COUNTIF($B$2:B149,B149)=1,1,0),0)</f>
        <v>0</v>
      </c>
    </row>
    <row r="150" spans="1:7" x14ac:dyDescent="0.25">
      <c r="A150" s="76" t="s">
        <v>1073</v>
      </c>
      <c r="B150" s="76" t="str">
        <f>IF((IFERROR(INDEX(Supports!$E$4:$E$23,MATCH(SPK!$H$37,Supports!$B$4:$B$23,0)),""))="","",IF(IFERROR(INDEX(Supports!$E$4:$E$23,MATCH(SPK!$H$37,Supports!$B$4:$B$23,0)),"")="ETRIER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vérifier"),IF(IFERROR(INDEX(Supports!$E$4:$E$23,MATCH(SPK!$H$37,Supports!$B$4:$B$23,0)),"")="COLLIER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vérifier"),IF(IFERROR(INDEX(Supports!$E$4:$E$23,MATCH(SPK!$H$37,Supports!$B$4:$B$23,0)),"")="COLLIER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vérifier"),IFERROR(INDEX(Catalogue!$A$4:$A$454,MATCH(IFERROR(INDEX(Supports!$E$4:$E$23,MATCH(SPK!$H$37,Supports!$B$4:$B$23,0)),""),Catalogue!$B$4:$B$454,0)),"")))))</f>
        <v/>
      </c>
      <c r="C150" s="76" t="str">
        <f>IF((IFERROR(INDEX(Supports!$E$4:$E$23,MATCH(SPK!$H$37,Supports!$B$4:$B$23,0)),""))="","",IF(IFERROR(INDEX(Supports!$E$4:$E$23,MATCH(SPK!$H$37,Supports!$B$4:$B$23,0)),"")="ETRIER RALLONGE (DN automatique = DN du tube)",IFERROR(INDEX(Catalogue!$B$4:$B$454,SUMPRODUCT(((Catalogue!$C$4:$C$454="ETRIER")*(Catalogue!$E$4:$E$454=(SPK!$H$22+0)))*ROW(Catalogue!$C$4:$C$454))-3),""),IF(IFERROR(INDEX(Supports!$E$4:$E$23,MATCH(SPK!$H$37,Supports!$B$4:$B$23,0)),"")="COLLIER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tube)",IFERROR(INDEX(Catalogue!$B$4:$B$454,SUMPRODUCT(((Catalogue!$C$4:$C$454="COLLIERINDUS")*(Catalogue!$E$4:$E$454=(SPK!$H$22+0)))*ROW(Catalogue!$C$4:$C$454))-3),""),IF(IFERROR(INDEX(Supports!$E$4:$E$23,MATCH(SPK!$H$37,Supports!$B$4:$B$23,0)),"")="COLLIER POIRE (DN automatique = DN du tube)",IFERROR(INDEX(Catalogue!$B$4:$B$454,SUMPRODUCT(((Catalogue!$C$4:$C$454="COLLIERPOIRE")*(Catalogue!$E$4:$E$454=(SPK!$H$22+0)))*ROW(Catalogue!$C$4:$C$454))-3),""),IFERROR(INDEX(Supports!$E$4:$E$23,MATCH(SPK!$H$37,Supports!$B$4:$B$23,0)),"")))))</f>
        <v/>
      </c>
      <c r="D150" s="76" t="str">
        <f>IF((IFERROR(INDEX(Supports!$E$4:$E$23,MATCH(SPK!$H$37,Supports!$B$4:$B$23,0)),""))="","",(IFERROR(INDEX(Supports!$F$4:$F$23,MATCH(SPK!$H$37,Supports!$B$4:$B$23,0)),0))*SPK!$H$38)</f>
        <v/>
      </c>
      <c r="E150" s="76" t="s">
        <v>1036</v>
      </c>
      <c r="F150" s="76" t="str">
        <f t="shared" si="2"/>
        <v/>
      </c>
      <c r="G150" s="76">
        <f>IF(AND(B150&lt;&gt;"",B150&lt;&gt;"Non trouvé - vérifier",D150&lt;&gt;"",D150&lt;&gt;0),IF(COUNTIF($B$2:B150,B150)=1,1,0),0)</f>
        <v>0</v>
      </c>
    </row>
    <row r="151" spans="1:7" x14ac:dyDescent="0.25">
      <c r="A151" s="76" t="s">
        <v>1073</v>
      </c>
      <c r="B151" s="76" t="str">
        <f>IF((IFERROR(INDEX(Supports!$G$4:$G$23,MATCH(SPK!$H$37,Supports!$B$4:$B$23,0)),""))="","",IF(IFERROR(INDEX(Supports!$G$4:$G$23,MATCH(SPK!$H$37,Supports!$B$4:$B$23,0)),"")="ETRIER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vérifier"),IF(IFERROR(INDEX(Supports!$G$4:$G$23,MATCH(SPK!$H$37,Supports!$B$4:$B$23,0)),"")="COLLIER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vérifier"),IF(IFERROR(INDEX(Supports!$G$4:$G$23,MATCH(SPK!$H$37,Supports!$B$4:$B$23,0)),"")="COLLIER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vérifier"),IFERROR(INDEX(Catalogue!$A$4:$A$454,MATCH(IFERROR(INDEX(Supports!$G$4:$G$23,MATCH(SPK!$H$37,Supports!$B$4:$B$23,0)),""),Catalogue!$B$4:$B$454,0)),"")))))</f>
        <v/>
      </c>
      <c r="C151" s="76" t="str">
        <f>IF((IFERROR(INDEX(Supports!$G$4:$G$23,MATCH(SPK!$H$37,Supports!$B$4:$B$23,0)),""))="","",IF(IFERROR(INDEX(Supports!$G$4:$G$23,MATCH(SPK!$H$37,Supports!$B$4:$B$23,0)),"")="ETRIER RALLONGE (DN automatique = DN du tube)",IFERROR(INDEX(Catalogue!$B$4:$B$454,SUMPRODUCT(((Catalogue!$C$4:$C$454="ETRIER")*(Catalogue!$E$4:$E$454=(SPK!$H$22+0)))*ROW(Catalogue!$C$4:$C$454))-3),""),IF(IFERROR(INDEX(Supports!$G$4:$G$23,MATCH(SPK!$H$37,Supports!$B$4:$B$23,0)),"")="COLLIER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tube)",IFERROR(INDEX(Catalogue!$B$4:$B$454,SUMPRODUCT(((Catalogue!$C$4:$C$454="COLLIERINDUS")*(Catalogue!$E$4:$E$454=(SPK!$H$22+0)))*ROW(Catalogue!$C$4:$C$454))-3),""),IF(IFERROR(INDEX(Supports!$G$4:$G$23,MATCH(SPK!$H$37,Supports!$B$4:$B$23,0)),"")="COLLIER POIRE (DN automatique = DN du tube)",IFERROR(INDEX(Catalogue!$B$4:$B$454,SUMPRODUCT(((Catalogue!$C$4:$C$454="COLLIERPOIRE")*(Catalogue!$E$4:$E$454=(SPK!$H$22+0)))*ROW(Catalogue!$C$4:$C$454))-3),""),IFERROR(INDEX(Supports!$G$4:$G$23,MATCH(SPK!$H$37,Supports!$B$4:$B$23,0)),"")))))</f>
        <v/>
      </c>
      <c r="D151" s="76" t="str">
        <f>IF((IFERROR(INDEX(Supports!$G$4:$G$23,MATCH(SPK!$H$37,Supports!$B$4:$B$23,0)),""))="","",(IFERROR(INDEX(Supports!$H$4:$H$23,MATCH(SPK!$H$37,Supports!$B$4:$B$23,0)),0))*SPK!$H$38)</f>
        <v/>
      </c>
      <c r="E151" s="76" t="s">
        <v>1036</v>
      </c>
      <c r="F151" s="76" t="str">
        <f t="shared" si="2"/>
        <v/>
      </c>
      <c r="G151" s="76">
        <f>IF(AND(B151&lt;&gt;"",B151&lt;&gt;"Non trouvé - vérifier",D151&lt;&gt;"",D151&lt;&gt;0),IF(COUNTIF($B$2:B151,B151)=1,1,0),0)</f>
        <v>0</v>
      </c>
    </row>
    <row r="152" spans="1:7" x14ac:dyDescent="0.25">
      <c r="A152" s="76" t="s">
        <v>1073</v>
      </c>
      <c r="B152" s="76" t="str">
        <f>IF((IFERROR(INDEX(Supports!$I$4:$I$23,MATCH(SPK!$H$37,Supports!$B$4:$B$23,0)),""))="","",IF(IFERROR(INDEX(Supports!$I$4:$I$23,MATCH(SPK!$H$37,Supports!$B$4:$B$23,0)),"")="ETRIER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vérifier"),IF(IFERROR(INDEX(Supports!$I$4:$I$23,MATCH(SPK!$H$37,Supports!$B$4:$B$23,0)),"")="COLLIER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vérifier"),IF(IFERROR(INDEX(Supports!$I$4:$I$23,MATCH(SPK!$H$37,Supports!$B$4:$B$23,0)),"")="COLLIER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vérifier"),IFERROR(INDEX(Catalogue!$A$4:$A$454,MATCH(IFERROR(INDEX(Supports!$I$4:$I$23,MATCH(SPK!$H$37,Supports!$B$4:$B$23,0)),""),Catalogue!$B$4:$B$454,0)),"")))))</f>
        <v/>
      </c>
      <c r="C152" s="76" t="str">
        <f>IF((IFERROR(INDEX(Supports!$I$4:$I$23,MATCH(SPK!$H$37,Supports!$B$4:$B$23,0)),""))="","",IF(IFERROR(INDEX(Supports!$I$4:$I$23,MATCH(SPK!$H$37,Supports!$B$4:$B$23,0)),"")="ETRIER RALLONGE (DN automatique = DN du tube)",IFERROR(INDEX(Catalogue!$B$4:$B$454,SUMPRODUCT(((Catalogue!$C$4:$C$454="ETRIER")*(Catalogue!$E$4:$E$454=(SPK!$H$22+0)))*ROW(Catalogue!$C$4:$C$454))-3),""),IF(IFERROR(INDEX(Supports!$I$4:$I$23,MATCH(SPK!$H$37,Supports!$B$4:$B$23,0)),"")="COLLIER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tube)",IFERROR(INDEX(Catalogue!$B$4:$B$454,SUMPRODUCT(((Catalogue!$C$4:$C$454="COLLIERINDUS")*(Catalogue!$E$4:$E$454=(SPK!$H$22+0)))*ROW(Catalogue!$C$4:$C$454))-3),""),IF(IFERROR(INDEX(Supports!$I$4:$I$23,MATCH(SPK!$H$37,Supports!$B$4:$B$23,0)),"")="COLLIER POIRE (DN automatique = DN du tube)",IFERROR(INDEX(Catalogue!$B$4:$B$454,SUMPRODUCT(((Catalogue!$C$4:$C$454="COLLIERPOIRE")*(Catalogue!$E$4:$E$454=(SPK!$H$22+0)))*ROW(Catalogue!$C$4:$C$454))-3),""),IFERROR(INDEX(Supports!$I$4:$I$23,MATCH(SPK!$H$37,Supports!$B$4:$B$23,0)),"")))))</f>
        <v/>
      </c>
      <c r="D152" s="76" t="str">
        <f>IF((IFERROR(INDEX(Supports!$I$4:$I$23,MATCH(SPK!$H$37,Supports!$B$4:$B$23,0)),""))="","",(IFERROR(INDEX(Supports!$J$4:$J$23,MATCH(SPK!$H$37,Supports!$B$4:$B$23,0)),0))*SPK!$H$38)</f>
        <v/>
      </c>
      <c r="E152" s="76" t="s">
        <v>1036</v>
      </c>
      <c r="F152" s="76" t="str">
        <f t="shared" si="2"/>
        <v/>
      </c>
      <c r="G152" s="76">
        <f>IF(AND(B152&lt;&gt;"",B152&lt;&gt;"Non trouvé - vérifier",D152&lt;&gt;"",D152&lt;&gt;0),IF(COUNTIF($B$2:B152,B152)=1,1,0),0)</f>
        <v>0</v>
      </c>
    </row>
    <row r="153" spans="1:7" x14ac:dyDescent="0.25">
      <c r="A153" s="76" t="s">
        <v>1073</v>
      </c>
      <c r="B153" s="76" t="str">
        <f>IF((IFERROR(INDEX(Supports!$K$4:$K$23,MATCH(SPK!$H$37,Supports!$B$4:$B$23,0)),""))="","",IF(IFERROR(INDEX(Supports!$K$4:$K$23,MATCH(SPK!$H$37,Supports!$B$4:$B$23,0)),"")="ETRIER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vérifier"),IF(IFERROR(INDEX(Supports!$K$4:$K$23,MATCH(SPK!$H$37,Supports!$B$4:$B$23,0)),"")="COLLIER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vérifier"),IF(IFERROR(INDEX(Supports!$K$4:$K$23,MATCH(SPK!$H$37,Supports!$B$4:$B$23,0)),"")="COLLIER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vérifier"),IFERROR(INDEX(Catalogue!$A$4:$A$454,MATCH(IFERROR(INDEX(Supports!$K$4:$K$23,MATCH(SPK!$H$37,Supports!$B$4:$B$23,0)),""),Catalogue!$B$4:$B$454,0)),"")))))</f>
        <v/>
      </c>
      <c r="C153" s="76" t="str">
        <f>IF((IFERROR(INDEX(Supports!$K$4:$K$23,MATCH(SPK!$H$37,Supports!$B$4:$B$23,0)),""))="","",IF(IFERROR(INDEX(Supports!$K$4:$K$23,MATCH(SPK!$H$37,Supports!$B$4:$B$23,0)),"")="ETRIER RALLONGE (DN automatique = DN du tube)",IFERROR(INDEX(Catalogue!$B$4:$B$454,SUMPRODUCT(((Catalogue!$C$4:$C$454="ETRIER")*(Catalogue!$E$4:$E$454=(SPK!$H$22+0)))*ROW(Catalogue!$C$4:$C$454))-3),""),IF(IFERROR(INDEX(Supports!$K$4:$K$23,MATCH(SPK!$H$37,Supports!$B$4:$B$23,0)),"")="COLLIER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tube)",IFERROR(INDEX(Catalogue!$B$4:$B$454,SUMPRODUCT(((Catalogue!$C$4:$C$454="COLLIERINDUS")*(Catalogue!$E$4:$E$454=(SPK!$H$22+0)))*ROW(Catalogue!$C$4:$C$454))-3),""),IF(IFERROR(INDEX(Supports!$K$4:$K$23,MATCH(SPK!$H$37,Supports!$B$4:$B$23,0)),"")="COLLIER POIRE (DN automatique = DN du tube)",IFERROR(INDEX(Catalogue!$B$4:$B$454,SUMPRODUCT(((Catalogue!$C$4:$C$454="COLLIERPOIRE")*(Catalogue!$E$4:$E$454=(SPK!$H$22+0)))*ROW(Catalogue!$C$4:$C$454))-3),""),IFERROR(INDEX(Supports!$K$4:$K$23,MATCH(SPK!$H$37,Supports!$B$4:$B$23,0)),"")))))</f>
        <v/>
      </c>
      <c r="D153" s="76" t="str">
        <f>IF((IFERROR(INDEX(Supports!$K$4:$K$23,MATCH(SPK!$H$37,Supports!$B$4:$B$23,0)),""))="","",(IFERROR(INDEX(Supports!$L$4:$L$23,MATCH(SPK!$H$37,Supports!$B$4:$B$23,0)),0))*SPK!$H$38)</f>
        <v/>
      </c>
      <c r="E153" s="76" t="s">
        <v>1036</v>
      </c>
      <c r="F153" s="76" t="str">
        <f t="shared" si="2"/>
        <v/>
      </c>
      <c r="G153" s="76">
        <f>IF(AND(B153&lt;&gt;"",B153&lt;&gt;"Non trouvé - vérifier",D153&lt;&gt;"",D153&lt;&gt;0),IF(COUNTIF($B$2:B153,B153)=1,1,0),0)</f>
        <v>0</v>
      </c>
    </row>
    <row r="154" spans="1:7" x14ac:dyDescent="0.25">
      <c r="A154" s="76" t="s">
        <v>1073</v>
      </c>
      <c r="B154" s="76" t="str">
        <f>IF((IFERROR(INDEX(Supports!$M$4:$M$23,MATCH(SPK!$H$37,Supports!$B$4:$B$23,0)),""))="","",IF(IFERROR(INDEX(Supports!$M$4:$M$23,MATCH(SPK!$H$37,Supports!$B$4:$B$23,0)),"")="ETRIER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vérifier"),IF(IFERROR(INDEX(Supports!$M$4:$M$23,MATCH(SPK!$H$37,Supports!$B$4:$B$23,0)),"")="COLLIER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vérifier"),IF(IFERROR(INDEX(Supports!$M$4:$M$23,MATCH(SPK!$H$37,Supports!$B$4:$B$23,0)),"")="COLLIER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vérifier"),IFERROR(INDEX(Catalogue!$A$4:$A$454,MATCH(IFERROR(INDEX(Supports!$M$4:$M$23,MATCH(SPK!$H$37,Supports!$B$4:$B$23,0)),""),Catalogue!$B$4:$B$454,0)),"")))))</f>
        <v/>
      </c>
      <c r="C154" s="76" t="str">
        <f>IF((IFERROR(INDEX(Supports!$M$4:$M$23,MATCH(SPK!$H$37,Supports!$B$4:$B$23,0)),""))="","",IF(IFERROR(INDEX(Supports!$M$4:$M$23,MATCH(SPK!$H$37,Supports!$B$4:$B$23,0)),"")="ETRIER RALLONGE (DN automatique = DN du tube)",IFERROR(INDEX(Catalogue!$B$4:$B$454,SUMPRODUCT(((Catalogue!$C$4:$C$454="ETRIER")*(Catalogue!$E$4:$E$454=(SPK!$H$22+0)))*ROW(Catalogue!$C$4:$C$454))-3),""),IF(IFERROR(INDEX(Supports!$M$4:$M$23,MATCH(SPK!$H$37,Supports!$B$4:$B$23,0)),"")="COLLIER INDUSTRIEL (DN automatique = DN du tube)",IFERROR(INDEX(Catalogue!$B$4:$B$454,SUMPRODUCT(((Catalogue!$C$4:$C$454="COLLIERINDUS")*(Catalogue!$E$4:$E$454=(SPK!$H$22+0)))*ROW(Catalogue!$C$4:$C$454))-3),""),IF(IFERROR(INDEX(Supports!$M$4:$M$23,MATCH(SPK!$H$37,Supports!$B$4:$B$23,0)),"")="COLLIER POIRE (DN automatique = DN du tube)",IFERROR(INDEX(Catalogue!$B$4:$B$454,SUMPRODUCT(((Catalogue!$C$4:$C$454="COLLIERPOIRE")*(Catalogue!$E$4:$E$454=(SPK!$H$22+0)))*ROW(Catalogue!$C$4:$C$454))-3),""),IFERROR(INDEX(Supports!$M$4:$M$23,MATCH(SPK!$H$37,Supports!$B$4:$B$23,0)),"")))))</f>
        <v/>
      </c>
      <c r="D154" s="76" t="str">
        <f>IF((IFERROR(INDEX(Supports!$M$4:$M$23,MATCH(SPK!$H$37,Supports!$B$4:$B$23,0)),""))="","",(IFERROR(INDEX(Supports!$N$4:$N$23,MATCH(SPK!$H$37,Supports!$B$4:$B$23,0)),0))*SPK!$H$38)</f>
        <v/>
      </c>
      <c r="E154" s="76" t="s">
        <v>1036</v>
      </c>
      <c r="F154" s="76" t="str">
        <f t="shared" si="2"/>
        <v/>
      </c>
      <c r="G154" s="76">
        <f>IF(AND(B154&lt;&gt;"",B154&lt;&gt;"Non trouvé - vérifier",D154&lt;&gt;"",D154&lt;&gt;0),IF(COUNTIF($B$2:B154,B154)=1,1,0),0)</f>
        <v>0</v>
      </c>
    </row>
    <row r="155" spans="1:7" x14ac:dyDescent="0.25">
      <c r="A155" s="76" t="s">
        <v>1074</v>
      </c>
      <c r="B155" s="76" t="str">
        <f>"KOLMAT360"</f>
        <v>KOLMAT360</v>
      </c>
      <c r="C155" s="76" t="str">
        <f>"KOLMAT POT DE 360ML"</f>
        <v>KOLMAT POT DE 360ML</v>
      </c>
      <c r="D155" s="76">
        <f>SPK!$D$55</f>
        <v>0</v>
      </c>
      <c r="E155" s="76" t="s">
        <v>1075</v>
      </c>
      <c r="F155" s="76" t="str">
        <f t="shared" si="2"/>
        <v/>
      </c>
      <c r="G155" s="76">
        <f>IF(AND(B155&lt;&gt;"",B155&lt;&gt;"Non trouvé - vérifier",D155&lt;&gt;"",D155&lt;&gt;0),IF(COUNTIF($B$2:B155,B155)=1,1,0),0)</f>
        <v>0</v>
      </c>
    </row>
    <row r="156" spans="1:7" x14ac:dyDescent="0.25">
      <c r="A156" s="76" t="s">
        <v>1074</v>
      </c>
      <c r="B156" s="76" t="str">
        <f>"FILASSE200"</f>
        <v>FILASSE200</v>
      </c>
      <c r="C156" s="76" t="str">
        <f>"FILASSE POUPEE DE 200 GR"</f>
        <v>FILASSE POUPEE DE 200 GR</v>
      </c>
      <c r="D156" s="76">
        <f>SPK!$D$56</f>
        <v>0</v>
      </c>
      <c r="E156" s="76" t="s">
        <v>1076</v>
      </c>
      <c r="F156" s="76" t="str">
        <f t="shared" si="2"/>
        <v/>
      </c>
      <c r="G156" s="76">
        <f>IF(AND(B156&lt;&gt;"",B156&lt;&gt;"Non trouvé - vérifier",D156&lt;&gt;"",D156&lt;&gt;0),IF(COUNTIF($B$2:B156,B156)=1,1,0),0)</f>
        <v>0</v>
      </c>
    </row>
    <row r="157" spans="1:7" x14ac:dyDescent="0.25">
      <c r="A157" s="76" t="s">
        <v>1074</v>
      </c>
      <c r="B157" s="76" t="str">
        <f>"TEFLON"</f>
        <v>TEFLON</v>
      </c>
      <c r="C157" s="76" t="str">
        <f>"TEFLON"</f>
        <v>TEFLON</v>
      </c>
      <c r="D157" s="76">
        <f>SPK!$D$57</f>
        <v>0</v>
      </c>
      <c r="E157" s="76" t="s">
        <v>1076</v>
      </c>
      <c r="F157" s="76" t="str">
        <f t="shared" si="2"/>
        <v/>
      </c>
      <c r="G157" s="76">
        <f>IF(AND(B157&lt;&gt;"",B157&lt;&gt;"Non trouvé - vérifier",D157&lt;&gt;"",D157&lt;&gt;0),IF(COUNTIF($B$2:B157,B157)=1,1,0),0)</f>
        <v>0</v>
      </c>
    </row>
    <row r="158" spans="1:7" x14ac:dyDescent="0.25">
      <c r="A158" s="76" t="s">
        <v>1074</v>
      </c>
      <c r="B158" s="76" t="str">
        <f>"GRAISSEGRUVLOCK"</f>
        <v>GRAISSEGRUVLOCK</v>
      </c>
      <c r="C158" s="76" t="str">
        <f>"GRAISSE GRUVLOCK RACCORD RAINURE 1 KG"</f>
        <v>GRAISSE GRUVLOCK RACCORD RAINURE 1 KG</v>
      </c>
      <c r="D158" s="78">
        <f>SPK!$D$58</f>
        <v>0</v>
      </c>
      <c r="E158" s="76" t="s">
        <v>1077</v>
      </c>
      <c r="F158" s="76" t="str">
        <f t="shared" si="2"/>
        <v/>
      </c>
      <c r="G158" s="76">
        <f>IF(AND(B158&lt;&gt;"",B158&lt;&gt;"Non trouvé - vérifier",D158&lt;&gt;"",D158&lt;&gt;0),IF(COUNTIF($B$2:B158,B158)=1,1,0),0)</f>
        <v>0</v>
      </c>
    </row>
    <row r="159" spans="1:7" x14ac:dyDescent="0.25">
      <c r="A159" s="76" t="s">
        <v>1074</v>
      </c>
      <c r="B159" s="76" t="str">
        <f>IF(SPK!$D$6="X","PEINTBOMGALVA360",IF(SPK!$F$6="X","PEINT9005NOIREPOXY",""))</f>
        <v/>
      </c>
      <c r="C159" s="76" t="str">
        <f>IFERROR(INDEX(Catalogue!$B$4:$B$454,MATCH(B159,Catalogue!$A$4:$A$454,0)),"")</f>
        <v/>
      </c>
      <c r="D159" s="78">
        <f>SPK!$D$59</f>
        <v>0</v>
      </c>
      <c r="E159" s="76" t="s">
        <v>1076</v>
      </c>
      <c r="F159" s="76" t="str">
        <f t="shared" si="2"/>
        <v/>
      </c>
      <c r="G159" s="76">
        <f>IF(AND(B159&lt;&gt;"",B159&lt;&gt;"Non trouvé - vérifier",D159&lt;&gt;"",D159&lt;&gt;0),IF(COUNTIF($B$2:B159,B159)=1,1,0),0)</f>
        <v>0</v>
      </c>
    </row>
    <row r="160" spans="1:7" x14ac:dyDescent="0.25">
      <c r="A160" s="76" t="s">
        <v>1078</v>
      </c>
      <c r="B160" s="76" t="str">
        <f>IFERROR(INDEX(Catalogue!$A$4:$A$454,MATCH(SPK!$C$43,Catalogue!$B$4:$B$454,0)),"")</f>
        <v/>
      </c>
      <c r="C160" s="76" t="str">
        <f>IF(COUNTIF(Catalogue!$B$4:$B$454,SPK!$C$43)=0,"",SPK!$C$43)</f>
        <v/>
      </c>
      <c r="D160" s="78" t="str">
        <f>IF(COUNTIF(Catalogue!$B$4:$B$454,SPK!$C$43)=0,"",SPK!$D$43)</f>
        <v/>
      </c>
      <c r="E160" s="76" t="s">
        <v>1034</v>
      </c>
      <c r="F160" s="76" t="str">
        <f t="shared" si="2"/>
        <v/>
      </c>
      <c r="G160" s="76">
        <f>IF(AND(B160&lt;&gt;"",B160&lt;&gt;"Non trouvé - vérifier",D160&lt;&gt;"",D160&lt;&gt;0),IF(COUNTIF($B$2:B160,B160)=1,1,0),0)</f>
        <v>0</v>
      </c>
    </row>
    <row r="161" spans="1:7" x14ac:dyDescent="0.25">
      <c r="A161" s="76" t="s">
        <v>1079</v>
      </c>
      <c r="B161" s="76" t="str">
        <f>IFERROR(INDEX(Catalogue!$A$4:$A$454,MATCH(SPK!$C$44,Catalogue!$B$4:$B$454,0)),"")</f>
        <v/>
      </c>
      <c r="C161" s="79" t="str">
        <f>IF(COUNTIF(Catalogue!$B$4:$B$454,SPK!$C$44)=0,"",SPK!$C$44)</f>
        <v/>
      </c>
      <c r="D161" s="76" t="str">
        <f>IF(COUNTIF(Catalogue!$B$4:$B$454,SPK!$C$44)=0,"",SPK!$D$44)</f>
        <v/>
      </c>
      <c r="E161" s="76" t="s">
        <v>1034</v>
      </c>
      <c r="F161" s="76" t="str">
        <f t="shared" si="2"/>
        <v/>
      </c>
      <c r="G161" s="76">
        <f>IF(AND(B161&lt;&gt;"",B161&lt;&gt;"Non trouvé - vérifier",D161&lt;&gt;"",D161&lt;&gt;0),IF(COUNTIF($B$2:B161,B161)=1,1,0),0)</f>
        <v>0</v>
      </c>
    </row>
    <row r="162" spans="1:7" x14ac:dyDescent="0.25">
      <c r="A162" s="76" t="s">
        <v>1080</v>
      </c>
      <c r="B162" s="76" t="str">
        <f>IFERROR(INDEX(Catalogue!$A$4:$A$454,MATCH(SPK!$C$45,Catalogue!$B$4:$B$454,0)),"")</f>
        <v/>
      </c>
      <c r="C162" s="76" t="str">
        <f>IF(COUNTIF(Catalogue!$B$4:$B$454,SPK!$C$45)=0,"",SPK!$C$45)</f>
        <v/>
      </c>
      <c r="D162" s="76" t="str">
        <f>IF(COUNTIF(Catalogue!$B$4:$B$454,SPK!$C$45)=0,"",SPK!$D$45)</f>
        <v/>
      </c>
      <c r="E162" s="76" t="s">
        <v>1034</v>
      </c>
      <c r="F162" s="76" t="str">
        <f t="shared" si="2"/>
        <v/>
      </c>
      <c r="G162" s="76">
        <f>IF(AND(B162&lt;&gt;"",B162&lt;&gt;"Non trouvé - vérifier",D162&lt;&gt;"",D162&lt;&gt;0),IF(COUNTIF($B$2:B162,B162)=1,1,0),0)</f>
        <v>0</v>
      </c>
    </row>
    <row r="163" spans="1:7" x14ac:dyDescent="0.25">
      <c r="A163" s="76" t="s">
        <v>1081</v>
      </c>
      <c r="B163" s="76" t="str">
        <f>IFERROR(INDEX(Catalogue!$A$4:$A$454,MATCH(SPK!$C$46,Catalogue!$B$4:$B$454,0)),"")</f>
        <v/>
      </c>
      <c r="C163" s="76" t="str">
        <f>IF(COUNTIF(Catalogue!$B$4:$B$454,SPK!$C$46)=0,"",SPK!$C$46)</f>
        <v/>
      </c>
      <c r="D163" s="76" t="str">
        <f>IF(COUNTIF(Catalogue!$B$4:$B$454,SPK!$C$46)=0,"",SPK!$D$46)</f>
        <v/>
      </c>
      <c r="E163" s="76" t="s">
        <v>1034</v>
      </c>
      <c r="F163" s="76" t="str">
        <f t="shared" si="2"/>
        <v/>
      </c>
      <c r="G163" s="76">
        <f>IF(AND(B163&lt;&gt;"",B163&lt;&gt;"Non trouvé - vérifier",D163&lt;&gt;"",D163&lt;&gt;0),IF(COUNTIF($B$2:B163,B163)=1,1,0),0)</f>
        <v>0</v>
      </c>
    </row>
    <row r="164" spans="1:7" x14ac:dyDescent="0.25">
      <c r="A164" s="76" t="s">
        <v>1082</v>
      </c>
      <c r="B164" s="76" t="str">
        <f>IFERROR(INDEX(Catalogue!$A$4:$A$454,MATCH(SPK!$C$47,Catalogue!$B$4:$B$454,0)),"")</f>
        <v/>
      </c>
      <c r="C164" s="76" t="str">
        <f>IF(COUNTIF(Catalogue!$B$4:$B$454,SPK!$C$47)=0,"",SPK!$C$47)</f>
        <v/>
      </c>
      <c r="D164" s="76" t="str">
        <f>IF(COUNTIF(Catalogue!$B$4:$B$454,SPK!$C$47)=0,"",SPK!$D$47)</f>
        <v/>
      </c>
      <c r="E164" s="76" t="s">
        <v>1034</v>
      </c>
      <c r="F164" s="76" t="str">
        <f t="shared" si="2"/>
        <v/>
      </c>
      <c r="G164" s="76">
        <f>IF(AND(B164&lt;&gt;"",B164&lt;&gt;"Non trouvé - vérifier",D164&lt;&gt;"",D164&lt;&gt;0),IF(COUNTIF($B$2:B164,B164)=1,1,0),0)</f>
        <v>0</v>
      </c>
    </row>
    <row r="165" spans="1:7" x14ac:dyDescent="0.25">
      <c r="A165" s="76" t="s">
        <v>1083</v>
      </c>
      <c r="B165" s="76" t="str">
        <f>IFERROR(INDEX(Catalogue!$A$4:$A$454,MATCH(SPK!$C$48,Catalogue!$B$4:$B$454,0)),"")</f>
        <v/>
      </c>
      <c r="C165" s="76" t="str">
        <f>IF(COUNTIF(Catalogue!$B$4:$B$454,SPK!$C$48)=0,"",SPK!$C$48)</f>
        <v/>
      </c>
      <c r="D165" s="76" t="str">
        <f>IF(COUNTIF(Catalogue!$B$4:$B$454,SPK!$C$48)=0,"",SPK!$D$48)</f>
        <v/>
      </c>
      <c r="E165" s="76" t="s">
        <v>1034</v>
      </c>
      <c r="F165" s="76" t="str">
        <f t="shared" si="2"/>
        <v/>
      </c>
      <c r="G165" s="76">
        <f>IF(AND(B165&lt;&gt;"",B165&lt;&gt;"Non trouvé - vérifier",D165&lt;&gt;"",D165&lt;&gt;0),IF(COUNTIF($B$2:B165,B165)=1,1,0),0)</f>
        <v>0</v>
      </c>
    </row>
    <row r="166" spans="1:7" x14ac:dyDescent="0.25">
      <c r="A166" s="76" t="s">
        <v>1084</v>
      </c>
      <c r="B166" s="76" t="str">
        <f>IFERROR(INDEX(Catalogue!$A$4:$A$454,MATCH(SPK!$C$49,Catalogue!$B$4:$B$454,0)),"")</f>
        <v/>
      </c>
      <c r="C166" s="76" t="str">
        <f>IF(COUNTIF(Catalogue!$B$4:$B$454,SPK!$C$49)=0,"",SPK!$C$49)</f>
        <v/>
      </c>
      <c r="D166" s="76" t="str">
        <f>IF(COUNTIF(Catalogue!$B$4:$B$454,SPK!$C$49)=0,"",SPK!$D$49)</f>
        <v/>
      </c>
      <c r="E166" s="76" t="s">
        <v>1034</v>
      </c>
      <c r="F166" s="76" t="str">
        <f t="shared" si="2"/>
        <v/>
      </c>
      <c r="G166" s="76">
        <f>IF(AND(B166&lt;&gt;"",B166&lt;&gt;"Non trouvé - vérifier",D166&lt;&gt;"",D166&lt;&gt;0),IF(COUNTIF($B$2:B166,B166)=1,1,0),0)</f>
        <v>0</v>
      </c>
    </row>
    <row r="167" spans="1:7" x14ac:dyDescent="0.25">
      <c r="A167" s="76" t="s">
        <v>1085</v>
      </c>
      <c r="B167" s="76" t="str">
        <f>IFERROR(INDEX(Catalogue!$A$4:$A$454,MATCH(SPK!$C$50,Catalogue!$B$4:$B$454,0)),"")</f>
        <v/>
      </c>
      <c r="C167" s="76" t="str">
        <f>IF(COUNTIF(Catalogue!$B$4:$B$454,SPK!$C$50)=0,"",SPK!$C$50)</f>
        <v/>
      </c>
      <c r="D167" s="76" t="str">
        <f>IF(COUNTIF(Catalogue!$B$4:$B$454,SPK!$C$50)=0,"",SPK!$D$50)</f>
        <v/>
      </c>
      <c r="E167" s="76" t="s">
        <v>1034</v>
      </c>
      <c r="F167" s="76" t="str">
        <f t="shared" si="2"/>
        <v/>
      </c>
      <c r="G167" s="76">
        <f>IF(AND(B167&lt;&gt;"",B167&lt;&gt;"Non trouvé - vérifier",D167&lt;&gt;"",D167&lt;&gt;0),IF(COUNTIF($B$2:B167,B167)=1,1,0),0)</f>
        <v>0</v>
      </c>
    </row>
    <row r="168" spans="1:7" x14ac:dyDescent="0.25">
      <c r="A168" s="76" t="s">
        <v>1086</v>
      </c>
      <c r="B168" s="76" t="str">
        <f>IFERROR(INDEX(Catalogue!$A$4:$A$454,MATCH(SPK!$C$51,Catalogue!$B$4:$B$454,0)),"")</f>
        <v/>
      </c>
      <c r="C168" s="76" t="str">
        <f>IF(COUNTIF(Catalogue!$B$4:$B$454,SPK!$C$51)=0,"",SPK!$C$51)</f>
        <v/>
      </c>
      <c r="D168" s="76" t="str">
        <f>IF(COUNTIF(Catalogue!$B$4:$B$454,SPK!$C$51)=0,"",SPK!$D$51)</f>
        <v/>
      </c>
      <c r="E168" s="76" t="s">
        <v>1034</v>
      </c>
      <c r="F168" s="76" t="str">
        <f t="shared" si="2"/>
        <v/>
      </c>
      <c r="G168" s="76">
        <f>IF(AND(B168&lt;&gt;"",B168&lt;&gt;"Non trouvé - vérifier",D168&lt;&gt;"",D168&lt;&gt;0),IF(COUNTIF($B$2:B168,B168)=1,1,0),0)</f>
        <v>0</v>
      </c>
    </row>
    <row r="169" spans="1:7" x14ac:dyDescent="0.25">
      <c r="A169" s="76" t="s">
        <v>1087</v>
      </c>
      <c r="B169" s="76" t="str">
        <f>IFERROR(INDEX(Catalogue!$A$4:$A$454,MATCH(SPK!$C$52,Catalogue!$B$4:$B$454,0)),"")</f>
        <v/>
      </c>
      <c r="C169" s="76" t="str">
        <f>IF(COUNTIF(Catalogue!$B$4:$B$454,SPK!$C$52)=0,"",SPK!$C$52)</f>
        <v/>
      </c>
      <c r="D169" s="76" t="str">
        <f>IF(COUNTIF(Catalogue!$B$4:$B$454,SPK!$C$52)=0,"",SPK!$D$52)</f>
        <v/>
      </c>
      <c r="E169" s="76" t="s">
        <v>1034</v>
      </c>
      <c r="F169" s="76" t="str">
        <f t="shared" si="2"/>
        <v/>
      </c>
      <c r="G169" s="76">
        <f>IF(AND(B169&lt;&gt;"",B169&lt;&gt;"Non trouvé - vérifier",D169&lt;&gt;"",D169&lt;&gt;0),IF(COUNTIF($B$2:B169,B169)=1,1,0),0)</f>
        <v>0</v>
      </c>
    </row>
    <row r="170" spans="1:7" x14ac:dyDescent="0.25">
      <c r="A170" s="76" t="s">
        <v>1088</v>
      </c>
      <c r="B170" s="76" t="str">
        <f>IFERROR(INDEX(Catalogue!$A$4:$A$454,SUMPRODUCT(((Catalogue!$C$4:$C$454="TUBE")*(Catalogue!$G$4:$G$454&lt;&gt;"SL")*(Catalogue!$D$4:$D$454=IF(SPK!$D$6="X","GALVA",IF(SPK!$F$6="X","NOIR","")))*(Catalogue!$E$4:$E$454=(SPK!$J$9+0)))*ROW(Catalogue!$C$4:$C$454))-3),"Non trouvé - vérifier")</f>
        <v>Non trouvé - vérifier</v>
      </c>
      <c r="C170" s="76" t="str">
        <f>IFERROR(INDEX(Catalogue!$B$4:$B$454,SUMPRODUCT(((Catalogue!$C$4:$C$454="TUBE")*(Catalogue!$G$4:$G$454&lt;&gt;"SL")*(Catalogue!$D$4:$D$454=IF(SPK!$D$6="X","GALVA",IF(SPK!$F$6="X","NOIR","")))*(Catalogue!$E$4:$E$454=(SPK!$J$9+0)))*ROW(Catalogue!$C$4:$C$454))-3),"")</f>
        <v/>
      </c>
      <c r="D170" s="78">
        <f>CEILING((SPK!$J$10),6)</f>
        <v>0</v>
      </c>
      <c r="E170" s="76" t="s">
        <v>1033</v>
      </c>
      <c r="F170" s="76" t="str">
        <f t="shared" si="2"/>
        <v/>
      </c>
      <c r="G170" s="76">
        <f>IF(AND(B170&lt;&gt;"",B170&lt;&gt;"Non trouvé - vérifier",D170&lt;&gt;"",D170&lt;&gt;0),IF(COUNTIF($B$2:B170,B170)=1,1,0),0)</f>
        <v>0</v>
      </c>
    </row>
    <row r="171" spans="1:7" x14ac:dyDescent="0.25">
      <c r="A171" s="76" t="s">
        <v>1088</v>
      </c>
      <c r="B171" s="76" t="str">
        <f>IFERROR(INDEX(Catalogue!$A$4:$A$454,SUMPRODUCT(((Catalogue!$C$4:$C$454="COUDE90")*(Catalogue!$D$4:$D$454=IF(SPK!$D$4="X","ROUGE",IF(SPK!$F$4="X","BLANC",IF(SPK!$H$4="X","GALVA",""))))*(Catalogue!$E$4:$E$454=(SPK!$J$9+0)))*ROW(Catalogue!$C$4:$C$454))-3),"Non trouvé - vérifier")</f>
        <v>Non trouvé - vérifier</v>
      </c>
      <c r="C171" s="76" t="str">
        <f>IFERROR(INDEX(Catalogue!$B$4:$B$454,SUMPRODUCT(((Catalogue!$C$4:$C$454="COUDE90")*(Catalogue!$D$4:$D$454=IF(SPK!$D$4="X","ROUGE",IF(SPK!$F$4="X","BLANC",IF(SPK!$H$4="X","GALVA",""))))*(Catalogue!$E$4:$E$454=(SPK!$J$9+0)))*ROW(Catalogue!$C$4:$C$454))-3),"")</f>
        <v/>
      </c>
      <c r="D171" s="78">
        <f>SPK!$J$11</f>
        <v>0</v>
      </c>
      <c r="E171" s="76" t="s">
        <v>1034</v>
      </c>
      <c r="F171" s="76" t="str">
        <f t="shared" si="2"/>
        <v/>
      </c>
      <c r="G171" s="76">
        <f>IF(AND(B171&lt;&gt;"",B171&lt;&gt;"Non trouvé - vérifier",D171&lt;&gt;"",D171&lt;&gt;0),IF(COUNTIF($B$2:B171,B171)=1,1,0),0)</f>
        <v>0</v>
      </c>
    </row>
    <row r="172" spans="1:7" x14ac:dyDescent="0.25">
      <c r="A172" s="76" t="s">
        <v>1088</v>
      </c>
      <c r="B172" s="76" t="str">
        <f>IFERROR(INDEX(Catalogue!$A$4:$A$454,SUMPRODUCT(((Catalogue!$C$4:$C$454="CPC")*(Catalogue!$D$4:$D$454=IF(SPK!$D$4="X","ROUGE",IF(SPK!$F$4="X","GALVA",IF(SPK!$H$4="X","GALVA",""))))*(Catalogue!$F$4:$F$454=(SPK!$J$9+0))*(Catalogue!$E$4:$E$454=(SPK!$J$12+0))*(Catalogue!$G$4:$G$454=IF(LEFT(SPK!$J$13,1)="R","RAINURE",IF(LEFT(SPK!$J$13,1)="T","TARAUDE",""))))*ROW(Catalogue!$C$4:$C$454))-3),"Non trouvé - vérifier")</f>
        <v>Non trouvé - vérifier</v>
      </c>
      <c r="C172" s="76" t="str">
        <f>IFERROR(INDEX(Catalogue!$B$4:$B$454,SUMPRODUCT(((Catalogue!$C$4:$C$454="CPC")*(Catalogue!$D$4:$D$454=IF(SPK!$D$4="X","ROUGE",IF(SPK!$F$4="X","GALVA",IF(SPK!$H$4="X","GALVA",""))))*(Catalogue!$F$4:$F$454=(SPK!$J$9+0))*(Catalogue!$E$4:$E$454=(SPK!$J$12+0))*(Catalogue!$G$4:$G$454=IF(LEFT(SPK!$J$13,1)="R","RAINURE",IF(LEFT(SPK!$J$13,1)="T","TARAUDE",""))))*ROW(Catalogue!$C$4:$C$454))-3),"")</f>
        <v/>
      </c>
      <c r="D172" s="76">
        <f>1</f>
        <v>1</v>
      </c>
      <c r="E172" s="76" t="s">
        <v>1034</v>
      </c>
      <c r="F172" s="76" t="str">
        <f t="shared" si="2"/>
        <v/>
      </c>
      <c r="G172" s="76">
        <f>IF(AND(B172&lt;&gt;"",B172&lt;&gt;"Non trouvé - vérifier",D172&lt;&gt;"",D172&lt;&gt;0),IF(COUNTIF($B$2:B172,B172)=1,1,0),0)</f>
        <v>0</v>
      </c>
    </row>
    <row r="173" spans="1:7" x14ac:dyDescent="0.25">
      <c r="A173" s="76" t="s">
        <v>1088</v>
      </c>
      <c r="B173" s="76" t="str">
        <f>IFERROR(INDEX(Catalogue!$A$4:$A$454,SUMPRODUCT(((Catalogue!$C$4:$C$454="RACCORD")*(Catalogue!$D$4:$D$454=IF(SPK!$D$4="X","ROUGE",IF(SPK!$F$4="X","BLANC",IF(SPK!$H$4="X","GALVA",""))))*(Catalogue!$E$4:$E$454=(SPK!$J$9+0)))*ROW(Catalogue!$C$4:$C$454))-3),"Non trouvé - vérifier")</f>
        <v>Non trouvé - vérifier</v>
      </c>
      <c r="C173" s="76" t="str">
        <f>IFERROR(INDEX(Catalogue!$B$4:$B$454,SUMPRODUCT(((Catalogue!$C$4:$C$454="RACCORD")*(Catalogue!$D$4:$D$454=IF(SPK!$D$4="X","ROUGE",IF(SPK!$F$4="X","BLANC",IF(SPK!$H$4="X","GALVA",""))))*(Catalogue!$E$4:$E$454=(SPK!$J$9+0)))*ROW(Catalogue!$C$4:$C$454))-3),"")</f>
        <v/>
      </c>
      <c r="D173" s="76">
        <f>ROUNDUP(((SPK!$J$10/6)+(SPK!$J$11*2))*1.1,0)</f>
        <v>0</v>
      </c>
      <c r="E173" s="76" t="s">
        <v>1034</v>
      </c>
      <c r="F173" s="76" t="str">
        <f t="shared" si="2"/>
        <v/>
      </c>
      <c r="G173" s="76">
        <f>IF(AND(B173&lt;&gt;"",B173&lt;&gt;"Non trouvé - vérifier",D173&lt;&gt;"",D173&lt;&gt;0),IF(COUNTIF($B$2:B173,B173)=1,1,0),0)</f>
        <v>0</v>
      </c>
    </row>
    <row r="174" spans="1:7" x14ac:dyDescent="0.25">
      <c r="A174" s="76" t="s">
        <v>1089</v>
      </c>
      <c r="B174" s="76" t="str">
        <f>IF((IFERROR(INDEX(Supports!$C$4:$C$23,MATCH(SPK!$D$18,Supports!$B$4:$B$23,0)),""))="","",IF(IFERROR(INDEX(Supports!$C$4:$C$23,MATCH(SPK!$D$18,Supports!$B$4:$B$23,0)),"")="ETRIER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vérifier"),IF(IFERROR(INDEX(Supports!$C$4:$C$23,MATCH(SPK!$D$18,Supports!$B$4:$B$23,0)),"")="COLLIER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vérifier"),IF(IFERROR(INDEX(Supports!$C$4:$C$23,MATCH(SPK!$D$18,Supports!$B$4:$B$23,0)),"")="COLLIER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vérifier"),IFERROR(INDEX(Catalogue!$A$4:$A$454,MATCH(IFERROR(INDEX(Supports!$C$4:$C$23,MATCH(SPK!$D$18,Supports!$B$4:$B$23,0)),""),Catalogue!$B$4:$B$454,0)),"")))))</f>
        <v/>
      </c>
      <c r="C174" s="76" t="str">
        <f>IF((IFERROR(INDEX(Supports!$C$4:$C$23,MATCH(SPK!$D$18,Supports!$B$4:$B$23,0)),""))="","",IF(IFERROR(INDEX(Supports!$C$4:$C$23,MATCH(SPK!$D$18,Supports!$B$4:$B$23,0)),"")="ETRIER RALLONGE (DN automatique = DN du tube)",IFERROR(INDEX(Catalogue!$B$4:$B$454,SUMPRODUCT(((Catalogue!$C$4:$C$454="ETRIER")*(Catalogue!$E$4:$E$454=(SPK!$D$9+0)))*ROW(Catalogue!$C$4:$C$454))-3),""),IF(IFERROR(INDEX(Supports!$C$4:$C$23,MATCH(SPK!$D$18,Supports!$B$4:$B$23,0)),"")="COLLIER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tube)",IFERROR(INDEX(Catalogue!$B$4:$B$454,SUMPRODUCT(((Catalogue!$C$4:$C$454="COLLIERINDUS")*(Catalogue!$E$4:$E$454=(SPK!$D$9+0)))*ROW(Catalogue!$C$4:$C$454))-3),""),IF(IFERROR(INDEX(Supports!$C$4:$C$23,MATCH(SPK!$D$18,Supports!$B$4:$B$23,0)),"")="COLLIER POIRE (DN automatique = DN du tube)",IFERROR(INDEX(Catalogue!$B$4:$B$454,SUMPRODUCT(((Catalogue!$C$4:$C$454="COLLIERPOIRE")*(Catalogue!$E$4:$E$454=(SPK!$D$9+0)))*ROW(Catalogue!$C$4:$C$454))-3),""),IFERROR(INDEX(Supports!$C$4:$C$23,MATCH(SPK!$D$18,Supports!$B$4:$B$23,0)),"")))))</f>
        <v/>
      </c>
      <c r="D174" s="76" t="str">
        <f>IF((IFERROR(INDEX(Supports!$C$4:$C$23,MATCH(SPK!$D$18,Supports!$B$4:$B$23,0)),""))="","",(IFERROR(INDEX(Supports!$D$4:$D$23,MATCH(SPK!$D$18,Supports!$B$4:$B$23,0)),0))*SPK!$D$19)</f>
        <v/>
      </c>
      <c r="E174" s="76" t="s">
        <v>1036</v>
      </c>
      <c r="F174" s="76" t="str">
        <f t="shared" si="2"/>
        <v/>
      </c>
      <c r="G174" s="76">
        <f>IF(AND(B174&lt;&gt;"",B174&lt;&gt;"Non trouvé - vérifier",D174&lt;&gt;"",D174&lt;&gt;0),IF(COUNTIF($B$2:B174,B174)=1,1,0),0)</f>
        <v>0</v>
      </c>
    </row>
    <row r="175" spans="1:7" x14ac:dyDescent="0.25">
      <c r="A175" s="76" t="s">
        <v>1089</v>
      </c>
      <c r="B175" s="76" t="str">
        <f>IF((IFERROR(INDEX(Supports!$E$4:$E$23,MATCH(SPK!$D$18,Supports!$B$4:$B$23,0)),""))="","",IF(IFERROR(INDEX(Supports!$E$4:$E$23,MATCH(SPK!$D$18,Supports!$B$4:$B$23,0)),"")="ETRIER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vérifier"),IF(IFERROR(INDEX(Supports!$E$4:$E$23,MATCH(SPK!$D$18,Supports!$B$4:$B$23,0)),"")="COLLIER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vérifier"),IF(IFERROR(INDEX(Supports!$E$4:$E$23,MATCH(SPK!$D$18,Supports!$B$4:$B$23,0)),"")="COLLIER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vérifier"),IFERROR(INDEX(Catalogue!$A$4:$A$454,MATCH(IFERROR(INDEX(Supports!$E$4:$E$23,MATCH(SPK!$D$18,Supports!$B$4:$B$23,0)),""),Catalogue!$B$4:$B$454,0)),"")))))</f>
        <v/>
      </c>
      <c r="C175" s="76" t="str">
        <f>IF((IFERROR(INDEX(Supports!$E$4:$E$23,MATCH(SPK!$D$18,Supports!$B$4:$B$23,0)),""))="","",IF(IFERROR(INDEX(Supports!$E$4:$E$23,MATCH(SPK!$D$18,Supports!$B$4:$B$23,0)),"")="ETRIER RALLONGE (DN automatique = DN du tube)",IFERROR(INDEX(Catalogue!$B$4:$B$454,SUMPRODUCT(((Catalogue!$C$4:$C$454="ETRIER")*(Catalogue!$E$4:$E$454=(SPK!$D$9+0)))*ROW(Catalogue!$C$4:$C$454))-3),""),IF(IFERROR(INDEX(Supports!$E$4:$E$23,MATCH(SPK!$D$18,Supports!$B$4:$B$23,0)),"")="COLLIER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tube)",IFERROR(INDEX(Catalogue!$B$4:$B$454,SUMPRODUCT(((Catalogue!$C$4:$C$454="COLLIERINDUS")*(Catalogue!$E$4:$E$454=(SPK!$D$9+0)))*ROW(Catalogue!$C$4:$C$454))-3),""),IF(IFERROR(INDEX(Supports!$E$4:$E$23,MATCH(SPK!$D$18,Supports!$B$4:$B$23,0)),"")="COLLIER POIRE (DN automatique = DN du tube)",IFERROR(INDEX(Catalogue!$B$4:$B$454,SUMPRODUCT(((Catalogue!$C$4:$C$454="COLLIERPOIRE")*(Catalogue!$E$4:$E$454=(SPK!$D$9+0)))*ROW(Catalogue!$C$4:$C$454))-3),""),IFERROR(INDEX(Supports!$E$4:$E$23,MATCH(SPK!$D$18,Supports!$B$4:$B$23,0)),"")))))</f>
        <v/>
      </c>
      <c r="D175" s="76" t="str">
        <f>IF((IFERROR(INDEX(Supports!$E$4:$E$23,MATCH(SPK!$D$18,Supports!$B$4:$B$23,0)),""))="","",(IFERROR(INDEX(Supports!$F$4:$F$23,MATCH(SPK!$D$18,Supports!$B$4:$B$23,0)),0))*SPK!$D$19)</f>
        <v/>
      </c>
      <c r="E175" s="76" t="s">
        <v>1036</v>
      </c>
      <c r="F175" s="76" t="str">
        <f t="shared" si="2"/>
        <v/>
      </c>
      <c r="G175" s="76">
        <f>IF(AND(B175&lt;&gt;"",B175&lt;&gt;"Non trouvé - vérifier",D175&lt;&gt;"",D175&lt;&gt;0),IF(COUNTIF($B$2:B175,B175)=1,1,0),0)</f>
        <v>0</v>
      </c>
    </row>
    <row r="176" spans="1:7" x14ac:dyDescent="0.25">
      <c r="A176" s="76" t="s">
        <v>1089</v>
      </c>
      <c r="B176" s="76" t="str">
        <f>IF((IFERROR(INDEX(Supports!$G$4:$G$23,MATCH(SPK!$D$18,Supports!$B$4:$B$23,0)),""))="","",IF(IFERROR(INDEX(Supports!$G$4:$G$23,MATCH(SPK!$D$18,Supports!$B$4:$B$23,0)),"")="ETRIER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vérifier"),IF(IFERROR(INDEX(Supports!$G$4:$G$23,MATCH(SPK!$D$18,Supports!$B$4:$B$23,0)),"")="COLLIER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vérifier"),IF(IFERROR(INDEX(Supports!$G$4:$G$23,MATCH(SPK!$D$18,Supports!$B$4:$B$23,0)),"")="COLLIER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vérifier"),IFERROR(INDEX(Catalogue!$A$4:$A$454,MATCH(IFERROR(INDEX(Supports!$G$4:$G$23,MATCH(SPK!$D$18,Supports!$B$4:$B$23,0)),""),Catalogue!$B$4:$B$454,0)),"")))))</f>
        <v/>
      </c>
      <c r="C176" s="76" t="str">
        <f>IF((IFERROR(INDEX(Supports!$G$4:$G$23,MATCH(SPK!$D$18,Supports!$B$4:$B$23,0)),""))="","",IF(IFERROR(INDEX(Supports!$G$4:$G$23,MATCH(SPK!$D$18,Supports!$B$4:$B$23,0)),"")="ETRIER RALLONGE (DN automatique = DN du tube)",IFERROR(INDEX(Catalogue!$B$4:$B$454,SUMPRODUCT(((Catalogue!$C$4:$C$454="ETRIER")*(Catalogue!$E$4:$E$454=(SPK!$D$9+0)))*ROW(Catalogue!$C$4:$C$454))-3),""),IF(IFERROR(INDEX(Supports!$G$4:$G$23,MATCH(SPK!$D$18,Supports!$B$4:$B$23,0)),"")="COLLIER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tube)",IFERROR(INDEX(Catalogue!$B$4:$B$454,SUMPRODUCT(((Catalogue!$C$4:$C$454="COLLIERINDUS")*(Catalogue!$E$4:$E$454=(SPK!$D$9+0)))*ROW(Catalogue!$C$4:$C$454))-3),""),IF(IFERROR(INDEX(Supports!$G$4:$G$23,MATCH(SPK!$D$18,Supports!$B$4:$B$23,0)),"")="COLLIER POIRE (DN automatique = DN du tube)",IFERROR(INDEX(Catalogue!$B$4:$B$454,SUMPRODUCT(((Catalogue!$C$4:$C$454="COLLIERPOIRE")*(Catalogue!$E$4:$E$454=(SPK!$D$9+0)))*ROW(Catalogue!$C$4:$C$454))-3),""),IFERROR(INDEX(Supports!$G$4:$G$23,MATCH(SPK!$D$18,Supports!$B$4:$B$23,0)),"")))))</f>
        <v/>
      </c>
      <c r="D176" s="76" t="str">
        <f>IF((IFERROR(INDEX(Supports!$G$4:$G$23,MATCH(SPK!$D$18,Supports!$B$4:$B$23,0)),""))="","",(IFERROR(INDEX(Supports!$H$4:$H$23,MATCH(SPK!$D$18,Supports!$B$4:$B$23,0)),0))*SPK!$D$19)</f>
        <v/>
      </c>
      <c r="E176" s="76" t="s">
        <v>1036</v>
      </c>
      <c r="F176" s="76" t="str">
        <f t="shared" si="2"/>
        <v/>
      </c>
      <c r="G176" s="76">
        <f>IF(AND(B176&lt;&gt;"",B176&lt;&gt;"Non trouvé - vérifier",D176&lt;&gt;"",D176&lt;&gt;0),IF(COUNTIF($B$2:B176,B176)=1,1,0),0)</f>
        <v>0</v>
      </c>
    </row>
    <row r="177" spans="1:7" x14ac:dyDescent="0.25">
      <c r="A177" s="76" t="s">
        <v>1089</v>
      </c>
      <c r="B177" s="76" t="str">
        <f>IF((IFERROR(INDEX(Supports!$I$4:$I$23,MATCH(SPK!$D$18,Supports!$B$4:$B$23,0)),""))="","",IF(IFERROR(INDEX(Supports!$I$4:$I$23,MATCH(SPK!$D$18,Supports!$B$4:$B$23,0)),"")="ETRIER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vérifier"),IF(IFERROR(INDEX(Supports!$I$4:$I$23,MATCH(SPK!$D$18,Supports!$B$4:$B$23,0)),"")="COLLIER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vérifier"),IF(IFERROR(INDEX(Supports!$I$4:$I$23,MATCH(SPK!$D$18,Supports!$B$4:$B$23,0)),"")="COLLIER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vérifier"),IFERROR(INDEX(Catalogue!$A$4:$A$454,MATCH(IFERROR(INDEX(Supports!$I$4:$I$23,MATCH(SPK!$D$18,Supports!$B$4:$B$23,0)),""),Catalogue!$B$4:$B$454,0)),"")))))</f>
        <v/>
      </c>
      <c r="C177" s="76" t="str">
        <f>IF((IFERROR(INDEX(Supports!$I$4:$I$23,MATCH(SPK!$D$18,Supports!$B$4:$B$23,0)),""))="","",IF(IFERROR(INDEX(Supports!$I$4:$I$23,MATCH(SPK!$D$18,Supports!$B$4:$B$23,0)),"")="ETRIER RALLONGE (DN automatique = DN du tube)",IFERROR(INDEX(Catalogue!$B$4:$B$454,SUMPRODUCT(((Catalogue!$C$4:$C$454="ETRIER")*(Catalogue!$E$4:$E$454=(SPK!$D$9+0)))*ROW(Catalogue!$C$4:$C$454))-3),""),IF(IFERROR(INDEX(Supports!$I$4:$I$23,MATCH(SPK!$D$18,Supports!$B$4:$B$23,0)),"")="COLLIER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tube)",IFERROR(INDEX(Catalogue!$B$4:$B$454,SUMPRODUCT(((Catalogue!$C$4:$C$454="COLLIERINDUS")*(Catalogue!$E$4:$E$454=(SPK!$D$9+0)))*ROW(Catalogue!$C$4:$C$454))-3),""),IF(IFERROR(INDEX(Supports!$I$4:$I$23,MATCH(SPK!$D$18,Supports!$B$4:$B$23,0)),"")="COLLIER POIRE (DN automatique = DN du tube)",IFERROR(INDEX(Catalogue!$B$4:$B$454,SUMPRODUCT(((Catalogue!$C$4:$C$454="COLLIERPOIRE")*(Catalogue!$E$4:$E$454=(SPK!$D$9+0)))*ROW(Catalogue!$C$4:$C$454))-3),""),IFERROR(INDEX(Supports!$I$4:$I$23,MATCH(SPK!$D$18,Supports!$B$4:$B$23,0)),"")))))</f>
        <v/>
      </c>
      <c r="D177" s="76" t="str">
        <f>IF((IFERROR(INDEX(Supports!$I$4:$I$23,MATCH(SPK!$D$18,Supports!$B$4:$B$23,0)),""))="","",(IFERROR(INDEX(Supports!$J$4:$J$23,MATCH(SPK!$D$18,Supports!$B$4:$B$23,0)),0))*SPK!$D$19)</f>
        <v/>
      </c>
      <c r="E177" s="76" t="s">
        <v>1036</v>
      </c>
      <c r="F177" s="76" t="str">
        <f t="shared" si="2"/>
        <v/>
      </c>
      <c r="G177" s="76">
        <f>IF(AND(B177&lt;&gt;"",B177&lt;&gt;"Non trouvé - vérifier",D177&lt;&gt;"",D177&lt;&gt;0),IF(COUNTIF($B$2:B177,B177)=1,1,0),0)</f>
        <v>0</v>
      </c>
    </row>
    <row r="178" spans="1:7" x14ac:dyDescent="0.25">
      <c r="A178" s="76" t="s">
        <v>1089</v>
      </c>
      <c r="B178" s="76" t="str">
        <f>IF((IFERROR(INDEX(Supports!$K$4:$K$23,MATCH(SPK!$D$18,Supports!$B$4:$B$23,0)),""))="","",IF(IFERROR(INDEX(Supports!$K$4:$K$23,MATCH(SPK!$D$18,Supports!$B$4:$B$23,0)),"")="ETRIER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vérifier"),IF(IFERROR(INDEX(Supports!$K$4:$K$23,MATCH(SPK!$D$18,Supports!$B$4:$B$23,0)),"")="COLLIER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vérifier"),IF(IFERROR(INDEX(Supports!$K$4:$K$23,MATCH(SPK!$D$18,Supports!$B$4:$B$23,0)),"")="COLLIER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vérifier"),IFERROR(INDEX(Catalogue!$A$4:$A$454,MATCH(IFERROR(INDEX(Supports!$K$4:$K$23,MATCH(SPK!$D$18,Supports!$B$4:$B$23,0)),""),Catalogue!$B$4:$B$454,0)),"")))))</f>
        <v/>
      </c>
      <c r="C178" s="76" t="str">
        <f>IF((IFERROR(INDEX(Supports!$K$4:$K$23,MATCH(SPK!$D$18,Supports!$B$4:$B$23,0)),""))="","",IF(IFERROR(INDEX(Supports!$K$4:$K$23,MATCH(SPK!$D$18,Supports!$B$4:$B$23,0)),"")="ETRIER RALLONGE (DN automatique = DN du tube)",IFERROR(INDEX(Catalogue!$B$4:$B$454,SUMPRODUCT(((Catalogue!$C$4:$C$454="ETRIER")*(Catalogue!$E$4:$E$454=(SPK!$D$9+0)))*ROW(Catalogue!$C$4:$C$454))-3),""),IF(IFERROR(INDEX(Supports!$K$4:$K$23,MATCH(SPK!$D$18,Supports!$B$4:$B$23,0)),"")="COLLIER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tube)",IFERROR(INDEX(Catalogue!$B$4:$B$454,SUMPRODUCT(((Catalogue!$C$4:$C$454="COLLIERINDUS")*(Catalogue!$E$4:$E$454=(SPK!$D$9+0)))*ROW(Catalogue!$C$4:$C$454))-3),""),IF(IFERROR(INDEX(Supports!$K$4:$K$23,MATCH(SPK!$D$18,Supports!$B$4:$B$23,0)),"")="COLLIER POIRE (DN automatique = DN du tube)",IFERROR(INDEX(Catalogue!$B$4:$B$454,SUMPRODUCT(((Catalogue!$C$4:$C$454="COLLIERPOIRE")*(Catalogue!$E$4:$E$454=(SPK!$D$9+0)))*ROW(Catalogue!$C$4:$C$454))-3),""),IFERROR(INDEX(Supports!$K$4:$K$23,MATCH(SPK!$D$18,Supports!$B$4:$B$23,0)),"")))))</f>
        <v/>
      </c>
      <c r="D178" s="76" t="str">
        <f>IF((IFERROR(INDEX(Supports!$K$4:$K$23,MATCH(SPK!$D$18,Supports!$B$4:$B$23,0)),""))="","",(IFERROR(INDEX(Supports!$L$4:$L$23,MATCH(SPK!$D$18,Supports!$B$4:$B$23,0)),0))*SPK!$D$19)</f>
        <v/>
      </c>
      <c r="E178" s="76" t="s">
        <v>1036</v>
      </c>
      <c r="F178" s="76" t="str">
        <f t="shared" si="2"/>
        <v/>
      </c>
      <c r="G178" s="76">
        <f>IF(AND(B178&lt;&gt;"",B178&lt;&gt;"Non trouvé - vérifier",D178&lt;&gt;"",D178&lt;&gt;0),IF(COUNTIF($B$2:B178,B178)=1,1,0),0)</f>
        <v>0</v>
      </c>
    </row>
    <row r="179" spans="1:7" x14ac:dyDescent="0.25">
      <c r="A179" s="76" t="s">
        <v>1089</v>
      </c>
      <c r="B179" s="76" t="str">
        <f>IF((IFERROR(INDEX(Supports!$M$4:$M$23,MATCH(SPK!$D$18,Supports!$B$4:$B$23,0)),""))="","",IF(IFERROR(INDEX(Supports!$M$4:$M$23,MATCH(SPK!$D$18,Supports!$B$4:$B$23,0)),"")="ETRIER RALLONGE (DN automatique = DN du tube)",IFERROR(INDEX(Catalogue!$A$4:$A$454,SUMPRODUCT(((Catalogue!$C$4:$C$454="ETRIER")*(Catalogue!$E$4:$E$454=(SPK!$D$9+0)))*ROW(Catalogue!$C$4:$C$454))-3),"Non trouvé - vérifier"),IF(IFERROR(INDEX(Supports!$M$4:$M$23,MATCH(SPK!$D$18,Supports!$B$4:$B$23,0)),"")="COLLIER INDUSTRIEL (DN automatique = DN du tube)",IFERROR(INDEX(Catalogue!$A$4:$A$454,SUMPRODUCT(((Catalogue!$C$4:$C$454="COLLIERINDUS")*(Catalogue!$E$4:$E$454=(SPK!$D$9+0)))*ROW(Catalogue!$C$4:$C$454))-3),"Non trouvé - vérifier"),IF(IFERROR(INDEX(Supports!$M$4:$M$23,MATCH(SPK!$D$18,Supports!$B$4:$B$23,0)),"")="COLLIER POIRE (DN automatique = DN du tube)",IFERROR(INDEX(Catalogue!$A$4:$A$454,SUMPRODUCT(((Catalogue!$C$4:$C$454="COLLIERPOIRE")*(Catalogue!$E$4:$E$454=(SPK!$D$9+0)))*ROW(Catalogue!$C$4:$C$454))-3),"Non trouvé - vérifier"),IFERROR(INDEX(Catalogue!$A$4:$A$454,MATCH(IFERROR(INDEX(Supports!$M$4:$M$23,MATCH(SPK!$D$18,Supports!$B$4:$B$23,0)),""),Catalogue!$B$4:$B$454,0)),"")))))</f>
        <v/>
      </c>
      <c r="C179" s="76" t="str">
        <f>IF((IFERROR(INDEX(Supports!$M$4:$M$23,MATCH(SPK!$D$18,Supports!$B$4:$B$23,0)),""))="","",IF(IFERROR(INDEX(Supports!$M$4:$M$23,MATCH(SPK!$D$18,Supports!$B$4:$B$23,0)),"")="ETRIER RALLONGE (DN automatique = DN du tube)",IFERROR(INDEX(Catalogue!$B$4:$B$454,SUMPRODUCT(((Catalogue!$C$4:$C$454="ETRIER")*(Catalogue!$E$4:$E$454=(SPK!$D$9+0)))*ROW(Catalogue!$C$4:$C$454))-3),""),IF(IFERROR(INDEX(Supports!$M$4:$M$23,MATCH(SPK!$D$18,Supports!$B$4:$B$23,0)),"")="COLLIER INDUSTRIEL (DN automatique = DN du tube)",IFERROR(INDEX(Catalogue!$B$4:$B$454,SUMPRODUCT(((Catalogue!$C$4:$C$454="COLLIERINDUS")*(Catalogue!$E$4:$E$454=(SPK!$D$9+0)))*ROW(Catalogue!$C$4:$C$454))-3),""),IF(IFERROR(INDEX(Supports!$M$4:$M$23,MATCH(SPK!$D$18,Supports!$B$4:$B$23,0)),"")="COLLIER POIRE (DN automatique = DN du tube)",IFERROR(INDEX(Catalogue!$B$4:$B$454,SUMPRODUCT(((Catalogue!$C$4:$C$454="COLLIERPOIRE")*(Catalogue!$E$4:$E$454=(SPK!$D$9+0)))*ROW(Catalogue!$C$4:$C$454))-3),""),IFERROR(INDEX(Supports!$M$4:$M$23,MATCH(SPK!$D$18,Supports!$B$4:$B$23,0)),"")))))</f>
        <v/>
      </c>
      <c r="D179" s="76" t="str">
        <f>IF((IFERROR(INDEX(Supports!$M$4:$M$23,MATCH(SPK!$D$18,Supports!$B$4:$B$23,0)),""))="","",(IFERROR(INDEX(Supports!$N$4:$N$23,MATCH(SPK!$D$18,Supports!$B$4:$B$23,0)),0))*SPK!$D$19)</f>
        <v/>
      </c>
      <c r="E179" s="76" t="s">
        <v>1036</v>
      </c>
      <c r="F179" s="76" t="str">
        <f t="shared" si="2"/>
        <v/>
      </c>
      <c r="G179" s="76">
        <f>IF(AND(B179&lt;&gt;"",B179&lt;&gt;"Non trouvé - vérifier",D179&lt;&gt;"",D179&lt;&gt;0),IF(COUNTIF($B$2:B179,B179)=1,1,0),0)</f>
        <v>0</v>
      </c>
    </row>
    <row r="180" spans="1:7" x14ac:dyDescent="0.25">
      <c r="A180" s="76" t="s">
        <v>1090</v>
      </c>
      <c r="B180" s="76" t="str">
        <f>IF((IFERROR(INDEX(Supports!$C$4:$C$23,MATCH(SPK!$F$18,Supports!$B$4:$B$23,0)),""))="","",IF(IFERROR(INDEX(Supports!$C$4:$C$23,MATCH(SPK!$F$18,Supports!$B$4:$B$23,0)),"")="ETRIER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vérifier"),IF(IFERROR(INDEX(Supports!$C$4:$C$23,MATCH(SPK!$F$18,Supports!$B$4:$B$23,0)),"")="COLLIER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vérifier"),IF(IFERROR(INDEX(Supports!$C$4:$C$23,MATCH(SPK!$F$18,Supports!$B$4:$B$23,0)),"")="COLLIER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vérifier"),IFERROR(INDEX(Catalogue!$A$4:$A$454,MATCH(IFERROR(INDEX(Supports!$C$4:$C$23,MATCH(SPK!$F$18,Supports!$B$4:$B$23,0)),""),Catalogue!$B$4:$B$454,0)),"")))))</f>
        <v/>
      </c>
      <c r="C180" s="76" t="str">
        <f>IF((IFERROR(INDEX(Supports!$C$4:$C$23,MATCH(SPK!$F$18,Supports!$B$4:$B$23,0)),""))="","",IF(IFERROR(INDEX(Supports!$C$4:$C$23,MATCH(SPK!$F$18,Supports!$B$4:$B$23,0)),"")="ETRIER RALLONGE (DN automatique = DN du tube)",IFERROR(INDEX(Catalogue!$B$4:$B$454,SUMPRODUCT(((Catalogue!$C$4:$C$454="ETRIER")*(Catalogue!$E$4:$E$454=(SPK!$F$9+0)))*ROW(Catalogue!$C$4:$C$454))-3),""),IF(IFERROR(INDEX(Supports!$C$4:$C$23,MATCH(SPK!$F$18,Supports!$B$4:$B$23,0)),"")="COLLIER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tube)",IFERROR(INDEX(Catalogue!$B$4:$B$454,SUMPRODUCT(((Catalogue!$C$4:$C$454="COLLIERINDUS")*(Catalogue!$E$4:$E$454=(SPK!$F$9+0)))*ROW(Catalogue!$C$4:$C$454))-3),""),IF(IFERROR(INDEX(Supports!$C$4:$C$23,MATCH(SPK!$F$18,Supports!$B$4:$B$23,0)),"")="COLLIER POIRE (DN automatique = DN du tube)",IFERROR(INDEX(Catalogue!$B$4:$B$454,SUMPRODUCT(((Catalogue!$C$4:$C$454="COLLIERPOIRE")*(Catalogue!$E$4:$E$454=(SPK!$F$9+0)))*ROW(Catalogue!$C$4:$C$454))-3),""),IFERROR(INDEX(Supports!$C$4:$C$23,MATCH(SPK!$F$18,Supports!$B$4:$B$23,0)),"")))))</f>
        <v/>
      </c>
      <c r="D180" s="76" t="str">
        <f>IF((IFERROR(INDEX(Supports!$C$4:$C$23,MATCH(SPK!$F$18,Supports!$B$4:$B$23,0)),""))="","",(IFERROR(INDEX(Supports!$D$4:$D$23,MATCH(SPK!$F$18,Supports!$B$4:$B$23,0)),0))*SPK!$F$19)</f>
        <v/>
      </c>
      <c r="E180" s="76" t="s">
        <v>1036</v>
      </c>
      <c r="F180" s="76" t="str">
        <f t="shared" si="2"/>
        <v/>
      </c>
      <c r="G180" s="76">
        <f>IF(AND(B180&lt;&gt;"",B180&lt;&gt;"Non trouvé - vérifier",D180&lt;&gt;"",D180&lt;&gt;0),IF(COUNTIF($B$2:B180,B180)=1,1,0),0)</f>
        <v>0</v>
      </c>
    </row>
    <row r="181" spans="1:7" x14ac:dyDescent="0.25">
      <c r="A181" s="76" t="s">
        <v>1090</v>
      </c>
      <c r="B181" s="76" t="str">
        <f>IF((IFERROR(INDEX(Supports!$E$4:$E$23,MATCH(SPK!$F$18,Supports!$B$4:$B$23,0)),""))="","",IF(IFERROR(INDEX(Supports!$E$4:$E$23,MATCH(SPK!$F$18,Supports!$B$4:$B$23,0)),"")="ETRIER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vérifier"),IF(IFERROR(INDEX(Supports!$E$4:$E$23,MATCH(SPK!$F$18,Supports!$B$4:$B$23,0)),"")="COLLIER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vérifier"),IF(IFERROR(INDEX(Supports!$E$4:$E$23,MATCH(SPK!$F$18,Supports!$B$4:$B$23,0)),"")="COLLIER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vérifier"),IFERROR(INDEX(Catalogue!$A$4:$A$454,MATCH(IFERROR(INDEX(Supports!$E$4:$E$23,MATCH(SPK!$F$18,Supports!$B$4:$B$23,0)),""),Catalogue!$B$4:$B$454,0)),"")))))</f>
        <v/>
      </c>
      <c r="C181" s="76" t="str">
        <f>IF((IFERROR(INDEX(Supports!$E$4:$E$23,MATCH(SPK!$F$18,Supports!$B$4:$B$23,0)),""))="","",IF(IFERROR(INDEX(Supports!$E$4:$E$23,MATCH(SPK!$F$18,Supports!$B$4:$B$23,0)),"")="ETRIER RALLONGE (DN automatique = DN du tube)",IFERROR(INDEX(Catalogue!$B$4:$B$454,SUMPRODUCT(((Catalogue!$C$4:$C$454="ETRIER")*(Catalogue!$E$4:$E$454=(SPK!$F$9+0)))*ROW(Catalogue!$C$4:$C$454))-3),""),IF(IFERROR(INDEX(Supports!$E$4:$E$23,MATCH(SPK!$F$18,Supports!$B$4:$B$23,0)),"")="COLLIER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tube)",IFERROR(INDEX(Catalogue!$B$4:$B$454,SUMPRODUCT(((Catalogue!$C$4:$C$454="COLLIERINDUS")*(Catalogue!$E$4:$E$454=(SPK!$F$9+0)))*ROW(Catalogue!$C$4:$C$454))-3),""),IF(IFERROR(INDEX(Supports!$E$4:$E$23,MATCH(SPK!$F$18,Supports!$B$4:$B$23,0)),"")="COLLIER POIRE (DN automatique = DN du tube)",IFERROR(INDEX(Catalogue!$B$4:$B$454,SUMPRODUCT(((Catalogue!$C$4:$C$454="COLLIERPOIRE")*(Catalogue!$E$4:$E$454=(SPK!$F$9+0)))*ROW(Catalogue!$C$4:$C$454))-3),""),IFERROR(INDEX(Supports!$E$4:$E$23,MATCH(SPK!$F$18,Supports!$B$4:$B$23,0)),"")))))</f>
        <v/>
      </c>
      <c r="D181" s="76" t="str">
        <f>IF((IFERROR(INDEX(Supports!$E$4:$E$23,MATCH(SPK!$F$18,Supports!$B$4:$B$23,0)),""))="","",(IFERROR(INDEX(Supports!$F$4:$F$23,MATCH(SPK!$F$18,Supports!$B$4:$B$23,0)),0))*SPK!$F$19)</f>
        <v/>
      </c>
      <c r="E181" s="76" t="s">
        <v>1036</v>
      </c>
      <c r="F181" s="76" t="str">
        <f t="shared" si="2"/>
        <v/>
      </c>
      <c r="G181" s="76">
        <f>IF(AND(B181&lt;&gt;"",B181&lt;&gt;"Non trouvé - vérifier",D181&lt;&gt;"",D181&lt;&gt;0),IF(COUNTIF($B$2:B181,B181)=1,1,0),0)</f>
        <v>0</v>
      </c>
    </row>
    <row r="182" spans="1:7" x14ac:dyDescent="0.25">
      <c r="A182" s="76" t="s">
        <v>1090</v>
      </c>
      <c r="B182" s="76" t="str">
        <f>IF((IFERROR(INDEX(Supports!$G$4:$G$23,MATCH(SPK!$F$18,Supports!$B$4:$B$23,0)),""))="","",IF(IFERROR(INDEX(Supports!$G$4:$G$23,MATCH(SPK!$F$18,Supports!$B$4:$B$23,0)),"")="ETRIER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vérifier"),IF(IFERROR(INDEX(Supports!$G$4:$G$23,MATCH(SPK!$F$18,Supports!$B$4:$B$23,0)),"")="COLLIER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vérifier"),IF(IFERROR(INDEX(Supports!$G$4:$G$23,MATCH(SPK!$F$18,Supports!$B$4:$B$23,0)),"")="COLLIER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vérifier"),IFERROR(INDEX(Catalogue!$A$4:$A$454,MATCH(IFERROR(INDEX(Supports!$G$4:$G$23,MATCH(SPK!$F$18,Supports!$B$4:$B$23,0)),""),Catalogue!$B$4:$B$454,0)),"")))))</f>
        <v/>
      </c>
      <c r="C182" s="76" t="str">
        <f>IF((IFERROR(INDEX(Supports!$G$4:$G$23,MATCH(SPK!$F$18,Supports!$B$4:$B$23,0)),""))="","",IF(IFERROR(INDEX(Supports!$G$4:$G$23,MATCH(SPK!$F$18,Supports!$B$4:$B$23,0)),"")="ETRIER RALLONGE (DN automatique = DN du tube)",IFERROR(INDEX(Catalogue!$B$4:$B$454,SUMPRODUCT(((Catalogue!$C$4:$C$454="ETRIER")*(Catalogue!$E$4:$E$454=(SPK!$F$9+0)))*ROW(Catalogue!$C$4:$C$454))-3),""),IF(IFERROR(INDEX(Supports!$G$4:$G$23,MATCH(SPK!$F$18,Supports!$B$4:$B$23,0)),"")="COLLIER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tube)",IFERROR(INDEX(Catalogue!$B$4:$B$454,SUMPRODUCT(((Catalogue!$C$4:$C$454="COLLIERINDUS")*(Catalogue!$E$4:$E$454=(SPK!$F$9+0)))*ROW(Catalogue!$C$4:$C$454))-3),""),IF(IFERROR(INDEX(Supports!$G$4:$G$23,MATCH(SPK!$F$18,Supports!$B$4:$B$23,0)),"")="COLLIER POIRE (DN automatique = DN du tube)",IFERROR(INDEX(Catalogue!$B$4:$B$454,SUMPRODUCT(((Catalogue!$C$4:$C$454="COLLIERPOIRE")*(Catalogue!$E$4:$E$454=(SPK!$F$9+0)))*ROW(Catalogue!$C$4:$C$454))-3),""),IFERROR(INDEX(Supports!$G$4:$G$23,MATCH(SPK!$F$18,Supports!$B$4:$B$23,0)),"")))))</f>
        <v/>
      </c>
      <c r="D182" s="76" t="str">
        <f>IF((IFERROR(INDEX(Supports!$G$4:$G$23,MATCH(SPK!$F$18,Supports!$B$4:$B$23,0)),""))="","",(IFERROR(INDEX(Supports!$H$4:$H$23,MATCH(SPK!$F$18,Supports!$B$4:$B$23,0)),0))*SPK!$F$19)</f>
        <v/>
      </c>
      <c r="E182" s="76" t="s">
        <v>1036</v>
      </c>
      <c r="F182" s="76" t="str">
        <f t="shared" si="2"/>
        <v/>
      </c>
      <c r="G182" s="76">
        <f>IF(AND(B182&lt;&gt;"",B182&lt;&gt;"Non trouvé - vérifier",D182&lt;&gt;"",D182&lt;&gt;0),IF(COUNTIF($B$2:B182,B182)=1,1,0),0)</f>
        <v>0</v>
      </c>
    </row>
    <row r="183" spans="1:7" x14ac:dyDescent="0.25">
      <c r="A183" s="76" t="s">
        <v>1090</v>
      </c>
      <c r="B183" s="76" t="str">
        <f>IF((IFERROR(INDEX(Supports!$I$4:$I$23,MATCH(SPK!$F$18,Supports!$B$4:$B$23,0)),""))="","",IF(IFERROR(INDEX(Supports!$I$4:$I$23,MATCH(SPK!$F$18,Supports!$B$4:$B$23,0)),"")="ETRIER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vérifier"),IF(IFERROR(INDEX(Supports!$I$4:$I$23,MATCH(SPK!$F$18,Supports!$B$4:$B$23,0)),"")="COLLIER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vérifier"),IF(IFERROR(INDEX(Supports!$I$4:$I$23,MATCH(SPK!$F$18,Supports!$B$4:$B$23,0)),"")="COLLIER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vérifier"),IFERROR(INDEX(Catalogue!$A$4:$A$454,MATCH(IFERROR(INDEX(Supports!$I$4:$I$23,MATCH(SPK!$F$18,Supports!$B$4:$B$23,0)),""),Catalogue!$B$4:$B$454,0)),"")))))</f>
        <v/>
      </c>
      <c r="C183" s="76" t="str">
        <f>IF((IFERROR(INDEX(Supports!$I$4:$I$23,MATCH(SPK!$F$18,Supports!$B$4:$B$23,0)),""))="","",IF(IFERROR(INDEX(Supports!$I$4:$I$23,MATCH(SPK!$F$18,Supports!$B$4:$B$23,0)),"")="ETRIER RALLONGE (DN automatique = DN du tube)",IFERROR(INDEX(Catalogue!$B$4:$B$454,SUMPRODUCT(((Catalogue!$C$4:$C$454="ETRIER")*(Catalogue!$E$4:$E$454=(SPK!$F$9+0)))*ROW(Catalogue!$C$4:$C$454))-3),""),IF(IFERROR(INDEX(Supports!$I$4:$I$23,MATCH(SPK!$F$18,Supports!$B$4:$B$23,0)),"")="COLLIER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tube)",IFERROR(INDEX(Catalogue!$B$4:$B$454,SUMPRODUCT(((Catalogue!$C$4:$C$454="COLLIERINDUS")*(Catalogue!$E$4:$E$454=(SPK!$F$9+0)))*ROW(Catalogue!$C$4:$C$454))-3),""),IF(IFERROR(INDEX(Supports!$I$4:$I$23,MATCH(SPK!$F$18,Supports!$B$4:$B$23,0)),"")="COLLIER POIRE (DN automatique = DN du tube)",IFERROR(INDEX(Catalogue!$B$4:$B$454,SUMPRODUCT(((Catalogue!$C$4:$C$454="COLLIERPOIRE")*(Catalogue!$E$4:$E$454=(SPK!$F$9+0)))*ROW(Catalogue!$C$4:$C$454))-3),""),IFERROR(INDEX(Supports!$I$4:$I$23,MATCH(SPK!$F$18,Supports!$B$4:$B$23,0)),"")))))</f>
        <v/>
      </c>
      <c r="D183" s="76" t="str">
        <f>IF((IFERROR(INDEX(Supports!$I$4:$I$23,MATCH(SPK!$F$18,Supports!$B$4:$B$23,0)),""))="","",(IFERROR(INDEX(Supports!$J$4:$J$23,MATCH(SPK!$F$18,Supports!$B$4:$B$23,0)),0))*SPK!$F$19)</f>
        <v/>
      </c>
      <c r="E183" s="76" t="s">
        <v>1036</v>
      </c>
      <c r="F183" s="76" t="str">
        <f t="shared" si="2"/>
        <v/>
      </c>
      <c r="G183" s="76">
        <f>IF(AND(B183&lt;&gt;"",B183&lt;&gt;"Non trouvé - vérifier",D183&lt;&gt;"",D183&lt;&gt;0),IF(COUNTIF($B$2:B183,B183)=1,1,0),0)</f>
        <v>0</v>
      </c>
    </row>
    <row r="184" spans="1:7" x14ac:dyDescent="0.25">
      <c r="A184" s="76" t="s">
        <v>1090</v>
      </c>
      <c r="B184" s="76" t="str">
        <f>IF((IFERROR(INDEX(Supports!$K$4:$K$23,MATCH(SPK!$F$18,Supports!$B$4:$B$23,0)),""))="","",IF(IFERROR(INDEX(Supports!$K$4:$K$23,MATCH(SPK!$F$18,Supports!$B$4:$B$23,0)),"")="ETRIER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vérifier"),IF(IFERROR(INDEX(Supports!$K$4:$K$23,MATCH(SPK!$F$18,Supports!$B$4:$B$23,0)),"")="COLLIER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vérifier"),IF(IFERROR(INDEX(Supports!$K$4:$K$23,MATCH(SPK!$F$18,Supports!$B$4:$B$23,0)),"")="COLLIER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vérifier"),IFERROR(INDEX(Catalogue!$A$4:$A$454,MATCH(IFERROR(INDEX(Supports!$K$4:$K$23,MATCH(SPK!$F$18,Supports!$B$4:$B$23,0)),""),Catalogue!$B$4:$B$454,0)),"")))))</f>
        <v/>
      </c>
      <c r="C184" s="76" t="str">
        <f>IF((IFERROR(INDEX(Supports!$K$4:$K$23,MATCH(SPK!$F$18,Supports!$B$4:$B$23,0)),""))="","",IF(IFERROR(INDEX(Supports!$K$4:$K$23,MATCH(SPK!$F$18,Supports!$B$4:$B$23,0)),"")="ETRIER RALLONGE (DN automatique = DN du tube)",IFERROR(INDEX(Catalogue!$B$4:$B$454,SUMPRODUCT(((Catalogue!$C$4:$C$454="ETRIER")*(Catalogue!$E$4:$E$454=(SPK!$F$9+0)))*ROW(Catalogue!$C$4:$C$454))-3),""),IF(IFERROR(INDEX(Supports!$K$4:$K$23,MATCH(SPK!$F$18,Supports!$B$4:$B$23,0)),"")="COLLIER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tube)",IFERROR(INDEX(Catalogue!$B$4:$B$454,SUMPRODUCT(((Catalogue!$C$4:$C$454="COLLIERINDUS")*(Catalogue!$E$4:$E$454=(SPK!$F$9+0)))*ROW(Catalogue!$C$4:$C$454))-3),""),IF(IFERROR(INDEX(Supports!$K$4:$K$23,MATCH(SPK!$F$18,Supports!$B$4:$B$23,0)),"")="COLLIER POIRE (DN automatique = DN du tube)",IFERROR(INDEX(Catalogue!$B$4:$B$454,SUMPRODUCT(((Catalogue!$C$4:$C$454="COLLIERPOIRE")*(Catalogue!$E$4:$E$454=(SPK!$F$9+0)))*ROW(Catalogue!$C$4:$C$454))-3),""),IFERROR(INDEX(Supports!$K$4:$K$23,MATCH(SPK!$F$18,Supports!$B$4:$B$23,0)),"")))))</f>
        <v/>
      </c>
      <c r="D184" s="76" t="str">
        <f>IF((IFERROR(INDEX(Supports!$K$4:$K$23,MATCH(SPK!$F$18,Supports!$B$4:$B$23,0)),""))="","",(IFERROR(INDEX(Supports!$L$4:$L$23,MATCH(SPK!$F$18,Supports!$B$4:$B$23,0)),0))*SPK!$F$19)</f>
        <v/>
      </c>
      <c r="E184" s="76" t="s">
        <v>1036</v>
      </c>
      <c r="F184" s="76" t="str">
        <f t="shared" si="2"/>
        <v/>
      </c>
      <c r="G184" s="76">
        <f>IF(AND(B184&lt;&gt;"",B184&lt;&gt;"Non trouvé - vérifier",D184&lt;&gt;"",D184&lt;&gt;0),IF(COUNTIF($B$2:B184,B184)=1,1,0),0)</f>
        <v>0</v>
      </c>
    </row>
    <row r="185" spans="1:7" x14ac:dyDescent="0.25">
      <c r="A185" s="76" t="s">
        <v>1090</v>
      </c>
      <c r="B185" s="76" t="str">
        <f>IF((IFERROR(INDEX(Supports!$M$4:$M$23,MATCH(SPK!$F$18,Supports!$B$4:$B$23,0)),""))="","",IF(IFERROR(INDEX(Supports!$M$4:$M$23,MATCH(SPK!$F$18,Supports!$B$4:$B$23,0)),"")="ETRIER RALLONGE (DN automatique = DN du tube)",IFERROR(INDEX(Catalogue!$A$4:$A$454,SUMPRODUCT(((Catalogue!$C$4:$C$454="ETRIER")*(Catalogue!$E$4:$E$454=(SPK!$F$9+0)))*ROW(Catalogue!$C$4:$C$454))-3),"Non trouvé - vérifier"),IF(IFERROR(INDEX(Supports!$M$4:$M$23,MATCH(SPK!$F$18,Supports!$B$4:$B$23,0)),"")="COLLIER INDUSTRIEL (DN automatique = DN du tube)",IFERROR(INDEX(Catalogue!$A$4:$A$454,SUMPRODUCT(((Catalogue!$C$4:$C$454="COLLIERINDUS")*(Catalogue!$E$4:$E$454=(SPK!$F$9+0)))*ROW(Catalogue!$C$4:$C$454))-3),"Non trouvé - vérifier"),IF(IFERROR(INDEX(Supports!$M$4:$M$23,MATCH(SPK!$F$18,Supports!$B$4:$B$23,0)),"")="COLLIER POIRE (DN automatique = DN du tube)",IFERROR(INDEX(Catalogue!$A$4:$A$454,SUMPRODUCT(((Catalogue!$C$4:$C$454="COLLIERPOIRE")*(Catalogue!$E$4:$E$454=(SPK!$F$9+0)))*ROW(Catalogue!$C$4:$C$454))-3),"Non trouvé - vérifier"),IFERROR(INDEX(Catalogue!$A$4:$A$454,MATCH(IFERROR(INDEX(Supports!$M$4:$M$23,MATCH(SPK!$F$18,Supports!$B$4:$B$23,0)),""),Catalogue!$B$4:$B$454,0)),"")))))</f>
        <v/>
      </c>
      <c r="C185" s="76" t="str">
        <f>IF((IFERROR(INDEX(Supports!$M$4:$M$23,MATCH(SPK!$F$18,Supports!$B$4:$B$23,0)),""))="","",IF(IFERROR(INDEX(Supports!$M$4:$M$23,MATCH(SPK!$F$18,Supports!$B$4:$B$23,0)),"")="ETRIER RALLONGE (DN automatique = DN du tube)",IFERROR(INDEX(Catalogue!$B$4:$B$454,SUMPRODUCT(((Catalogue!$C$4:$C$454="ETRIER")*(Catalogue!$E$4:$E$454=(SPK!$F$9+0)))*ROW(Catalogue!$C$4:$C$454))-3),""),IF(IFERROR(INDEX(Supports!$M$4:$M$23,MATCH(SPK!$F$18,Supports!$B$4:$B$23,0)),"")="COLLIER INDUSTRIEL (DN automatique = DN du tube)",IFERROR(INDEX(Catalogue!$B$4:$B$454,SUMPRODUCT(((Catalogue!$C$4:$C$454="COLLIERINDUS")*(Catalogue!$E$4:$E$454=(SPK!$F$9+0)))*ROW(Catalogue!$C$4:$C$454))-3),""),IF(IFERROR(INDEX(Supports!$M$4:$M$23,MATCH(SPK!$F$18,Supports!$B$4:$B$23,0)),"")="COLLIER POIRE (DN automatique = DN du tube)",IFERROR(INDEX(Catalogue!$B$4:$B$454,SUMPRODUCT(((Catalogue!$C$4:$C$454="COLLIERPOIRE")*(Catalogue!$E$4:$E$454=(SPK!$F$9+0)))*ROW(Catalogue!$C$4:$C$454))-3),""),IFERROR(INDEX(Supports!$M$4:$M$23,MATCH(SPK!$F$18,Supports!$B$4:$B$23,0)),"")))))</f>
        <v/>
      </c>
      <c r="D185" s="76" t="str">
        <f>IF((IFERROR(INDEX(Supports!$M$4:$M$23,MATCH(SPK!$F$18,Supports!$B$4:$B$23,0)),""))="","",(IFERROR(INDEX(Supports!$N$4:$N$23,MATCH(SPK!$F$18,Supports!$B$4:$B$23,0)),0))*SPK!$F$19)</f>
        <v/>
      </c>
      <c r="E185" s="76" t="s">
        <v>1036</v>
      </c>
      <c r="F185" s="76" t="str">
        <f t="shared" si="2"/>
        <v/>
      </c>
      <c r="G185" s="76">
        <f>IF(AND(B185&lt;&gt;"",B185&lt;&gt;"Non trouvé - vérifier",D185&lt;&gt;"",D185&lt;&gt;0),IF(COUNTIF($B$2:B185,B185)=1,1,0),0)</f>
        <v>0</v>
      </c>
    </row>
    <row r="186" spans="1:7" x14ac:dyDescent="0.25">
      <c r="A186" s="76" t="s">
        <v>1091</v>
      </c>
      <c r="B186" s="76" t="str">
        <f>IF((IFERROR(INDEX(Supports!$C$4:$C$23,MATCH(SPK!$H$18,Supports!$B$4:$B$23,0)),""))="","",IF(IFERROR(INDEX(Supports!$C$4:$C$23,MATCH(SPK!$H$18,Supports!$B$4:$B$23,0)),"")="ETRIER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vérifier"),IF(IFERROR(INDEX(Supports!$C$4:$C$23,MATCH(SPK!$H$18,Supports!$B$4:$B$23,0)),"")="COLLIER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vérifier"),IF(IFERROR(INDEX(Supports!$C$4:$C$23,MATCH(SPK!$H$18,Supports!$B$4:$B$23,0)),"")="COLLIER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vérifier"),IFERROR(INDEX(Catalogue!$A$4:$A$454,MATCH(IFERROR(INDEX(Supports!$C$4:$C$23,MATCH(SPK!$H$18,Supports!$B$4:$B$23,0)),""),Catalogue!$B$4:$B$454,0)),"")))))</f>
        <v/>
      </c>
      <c r="C186" s="76" t="str">
        <f>IF((IFERROR(INDEX(Supports!$C$4:$C$23,MATCH(SPK!$H$18,Supports!$B$4:$B$23,0)),""))="","",IF(IFERROR(INDEX(Supports!$C$4:$C$23,MATCH(SPK!$H$18,Supports!$B$4:$B$23,0)),"")="ETRIER RALLONGE (DN automatique = DN du tube)",IFERROR(INDEX(Catalogue!$B$4:$B$454,SUMPRODUCT(((Catalogue!$C$4:$C$454="ETRIER")*(Catalogue!$E$4:$E$454=(SPK!$H$9+0)))*ROW(Catalogue!$C$4:$C$454))-3),""),IF(IFERROR(INDEX(Supports!$C$4:$C$23,MATCH(SPK!$H$18,Supports!$B$4:$B$23,0)),"")="COLLIER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tube)",IFERROR(INDEX(Catalogue!$B$4:$B$454,SUMPRODUCT(((Catalogue!$C$4:$C$454="COLLIERINDUS")*(Catalogue!$E$4:$E$454=(SPK!$H$9+0)))*ROW(Catalogue!$C$4:$C$454))-3),""),IF(IFERROR(INDEX(Supports!$C$4:$C$23,MATCH(SPK!$H$18,Supports!$B$4:$B$23,0)),"")="COLLIER POIRE (DN automatique = DN du tube)",IFERROR(INDEX(Catalogue!$B$4:$B$454,SUMPRODUCT(((Catalogue!$C$4:$C$454="COLLIERPOIRE")*(Catalogue!$E$4:$E$454=(SPK!$H$9+0)))*ROW(Catalogue!$C$4:$C$454))-3),""),IFERROR(INDEX(Supports!$C$4:$C$23,MATCH(SPK!$H$18,Supports!$B$4:$B$23,0)),"")))))</f>
        <v/>
      </c>
      <c r="D186" s="76" t="str">
        <f>IF((IFERROR(INDEX(Supports!$C$4:$C$23,MATCH(SPK!$H$18,Supports!$B$4:$B$23,0)),""))="","",(IFERROR(INDEX(Supports!$D$4:$D$23,MATCH(SPK!$H$18,Supports!$B$4:$B$23,0)),0))*SPK!$H$19)</f>
        <v/>
      </c>
      <c r="E186" s="76" t="s">
        <v>1036</v>
      </c>
      <c r="F186" s="76" t="str">
        <f t="shared" si="2"/>
        <v/>
      </c>
      <c r="G186" s="76">
        <f>IF(AND(B186&lt;&gt;"",B186&lt;&gt;"Non trouvé - vérifier",D186&lt;&gt;"",D186&lt;&gt;0),IF(COUNTIF($B$2:B186,B186)=1,1,0),0)</f>
        <v>0</v>
      </c>
    </row>
    <row r="187" spans="1:7" x14ac:dyDescent="0.25">
      <c r="A187" s="76" t="s">
        <v>1091</v>
      </c>
      <c r="B187" s="76" t="str">
        <f>IF((IFERROR(INDEX(Supports!$E$4:$E$23,MATCH(SPK!$H$18,Supports!$B$4:$B$23,0)),""))="","",IF(IFERROR(INDEX(Supports!$E$4:$E$23,MATCH(SPK!$H$18,Supports!$B$4:$B$23,0)),"")="ETRIER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vérifier"),IF(IFERROR(INDEX(Supports!$E$4:$E$23,MATCH(SPK!$H$18,Supports!$B$4:$B$23,0)),"")="COLLIER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vérifier"),IF(IFERROR(INDEX(Supports!$E$4:$E$23,MATCH(SPK!$H$18,Supports!$B$4:$B$23,0)),"")="COLLIER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vérifier"),IFERROR(INDEX(Catalogue!$A$4:$A$454,MATCH(IFERROR(INDEX(Supports!$E$4:$E$23,MATCH(SPK!$H$18,Supports!$B$4:$B$23,0)),""),Catalogue!$B$4:$B$454,0)),"")))))</f>
        <v/>
      </c>
      <c r="C187" s="76" t="str">
        <f>IF((IFERROR(INDEX(Supports!$E$4:$E$23,MATCH(SPK!$H$18,Supports!$B$4:$B$23,0)),""))="","",IF(IFERROR(INDEX(Supports!$E$4:$E$23,MATCH(SPK!$H$18,Supports!$B$4:$B$23,0)),"")="ETRIER RALLONGE (DN automatique = DN du tube)",IFERROR(INDEX(Catalogue!$B$4:$B$454,SUMPRODUCT(((Catalogue!$C$4:$C$454="ETRIER")*(Catalogue!$E$4:$E$454=(SPK!$H$9+0)))*ROW(Catalogue!$C$4:$C$454))-3),""),IF(IFERROR(INDEX(Supports!$E$4:$E$23,MATCH(SPK!$H$18,Supports!$B$4:$B$23,0)),"")="COLLIER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tube)",IFERROR(INDEX(Catalogue!$B$4:$B$454,SUMPRODUCT(((Catalogue!$C$4:$C$454="COLLIERINDUS")*(Catalogue!$E$4:$E$454=(SPK!$H$9+0)))*ROW(Catalogue!$C$4:$C$454))-3),""),IF(IFERROR(INDEX(Supports!$E$4:$E$23,MATCH(SPK!$H$18,Supports!$B$4:$B$23,0)),"")="COLLIER POIRE (DN automatique = DN du tube)",IFERROR(INDEX(Catalogue!$B$4:$B$454,SUMPRODUCT(((Catalogue!$C$4:$C$454="COLLIERPOIRE")*(Catalogue!$E$4:$E$454=(SPK!$H$9+0)))*ROW(Catalogue!$C$4:$C$454))-3),""),IFERROR(INDEX(Supports!$E$4:$E$23,MATCH(SPK!$H$18,Supports!$B$4:$B$23,0)),"")))))</f>
        <v/>
      </c>
      <c r="D187" s="76" t="str">
        <f>IF((IFERROR(INDEX(Supports!$E$4:$E$23,MATCH(SPK!$H$18,Supports!$B$4:$B$23,0)),""))="","",(IFERROR(INDEX(Supports!$F$4:$F$23,MATCH(SPK!$H$18,Supports!$B$4:$B$23,0)),0))*SPK!$H$19)</f>
        <v/>
      </c>
      <c r="E187" s="76" t="s">
        <v>1036</v>
      </c>
      <c r="F187" s="76" t="str">
        <f t="shared" si="2"/>
        <v/>
      </c>
      <c r="G187" s="76">
        <f>IF(AND(B187&lt;&gt;"",B187&lt;&gt;"Non trouvé - vérifier",D187&lt;&gt;"",D187&lt;&gt;0),IF(COUNTIF($B$2:B187,B187)=1,1,0),0)</f>
        <v>0</v>
      </c>
    </row>
    <row r="188" spans="1:7" x14ac:dyDescent="0.25">
      <c r="A188" s="76" t="s">
        <v>1091</v>
      </c>
      <c r="B188" s="76" t="str">
        <f>IF((IFERROR(INDEX(Supports!$G$4:$G$23,MATCH(SPK!$H$18,Supports!$B$4:$B$23,0)),""))="","",IF(IFERROR(INDEX(Supports!$G$4:$G$23,MATCH(SPK!$H$18,Supports!$B$4:$B$23,0)),"")="ETRIER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vérifier"),IF(IFERROR(INDEX(Supports!$G$4:$G$23,MATCH(SPK!$H$18,Supports!$B$4:$B$23,0)),"")="COLLIER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vérifier"),IF(IFERROR(INDEX(Supports!$G$4:$G$23,MATCH(SPK!$H$18,Supports!$B$4:$B$23,0)),"")="COLLIER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vérifier"),IFERROR(INDEX(Catalogue!$A$4:$A$454,MATCH(IFERROR(INDEX(Supports!$G$4:$G$23,MATCH(SPK!$H$18,Supports!$B$4:$B$23,0)),""),Catalogue!$B$4:$B$454,0)),"")))))</f>
        <v/>
      </c>
      <c r="C188" s="76" t="str">
        <f>IF((IFERROR(INDEX(Supports!$G$4:$G$23,MATCH(SPK!$H$18,Supports!$B$4:$B$23,0)),""))="","",IF(IFERROR(INDEX(Supports!$G$4:$G$23,MATCH(SPK!$H$18,Supports!$B$4:$B$23,0)),"")="ETRIER RALLONGE (DN automatique = DN du tube)",IFERROR(INDEX(Catalogue!$B$4:$B$454,SUMPRODUCT(((Catalogue!$C$4:$C$454="ETRIER")*(Catalogue!$E$4:$E$454=(SPK!$H$9+0)))*ROW(Catalogue!$C$4:$C$454))-3),""),IF(IFERROR(INDEX(Supports!$G$4:$G$23,MATCH(SPK!$H$18,Supports!$B$4:$B$23,0)),"")="COLLIER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tube)",IFERROR(INDEX(Catalogue!$B$4:$B$454,SUMPRODUCT(((Catalogue!$C$4:$C$454="COLLIERINDUS")*(Catalogue!$E$4:$E$454=(SPK!$H$9+0)))*ROW(Catalogue!$C$4:$C$454))-3),""),IF(IFERROR(INDEX(Supports!$G$4:$G$23,MATCH(SPK!$H$18,Supports!$B$4:$B$23,0)),"")="COLLIER POIRE (DN automatique = DN du tube)",IFERROR(INDEX(Catalogue!$B$4:$B$454,SUMPRODUCT(((Catalogue!$C$4:$C$454="COLLIERPOIRE")*(Catalogue!$E$4:$E$454=(SPK!$H$9+0)))*ROW(Catalogue!$C$4:$C$454))-3),""),IFERROR(INDEX(Supports!$G$4:$G$23,MATCH(SPK!$H$18,Supports!$B$4:$B$23,0)),"")))))</f>
        <v/>
      </c>
      <c r="D188" s="76" t="str">
        <f>IF((IFERROR(INDEX(Supports!$G$4:$G$23,MATCH(SPK!$H$18,Supports!$B$4:$B$23,0)),""))="","",(IFERROR(INDEX(Supports!$H$4:$H$23,MATCH(SPK!$H$18,Supports!$B$4:$B$23,0)),0))*SPK!$H$19)</f>
        <v/>
      </c>
      <c r="E188" s="76" t="s">
        <v>1036</v>
      </c>
      <c r="F188" s="76" t="str">
        <f t="shared" si="2"/>
        <v/>
      </c>
      <c r="G188" s="76">
        <f>IF(AND(B188&lt;&gt;"",B188&lt;&gt;"Non trouvé - vérifier",D188&lt;&gt;"",D188&lt;&gt;0),IF(COUNTIF($B$2:B188,B188)=1,1,0),0)</f>
        <v>0</v>
      </c>
    </row>
    <row r="189" spans="1:7" x14ac:dyDescent="0.25">
      <c r="A189" s="76" t="s">
        <v>1091</v>
      </c>
      <c r="B189" s="76" t="str">
        <f>IF((IFERROR(INDEX(Supports!$I$4:$I$23,MATCH(SPK!$H$18,Supports!$B$4:$B$23,0)),""))="","",IF(IFERROR(INDEX(Supports!$I$4:$I$23,MATCH(SPK!$H$18,Supports!$B$4:$B$23,0)),"")="ETRIER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vérifier"),IF(IFERROR(INDEX(Supports!$I$4:$I$23,MATCH(SPK!$H$18,Supports!$B$4:$B$23,0)),"")="COLLIER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vérifier"),IF(IFERROR(INDEX(Supports!$I$4:$I$23,MATCH(SPK!$H$18,Supports!$B$4:$B$23,0)),"")="COLLIER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vérifier"),IFERROR(INDEX(Catalogue!$A$4:$A$454,MATCH(IFERROR(INDEX(Supports!$I$4:$I$23,MATCH(SPK!$H$18,Supports!$B$4:$B$23,0)),""),Catalogue!$B$4:$B$454,0)),"")))))</f>
        <v/>
      </c>
      <c r="C189" s="76" t="str">
        <f>IF((IFERROR(INDEX(Supports!$I$4:$I$23,MATCH(SPK!$H$18,Supports!$B$4:$B$23,0)),""))="","",IF(IFERROR(INDEX(Supports!$I$4:$I$23,MATCH(SPK!$H$18,Supports!$B$4:$B$23,0)),"")="ETRIER RALLONGE (DN automatique = DN du tube)",IFERROR(INDEX(Catalogue!$B$4:$B$454,SUMPRODUCT(((Catalogue!$C$4:$C$454="ETRIER")*(Catalogue!$E$4:$E$454=(SPK!$H$9+0)))*ROW(Catalogue!$C$4:$C$454))-3),""),IF(IFERROR(INDEX(Supports!$I$4:$I$23,MATCH(SPK!$H$18,Supports!$B$4:$B$23,0)),"")="COLLIER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tube)",IFERROR(INDEX(Catalogue!$B$4:$B$454,SUMPRODUCT(((Catalogue!$C$4:$C$454="COLLIERINDUS")*(Catalogue!$E$4:$E$454=(SPK!$H$9+0)))*ROW(Catalogue!$C$4:$C$454))-3),""),IF(IFERROR(INDEX(Supports!$I$4:$I$23,MATCH(SPK!$H$18,Supports!$B$4:$B$23,0)),"")="COLLIER POIRE (DN automatique = DN du tube)",IFERROR(INDEX(Catalogue!$B$4:$B$454,SUMPRODUCT(((Catalogue!$C$4:$C$454="COLLIERPOIRE")*(Catalogue!$E$4:$E$454=(SPK!$H$9+0)))*ROW(Catalogue!$C$4:$C$454))-3),""),IFERROR(INDEX(Supports!$I$4:$I$23,MATCH(SPK!$H$18,Supports!$B$4:$B$23,0)),"")))))</f>
        <v/>
      </c>
      <c r="D189" s="76" t="str">
        <f>IF((IFERROR(INDEX(Supports!$I$4:$I$23,MATCH(SPK!$H$18,Supports!$B$4:$B$23,0)),""))="","",(IFERROR(INDEX(Supports!$J$4:$J$23,MATCH(SPK!$H$18,Supports!$B$4:$B$23,0)),0))*SPK!$H$19)</f>
        <v/>
      </c>
      <c r="E189" s="76" t="s">
        <v>1036</v>
      </c>
      <c r="F189" s="76" t="str">
        <f t="shared" si="2"/>
        <v/>
      </c>
      <c r="G189" s="76">
        <f>IF(AND(B189&lt;&gt;"",B189&lt;&gt;"Non trouvé - vérifier",D189&lt;&gt;"",D189&lt;&gt;0),IF(COUNTIF($B$2:B189,B189)=1,1,0),0)</f>
        <v>0</v>
      </c>
    </row>
    <row r="190" spans="1:7" x14ac:dyDescent="0.25">
      <c r="A190" s="76" t="s">
        <v>1091</v>
      </c>
      <c r="B190" s="76" t="str">
        <f>IF((IFERROR(INDEX(Supports!$K$4:$K$23,MATCH(SPK!$H$18,Supports!$B$4:$B$23,0)),""))="","",IF(IFERROR(INDEX(Supports!$K$4:$K$23,MATCH(SPK!$H$18,Supports!$B$4:$B$23,0)),"")="ETRIER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vérifier"),IF(IFERROR(INDEX(Supports!$K$4:$K$23,MATCH(SPK!$H$18,Supports!$B$4:$B$23,0)),"")="COLLIER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vérifier"),IF(IFERROR(INDEX(Supports!$K$4:$K$23,MATCH(SPK!$H$18,Supports!$B$4:$B$23,0)),"")="COLLIER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vérifier"),IFERROR(INDEX(Catalogue!$A$4:$A$454,MATCH(IFERROR(INDEX(Supports!$K$4:$K$23,MATCH(SPK!$H$18,Supports!$B$4:$B$23,0)),""),Catalogue!$B$4:$B$454,0)),"")))))</f>
        <v/>
      </c>
      <c r="C190" s="76" t="str">
        <f>IF((IFERROR(INDEX(Supports!$K$4:$K$23,MATCH(SPK!$H$18,Supports!$B$4:$B$23,0)),""))="","",IF(IFERROR(INDEX(Supports!$K$4:$K$23,MATCH(SPK!$H$18,Supports!$B$4:$B$23,0)),"")="ETRIER RALLONGE (DN automatique = DN du tube)",IFERROR(INDEX(Catalogue!$B$4:$B$454,SUMPRODUCT(((Catalogue!$C$4:$C$454="ETRIER")*(Catalogue!$E$4:$E$454=(SPK!$H$9+0)))*ROW(Catalogue!$C$4:$C$454))-3),""),IF(IFERROR(INDEX(Supports!$K$4:$K$23,MATCH(SPK!$H$18,Supports!$B$4:$B$23,0)),"")="COLLIER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tube)",IFERROR(INDEX(Catalogue!$B$4:$B$454,SUMPRODUCT(((Catalogue!$C$4:$C$454="COLLIERINDUS")*(Catalogue!$E$4:$E$454=(SPK!$H$9+0)))*ROW(Catalogue!$C$4:$C$454))-3),""),IF(IFERROR(INDEX(Supports!$K$4:$K$23,MATCH(SPK!$H$18,Supports!$B$4:$B$23,0)),"")="COLLIER POIRE (DN automatique = DN du tube)",IFERROR(INDEX(Catalogue!$B$4:$B$454,SUMPRODUCT(((Catalogue!$C$4:$C$454="COLLIERPOIRE")*(Catalogue!$E$4:$E$454=(SPK!$H$9+0)))*ROW(Catalogue!$C$4:$C$454))-3),""),IFERROR(INDEX(Supports!$K$4:$K$23,MATCH(SPK!$H$18,Supports!$B$4:$B$23,0)),"")))))</f>
        <v/>
      </c>
      <c r="D190" s="76" t="str">
        <f>IF((IFERROR(INDEX(Supports!$K$4:$K$23,MATCH(SPK!$H$18,Supports!$B$4:$B$23,0)),""))="","",(IFERROR(INDEX(Supports!$L$4:$L$23,MATCH(SPK!$H$18,Supports!$B$4:$B$23,0)),0))*SPK!$H$19)</f>
        <v/>
      </c>
      <c r="E190" s="76" t="s">
        <v>1036</v>
      </c>
      <c r="F190" s="76" t="str">
        <f t="shared" si="2"/>
        <v/>
      </c>
      <c r="G190" s="76">
        <f>IF(AND(B190&lt;&gt;"",B190&lt;&gt;"Non trouvé - vérifier",D190&lt;&gt;"",D190&lt;&gt;0),IF(COUNTIF($B$2:B190,B190)=1,1,0),0)</f>
        <v>0</v>
      </c>
    </row>
    <row r="191" spans="1:7" x14ac:dyDescent="0.25">
      <c r="A191" s="76" t="s">
        <v>1091</v>
      </c>
      <c r="B191" s="76" t="str">
        <f>IF((IFERROR(INDEX(Supports!$M$4:$M$23,MATCH(SPK!$H$18,Supports!$B$4:$B$23,0)),""))="","",IF(IFERROR(INDEX(Supports!$M$4:$M$23,MATCH(SPK!$H$18,Supports!$B$4:$B$23,0)),"")="ETRIER RALLONGE (DN automatique = DN du tube)",IFERROR(INDEX(Catalogue!$A$4:$A$454,SUMPRODUCT(((Catalogue!$C$4:$C$454="ETRIER")*(Catalogue!$E$4:$E$454=(SPK!$H$9+0)))*ROW(Catalogue!$C$4:$C$454))-3),"Non trouvé - vérifier"),IF(IFERROR(INDEX(Supports!$M$4:$M$23,MATCH(SPK!$H$18,Supports!$B$4:$B$23,0)),"")="COLLIER INDUSTRIEL (DN automatique = DN du tube)",IFERROR(INDEX(Catalogue!$A$4:$A$454,SUMPRODUCT(((Catalogue!$C$4:$C$454="COLLIERINDUS")*(Catalogue!$E$4:$E$454=(SPK!$H$9+0)))*ROW(Catalogue!$C$4:$C$454))-3),"Non trouvé - vérifier"),IF(IFERROR(INDEX(Supports!$M$4:$M$23,MATCH(SPK!$H$18,Supports!$B$4:$B$23,0)),"")="COLLIER POIRE (DN automatique = DN du tube)",IFERROR(INDEX(Catalogue!$A$4:$A$454,SUMPRODUCT(((Catalogue!$C$4:$C$454="COLLIERPOIRE")*(Catalogue!$E$4:$E$454=(SPK!$H$9+0)))*ROW(Catalogue!$C$4:$C$454))-3),"Non trouvé - vérifier"),IFERROR(INDEX(Catalogue!$A$4:$A$454,MATCH(IFERROR(INDEX(Supports!$M$4:$M$23,MATCH(SPK!$H$18,Supports!$B$4:$B$23,0)),""),Catalogue!$B$4:$B$454,0)),"")))))</f>
        <v/>
      </c>
      <c r="C191" s="76" t="str">
        <f>IF((IFERROR(INDEX(Supports!$M$4:$M$23,MATCH(SPK!$H$18,Supports!$B$4:$B$23,0)),""))="","",IF(IFERROR(INDEX(Supports!$M$4:$M$23,MATCH(SPK!$H$18,Supports!$B$4:$B$23,0)),"")="ETRIER RALLONGE (DN automatique = DN du tube)",IFERROR(INDEX(Catalogue!$B$4:$B$454,SUMPRODUCT(((Catalogue!$C$4:$C$454="ETRIER")*(Catalogue!$E$4:$E$454=(SPK!$H$9+0)))*ROW(Catalogue!$C$4:$C$454))-3),""),IF(IFERROR(INDEX(Supports!$M$4:$M$23,MATCH(SPK!$H$18,Supports!$B$4:$B$23,0)),"")="COLLIER INDUSTRIEL (DN automatique = DN du tube)",IFERROR(INDEX(Catalogue!$B$4:$B$454,SUMPRODUCT(((Catalogue!$C$4:$C$454="COLLIERINDUS")*(Catalogue!$E$4:$E$454=(SPK!$H$9+0)))*ROW(Catalogue!$C$4:$C$454))-3),""),IF(IFERROR(INDEX(Supports!$M$4:$M$23,MATCH(SPK!$H$18,Supports!$B$4:$B$23,0)),"")="COLLIER POIRE (DN automatique = DN du tube)",IFERROR(INDEX(Catalogue!$B$4:$B$454,SUMPRODUCT(((Catalogue!$C$4:$C$454="COLLIERPOIRE")*(Catalogue!$E$4:$E$454=(SPK!$H$9+0)))*ROW(Catalogue!$C$4:$C$454))-3),""),IFERROR(INDEX(Supports!$M$4:$M$23,MATCH(SPK!$H$18,Supports!$B$4:$B$23,0)),"")))))</f>
        <v/>
      </c>
      <c r="D191" s="76" t="str">
        <f>IF((IFERROR(INDEX(Supports!$M$4:$M$23,MATCH(SPK!$H$18,Supports!$B$4:$B$23,0)),""))="","",(IFERROR(INDEX(Supports!$N$4:$N$23,MATCH(SPK!$H$18,Supports!$B$4:$B$23,0)),0))*SPK!$H$19)</f>
        <v/>
      </c>
      <c r="E191" s="76" t="s">
        <v>1036</v>
      </c>
      <c r="F191" s="76" t="str">
        <f t="shared" si="2"/>
        <v/>
      </c>
      <c r="G191" s="76">
        <f>IF(AND(B191&lt;&gt;"",B191&lt;&gt;"Non trouvé - vérifier",D191&lt;&gt;"",D191&lt;&gt;0),IF(COUNTIF($B$2:B191,B191)=1,1,0),0)</f>
        <v>0</v>
      </c>
    </row>
    <row r="192" spans="1:7" x14ac:dyDescent="0.25">
      <c r="A192" s="76" t="s">
        <v>1092</v>
      </c>
      <c r="B192" s="76" t="str">
        <f>IF((IFERROR(INDEX(Supports!$C$4:$C$23,MATCH(SPK!$J$18,Supports!$B$4:$B$23,0)),""))="","",IF(IFERROR(INDEX(Supports!$C$4:$C$23,MATCH(SPK!$J$18,Supports!$B$4:$B$23,0)),"")="ETRIER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vérifier"),IF(IFERROR(INDEX(Supports!$C$4:$C$23,MATCH(SPK!$J$18,Supports!$B$4:$B$23,0)),"")="COLLIER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vérifier"),IF(IFERROR(INDEX(Supports!$C$4:$C$23,MATCH(SPK!$J$18,Supports!$B$4:$B$23,0)),"")="COLLIER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vérifier"),IFERROR(INDEX(Catalogue!$A$4:$A$454,MATCH(IFERROR(INDEX(Supports!$C$4:$C$23,MATCH(SPK!$J$18,Supports!$B$4:$B$23,0)),""),Catalogue!$B$4:$B$454,0)),"")))))</f>
        <v/>
      </c>
      <c r="C192" s="76" t="str">
        <f>IF((IFERROR(INDEX(Supports!$C$4:$C$23,MATCH(SPK!$J$18,Supports!$B$4:$B$23,0)),""))="","",IF(IFERROR(INDEX(Supports!$C$4:$C$23,MATCH(SPK!$J$18,Supports!$B$4:$B$23,0)),"")="ETRIER RALLONGE (DN automatique = DN du tube)",IFERROR(INDEX(Catalogue!$B$4:$B$454,SUMPRODUCT(((Catalogue!$C$4:$C$454="ETRIER")*(Catalogue!$E$4:$E$454=(SPK!$J$9+0)))*ROW(Catalogue!$C$4:$C$454))-3),""),IF(IFERROR(INDEX(Supports!$C$4:$C$23,MATCH(SPK!$J$18,Supports!$B$4:$B$23,0)),"")="COLLIER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tube)",IFERROR(INDEX(Catalogue!$B$4:$B$454,SUMPRODUCT(((Catalogue!$C$4:$C$454="COLLIERINDUS")*(Catalogue!$E$4:$E$454=(SPK!$J$9+0)))*ROW(Catalogue!$C$4:$C$454))-3),""),IF(IFERROR(INDEX(Supports!$C$4:$C$23,MATCH(SPK!$J$18,Supports!$B$4:$B$23,0)),"")="COLLIER POIRE (DN automatique = DN du tube)",IFERROR(INDEX(Catalogue!$B$4:$B$454,SUMPRODUCT(((Catalogue!$C$4:$C$454="COLLIERPOIRE")*(Catalogue!$E$4:$E$454=(SPK!$J$9+0)))*ROW(Catalogue!$C$4:$C$454))-3),""),IFERROR(INDEX(Supports!$C$4:$C$23,MATCH(SPK!$J$18,Supports!$B$4:$B$23,0)),"")))))</f>
        <v/>
      </c>
      <c r="D192" s="76" t="str">
        <f>IF((IFERROR(INDEX(Supports!$C$4:$C$23,MATCH(SPK!$J$18,Supports!$B$4:$B$23,0)),""))="","",(IFERROR(INDEX(Supports!$D$4:$D$23,MATCH(SPK!$J$18,Supports!$B$4:$B$23,0)),0))*SPK!$J$19)</f>
        <v/>
      </c>
      <c r="E192" s="76" t="s">
        <v>1036</v>
      </c>
      <c r="F192" s="76" t="str">
        <f t="shared" si="2"/>
        <v/>
      </c>
      <c r="G192" s="76">
        <f>IF(AND(B192&lt;&gt;"",B192&lt;&gt;"Non trouvé - vérifier",D192&lt;&gt;"",D192&lt;&gt;0),IF(COUNTIF($B$2:B192,B192)=1,1,0),0)</f>
        <v>0</v>
      </c>
    </row>
    <row r="193" spans="1:7" x14ac:dyDescent="0.25">
      <c r="A193" s="76" t="s">
        <v>1092</v>
      </c>
      <c r="B193" s="76" t="str">
        <f>IF((IFERROR(INDEX(Supports!$E$4:$E$23,MATCH(SPK!$J$18,Supports!$B$4:$B$23,0)),""))="","",IF(IFERROR(INDEX(Supports!$E$4:$E$23,MATCH(SPK!$J$18,Supports!$B$4:$B$23,0)),"")="ETRIER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vérifier"),IF(IFERROR(INDEX(Supports!$E$4:$E$23,MATCH(SPK!$J$18,Supports!$B$4:$B$23,0)),"")="COLLIER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vérifier"),IF(IFERROR(INDEX(Supports!$E$4:$E$23,MATCH(SPK!$J$18,Supports!$B$4:$B$23,0)),"")="COLLIER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vérifier"),IFERROR(INDEX(Catalogue!$A$4:$A$454,MATCH(IFERROR(INDEX(Supports!$E$4:$E$23,MATCH(SPK!$J$18,Supports!$B$4:$B$23,0)),""),Catalogue!$B$4:$B$454,0)),"")))))</f>
        <v/>
      </c>
      <c r="C193" s="76" t="str">
        <f>IF((IFERROR(INDEX(Supports!$E$4:$E$23,MATCH(SPK!$J$18,Supports!$B$4:$B$23,0)),""))="","",IF(IFERROR(INDEX(Supports!$E$4:$E$23,MATCH(SPK!$J$18,Supports!$B$4:$B$23,0)),"")="ETRIER RALLONGE (DN automatique = DN du tube)",IFERROR(INDEX(Catalogue!$B$4:$B$454,SUMPRODUCT(((Catalogue!$C$4:$C$454="ETRIER")*(Catalogue!$E$4:$E$454=(SPK!$J$9+0)))*ROW(Catalogue!$C$4:$C$454))-3),""),IF(IFERROR(INDEX(Supports!$E$4:$E$23,MATCH(SPK!$J$18,Supports!$B$4:$B$23,0)),"")="COLLIER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tube)",IFERROR(INDEX(Catalogue!$B$4:$B$454,SUMPRODUCT(((Catalogue!$C$4:$C$454="COLLIERINDUS")*(Catalogue!$E$4:$E$454=(SPK!$J$9+0)))*ROW(Catalogue!$C$4:$C$454))-3),""),IF(IFERROR(INDEX(Supports!$E$4:$E$23,MATCH(SPK!$J$18,Supports!$B$4:$B$23,0)),"")="COLLIER POIRE (DN automatique = DN du tube)",IFERROR(INDEX(Catalogue!$B$4:$B$454,SUMPRODUCT(((Catalogue!$C$4:$C$454="COLLIERPOIRE")*(Catalogue!$E$4:$E$454=(SPK!$J$9+0)))*ROW(Catalogue!$C$4:$C$454))-3),""),IFERROR(INDEX(Supports!$E$4:$E$23,MATCH(SPK!$J$18,Supports!$B$4:$B$23,0)),"")))))</f>
        <v/>
      </c>
      <c r="D193" s="76" t="str">
        <f>IF((IFERROR(INDEX(Supports!$E$4:$E$23,MATCH(SPK!$J$18,Supports!$B$4:$B$23,0)),""))="","",(IFERROR(INDEX(Supports!$F$4:$F$23,MATCH(SPK!$J$18,Supports!$B$4:$B$23,0)),0))*SPK!$J$19)</f>
        <v/>
      </c>
      <c r="E193" s="76" t="s">
        <v>1036</v>
      </c>
      <c r="F193" s="76" t="str">
        <f t="shared" si="2"/>
        <v/>
      </c>
      <c r="G193" s="76">
        <f>IF(AND(B193&lt;&gt;"",B193&lt;&gt;"Non trouvé - vérifier",D193&lt;&gt;"",D193&lt;&gt;0),IF(COUNTIF($B$2:B193,B193)=1,1,0),0)</f>
        <v>0</v>
      </c>
    </row>
    <row r="194" spans="1:7" x14ac:dyDescent="0.25">
      <c r="A194" s="76" t="s">
        <v>1092</v>
      </c>
      <c r="B194" s="76" t="str">
        <f>IF((IFERROR(INDEX(Supports!$G$4:$G$23,MATCH(SPK!$J$18,Supports!$B$4:$B$23,0)),""))="","",IF(IFERROR(INDEX(Supports!$G$4:$G$23,MATCH(SPK!$J$18,Supports!$B$4:$B$23,0)),"")="ETRIER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vérifier"),IF(IFERROR(INDEX(Supports!$G$4:$G$23,MATCH(SPK!$J$18,Supports!$B$4:$B$23,0)),"")="COLLIER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vérifier"),IF(IFERROR(INDEX(Supports!$G$4:$G$23,MATCH(SPK!$J$18,Supports!$B$4:$B$23,0)),"")="COLLIER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vérifier"),IFERROR(INDEX(Catalogue!$A$4:$A$454,MATCH(IFERROR(INDEX(Supports!$G$4:$G$23,MATCH(SPK!$J$18,Supports!$B$4:$B$23,0)),""),Catalogue!$B$4:$B$454,0)),"")))))</f>
        <v/>
      </c>
      <c r="C194" s="76" t="str">
        <f>IF((IFERROR(INDEX(Supports!$G$4:$G$23,MATCH(SPK!$J$18,Supports!$B$4:$B$23,0)),""))="","",IF(IFERROR(INDEX(Supports!$G$4:$G$23,MATCH(SPK!$J$18,Supports!$B$4:$B$23,0)),"")="ETRIER RALLONGE (DN automatique = DN du tube)",IFERROR(INDEX(Catalogue!$B$4:$B$454,SUMPRODUCT(((Catalogue!$C$4:$C$454="ETRIER")*(Catalogue!$E$4:$E$454=(SPK!$J$9+0)))*ROW(Catalogue!$C$4:$C$454))-3),""),IF(IFERROR(INDEX(Supports!$G$4:$G$23,MATCH(SPK!$J$18,Supports!$B$4:$B$23,0)),"")="COLLIER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tube)",IFERROR(INDEX(Catalogue!$B$4:$B$454,SUMPRODUCT(((Catalogue!$C$4:$C$454="COLLIERINDUS")*(Catalogue!$E$4:$E$454=(SPK!$J$9+0)))*ROW(Catalogue!$C$4:$C$454))-3),""),IF(IFERROR(INDEX(Supports!$G$4:$G$23,MATCH(SPK!$J$18,Supports!$B$4:$B$23,0)),"")="COLLIER POIRE (DN automatique = DN du tube)",IFERROR(INDEX(Catalogue!$B$4:$B$454,SUMPRODUCT(((Catalogue!$C$4:$C$454="COLLIERPOIRE")*(Catalogue!$E$4:$E$454=(SPK!$J$9+0)))*ROW(Catalogue!$C$4:$C$454))-3),""),IFERROR(INDEX(Supports!$G$4:$G$23,MATCH(SPK!$J$18,Supports!$B$4:$B$23,0)),"")))))</f>
        <v/>
      </c>
      <c r="D194" s="76" t="str">
        <f>IF((IFERROR(INDEX(Supports!$G$4:$G$23,MATCH(SPK!$J$18,Supports!$B$4:$B$23,0)),""))="","",(IFERROR(INDEX(Supports!$H$4:$H$23,MATCH(SPK!$J$18,Supports!$B$4:$B$23,0)),0))*SPK!$J$19)</f>
        <v/>
      </c>
      <c r="E194" s="76" t="s">
        <v>1036</v>
      </c>
      <c r="F194" s="76" t="str">
        <f t="shared" ref="F194:F244" si="3">IF(AND(B194&lt;&gt;"",B194&lt;&gt;"Non trouvé - vérifier",D194&lt;&gt;"",D194&lt;&gt;0),SUMIF($B$2:$B$244,B194,$D$2:$D$244),"")</f>
        <v/>
      </c>
      <c r="G194" s="76">
        <f>IF(AND(B194&lt;&gt;"",B194&lt;&gt;"Non trouvé - vérifier",D194&lt;&gt;"",D194&lt;&gt;0),IF(COUNTIF($B$2:B194,B194)=1,1,0),0)</f>
        <v>0</v>
      </c>
    </row>
    <row r="195" spans="1:7" x14ac:dyDescent="0.25">
      <c r="A195" s="76" t="s">
        <v>1092</v>
      </c>
      <c r="B195" s="76" t="str">
        <f>IF((IFERROR(INDEX(Supports!$I$4:$I$23,MATCH(SPK!$J$18,Supports!$B$4:$B$23,0)),""))="","",IF(IFERROR(INDEX(Supports!$I$4:$I$23,MATCH(SPK!$J$18,Supports!$B$4:$B$23,0)),"")="ETRIER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vérifier"),IF(IFERROR(INDEX(Supports!$I$4:$I$23,MATCH(SPK!$J$18,Supports!$B$4:$B$23,0)),"")="COLLIER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vérifier"),IF(IFERROR(INDEX(Supports!$I$4:$I$23,MATCH(SPK!$J$18,Supports!$B$4:$B$23,0)),"")="COLLIER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vérifier"),IFERROR(INDEX(Catalogue!$A$4:$A$454,MATCH(IFERROR(INDEX(Supports!$I$4:$I$23,MATCH(SPK!$J$18,Supports!$B$4:$B$23,0)),""),Catalogue!$B$4:$B$454,0)),"")))))</f>
        <v/>
      </c>
      <c r="C195" s="76" t="str">
        <f>IF((IFERROR(INDEX(Supports!$I$4:$I$23,MATCH(SPK!$J$18,Supports!$B$4:$B$23,0)),""))="","",IF(IFERROR(INDEX(Supports!$I$4:$I$23,MATCH(SPK!$J$18,Supports!$B$4:$B$23,0)),"")="ETRIER RALLONGE (DN automatique = DN du tube)",IFERROR(INDEX(Catalogue!$B$4:$B$454,SUMPRODUCT(((Catalogue!$C$4:$C$454="ETRIER")*(Catalogue!$E$4:$E$454=(SPK!$J$9+0)))*ROW(Catalogue!$C$4:$C$454))-3),""),IF(IFERROR(INDEX(Supports!$I$4:$I$23,MATCH(SPK!$J$18,Supports!$B$4:$B$23,0)),"")="COLLIER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tube)",IFERROR(INDEX(Catalogue!$B$4:$B$454,SUMPRODUCT(((Catalogue!$C$4:$C$454="COLLIERINDUS")*(Catalogue!$E$4:$E$454=(SPK!$J$9+0)))*ROW(Catalogue!$C$4:$C$454))-3),""),IF(IFERROR(INDEX(Supports!$I$4:$I$23,MATCH(SPK!$J$18,Supports!$B$4:$B$23,0)),"")="COLLIER POIRE (DN automatique = DN du tube)",IFERROR(INDEX(Catalogue!$B$4:$B$454,SUMPRODUCT(((Catalogue!$C$4:$C$454="COLLIERPOIRE")*(Catalogue!$E$4:$E$454=(SPK!$J$9+0)))*ROW(Catalogue!$C$4:$C$454))-3),""),IFERROR(INDEX(Supports!$I$4:$I$23,MATCH(SPK!$J$18,Supports!$B$4:$B$23,0)),"")))))</f>
        <v/>
      </c>
      <c r="D195" s="76" t="str">
        <f>IF((IFERROR(INDEX(Supports!$I$4:$I$23,MATCH(SPK!$J$18,Supports!$B$4:$B$23,0)),""))="","",(IFERROR(INDEX(Supports!$J$4:$J$23,MATCH(SPK!$J$18,Supports!$B$4:$B$23,0)),0))*SPK!$J$19)</f>
        <v/>
      </c>
      <c r="E195" s="76" t="s">
        <v>1036</v>
      </c>
      <c r="F195" s="76" t="str">
        <f t="shared" si="3"/>
        <v/>
      </c>
      <c r="G195" s="76">
        <f>IF(AND(B195&lt;&gt;"",B195&lt;&gt;"Non trouvé - vérifier",D195&lt;&gt;"",D195&lt;&gt;0),IF(COUNTIF($B$2:B195,B195)=1,1,0),0)</f>
        <v>0</v>
      </c>
    </row>
    <row r="196" spans="1:7" x14ac:dyDescent="0.25">
      <c r="A196" s="76" t="s">
        <v>1092</v>
      </c>
      <c r="B196" s="76" t="str">
        <f>IF((IFERROR(INDEX(Supports!$K$4:$K$23,MATCH(SPK!$J$18,Supports!$B$4:$B$23,0)),""))="","",IF(IFERROR(INDEX(Supports!$K$4:$K$23,MATCH(SPK!$J$18,Supports!$B$4:$B$23,0)),"")="ETRIER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vérifier"),IF(IFERROR(INDEX(Supports!$K$4:$K$23,MATCH(SPK!$J$18,Supports!$B$4:$B$23,0)),"")="COLLIER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vérifier"),IF(IFERROR(INDEX(Supports!$K$4:$K$23,MATCH(SPK!$J$18,Supports!$B$4:$B$23,0)),"")="COLLIER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vérifier"),IFERROR(INDEX(Catalogue!$A$4:$A$454,MATCH(IFERROR(INDEX(Supports!$K$4:$K$23,MATCH(SPK!$J$18,Supports!$B$4:$B$23,0)),""),Catalogue!$B$4:$B$454,0)),"")))))</f>
        <v/>
      </c>
      <c r="C196" s="76" t="str">
        <f>IF((IFERROR(INDEX(Supports!$K$4:$K$23,MATCH(SPK!$J$18,Supports!$B$4:$B$23,0)),""))="","",IF(IFERROR(INDEX(Supports!$K$4:$K$23,MATCH(SPK!$J$18,Supports!$B$4:$B$23,0)),"")="ETRIER RALLONGE (DN automatique = DN du tube)",IFERROR(INDEX(Catalogue!$B$4:$B$454,SUMPRODUCT(((Catalogue!$C$4:$C$454="ETRIER")*(Catalogue!$E$4:$E$454=(SPK!$J$9+0)))*ROW(Catalogue!$C$4:$C$454))-3),""),IF(IFERROR(INDEX(Supports!$K$4:$K$23,MATCH(SPK!$J$18,Supports!$B$4:$B$23,0)),"")="COLLIER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tube)",IFERROR(INDEX(Catalogue!$B$4:$B$454,SUMPRODUCT(((Catalogue!$C$4:$C$454="COLLIERINDUS")*(Catalogue!$E$4:$E$454=(SPK!$J$9+0)))*ROW(Catalogue!$C$4:$C$454))-3),""),IF(IFERROR(INDEX(Supports!$K$4:$K$23,MATCH(SPK!$J$18,Supports!$B$4:$B$23,0)),"")="COLLIER POIRE (DN automatique = DN du tube)",IFERROR(INDEX(Catalogue!$B$4:$B$454,SUMPRODUCT(((Catalogue!$C$4:$C$454="COLLIERPOIRE")*(Catalogue!$E$4:$E$454=(SPK!$J$9+0)))*ROW(Catalogue!$C$4:$C$454))-3),""),IFERROR(INDEX(Supports!$K$4:$K$23,MATCH(SPK!$J$18,Supports!$B$4:$B$23,0)),"")))))</f>
        <v/>
      </c>
      <c r="D196" s="76" t="str">
        <f>IF((IFERROR(INDEX(Supports!$K$4:$K$23,MATCH(SPK!$J$18,Supports!$B$4:$B$23,0)),""))="","",(IFERROR(INDEX(Supports!$L$4:$L$23,MATCH(SPK!$J$18,Supports!$B$4:$B$23,0)),0))*SPK!$J$19)</f>
        <v/>
      </c>
      <c r="E196" s="76" t="s">
        <v>1036</v>
      </c>
      <c r="F196" s="76" t="str">
        <f t="shared" si="3"/>
        <v/>
      </c>
      <c r="G196" s="76">
        <f>IF(AND(B196&lt;&gt;"",B196&lt;&gt;"Non trouvé - vérifier",D196&lt;&gt;"",D196&lt;&gt;0),IF(COUNTIF($B$2:B196,B196)=1,1,0),0)</f>
        <v>0</v>
      </c>
    </row>
    <row r="197" spans="1:7" x14ac:dyDescent="0.25">
      <c r="A197" s="76" t="s">
        <v>1092</v>
      </c>
      <c r="B197" s="76" t="str">
        <f>IF((IFERROR(INDEX(Supports!$M$4:$M$23,MATCH(SPK!$J$18,Supports!$B$4:$B$23,0)),""))="","",IF(IFERROR(INDEX(Supports!$M$4:$M$23,MATCH(SPK!$J$18,Supports!$B$4:$B$23,0)),"")="ETRIER RALLONGE (DN automatique = DN du tube)",IFERROR(INDEX(Catalogue!$A$4:$A$454,SUMPRODUCT(((Catalogue!$C$4:$C$454="ETRIER")*(Catalogue!$E$4:$E$454=(SPK!$J$9+0)))*ROW(Catalogue!$C$4:$C$454))-3),"Non trouvé - vérifier"),IF(IFERROR(INDEX(Supports!$M$4:$M$23,MATCH(SPK!$J$18,Supports!$B$4:$B$23,0)),"")="COLLIER INDUSTRIEL (DN automatique = DN du tube)",IFERROR(INDEX(Catalogue!$A$4:$A$454,SUMPRODUCT(((Catalogue!$C$4:$C$454="COLLIERINDUS")*(Catalogue!$E$4:$E$454=(SPK!$J$9+0)))*ROW(Catalogue!$C$4:$C$454))-3),"Non trouvé - vérifier"),IF(IFERROR(INDEX(Supports!$M$4:$M$23,MATCH(SPK!$J$18,Supports!$B$4:$B$23,0)),"")="COLLIER POIRE (DN automatique = DN du tube)",IFERROR(INDEX(Catalogue!$A$4:$A$454,SUMPRODUCT(((Catalogue!$C$4:$C$454="COLLIERPOIRE")*(Catalogue!$E$4:$E$454=(SPK!$J$9+0)))*ROW(Catalogue!$C$4:$C$454))-3),"Non trouvé - vérifier"),IFERROR(INDEX(Catalogue!$A$4:$A$454,MATCH(IFERROR(INDEX(Supports!$M$4:$M$23,MATCH(SPK!$J$18,Supports!$B$4:$B$23,0)),""),Catalogue!$B$4:$B$454,0)),"")))))</f>
        <v/>
      </c>
      <c r="C197" s="76" t="str">
        <f>IF((IFERROR(INDEX(Supports!$M$4:$M$23,MATCH(SPK!$J$18,Supports!$B$4:$B$23,0)),""))="","",IF(IFERROR(INDEX(Supports!$M$4:$M$23,MATCH(SPK!$J$18,Supports!$B$4:$B$23,0)),"")="ETRIER RALLONGE (DN automatique = DN du tube)",IFERROR(INDEX(Catalogue!$B$4:$B$454,SUMPRODUCT(((Catalogue!$C$4:$C$454="ETRIER")*(Catalogue!$E$4:$E$454=(SPK!$J$9+0)))*ROW(Catalogue!$C$4:$C$454))-3),""),IF(IFERROR(INDEX(Supports!$M$4:$M$23,MATCH(SPK!$J$18,Supports!$B$4:$B$23,0)),"")="COLLIER INDUSTRIEL (DN automatique = DN du tube)",IFERROR(INDEX(Catalogue!$B$4:$B$454,SUMPRODUCT(((Catalogue!$C$4:$C$454="COLLIERINDUS")*(Catalogue!$E$4:$E$454=(SPK!$J$9+0)))*ROW(Catalogue!$C$4:$C$454))-3),""),IF(IFERROR(INDEX(Supports!$M$4:$M$23,MATCH(SPK!$J$18,Supports!$B$4:$B$23,0)),"")="COLLIER POIRE (DN automatique = DN du tube)",IFERROR(INDEX(Catalogue!$B$4:$B$454,SUMPRODUCT(((Catalogue!$C$4:$C$454="COLLIERPOIRE")*(Catalogue!$E$4:$E$454=(SPK!$J$9+0)))*ROW(Catalogue!$C$4:$C$454))-3),""),IFERROR(INDEX(Supports!$M$4:$M$23,MATCH(SPK!$J$18,Supports!$B$4:$B$23,0)),"")))))</f>
        <v/>
      </c>
      <c r="D197" s="76" t="str">
        <f>IF((IFERROR(INDEX(Supports!$M$4:$M$23,MATCH(SPK!$J$18,Supports!$B$4:$B$23,0)),""))="","",(IFERROR(INDEX(Supports!$N$4:$N$23,MATCH(SPK!$J$18,Supports!$B$4:$B$23,0)),0))*SPK!$J$19)</f>
        <v/>
      </c>
      <c r="E197" s="76" t="s">
        <v>1036</v>
      </c>
      <c r="F197" s="76" t="str">
        <f t="shared" si="3"/>
        <v/>
      </c>
      <c r="G197" s="76">
        <f>IF(AND(B197&lt;&gt;"",B197&lt;&gt;"Non trouvé - vérifier",D197&lt;&gt;"",D197&lt;&gt;0),IF(COUNTIF($B$2:B197,B197)=1,1,0),0)</f>
        <v>0</v>
      </c>
    </row>
    <row r="198" spans="1:7" x14ac:dyDescent="0.25">
      <c r="A198" s="76" t="s">
        <v>1093</v>
      </c>
      <c r="B198" s="76" t="str">
        <f>IFERROR(INDEX(Catalogue!$A$4:$A$454,SUMPRODUCT(((Catalogue!$C$4:$C$454="TUBE")*(Catalogue!$G$4:$G$454&lt;&gt;"SL")*(Catalogue!$D$4:$D$454=IF(SPK!$D$6="X","GALVA",IF(SPK!$F$6="X","NOIR","")))*(Catalogue!$E$4:$E$454=(SPK!$J$22+0)))*ROW(Catalogue!$C$4:$C$454))-3),"Non trouvé - vérifier")</f>
        <v>Non trouvé - vérifier</v>
      </c>
      <c r="C198" s="76" t="str">
        <f>IFERROR(INDEX(Catalogue!$B$4:$B$454,SUMPRODUCT(((Catalogue!$C$4:$C$454="TUBE")*(Catalogue!$G$4:$G$454&lt;&gt;"SL")*(Catalogue!$D$4:$D$454=IF(SPK!$D$6="X","GALVA",IF(SPK!$F$6="X","NOIR","")))*(Catalogue!$E$4:$E$454=(SPK!$J$22+0)))*ROW(Catalogue!$C$4:$C$454))-3),"")</f>
        <v/>
      </c>
      <c r="D198" s="76">
        <f>CEILING((((SPK!$J$27*SPK!$J$26))),6)</f>
        <v>0</v>
      </c>
      <c r="E198" s="76" t="s">
        <v>1033</v>
      </c>
      <c r="F198" s="76" t="str">
        <f t="shared" si="3"/>
        <v/>
      </c>
      <c r="G198" s="76">
        <f>IF(AND(B198&lt;&gt;"",B198&lt;&gt;"Non trouvé - vérifier",D198&lt;&gt;"",D198&lt;&gt;0),IF(COUNTIF($B$2:B198,B198)=1,1,0),0)</f>
        <v>0</v>
      </c>
    </row>
    <row r="199" spans="1:7" x14ac:dyDescent="0.25">
      <c r="A199" s="76" t="s">
        <v>1093</v>
      </c>
      <c r="B199" s="76" t="str">
        <f>IFERROR(INDEX(Catalogue!$A$4:$A$454,SUMPRODUCT(((Catalogue!$C$4:$C$454="CPC")*(Catalogue!$D$4:$D$454=IF(SPK!$D$4="X","ROUGE",IF(SPK!$F$4="X","GALVA",IF(SPK!$H$4="X","GALVA",""))))*(Catalogue!$E$4:$E$454=(SPK!$J$23+0))*(Catalogue!$F$4:$F$454=(SPK!$J$22+0))*(Catalogue!$G$4:$G$454=IF(LEFT(SPK!$J$24,1)="R","RAINURE",IF(LEFT(SPK!$J$24,1)="T","TARAUDE",""))))*ROW(Catalogue!$C$4:$C$454))-3),"Non trouvé - vérifier")</f>
        <v>Non trouvé - vérifier</v>
      </c>
      <c r="C199" s="76" t="str">
        <f>IFERROR(INDEX(Catalogue!$B$4:$B$454,SUMPRODUCT(((Catalogue!$C$4:$C$454="CPC")*(Catalogue!$D$4:$D$454=IF(SPK!$D$4="X","ROUGE",IF(SPK!$F$4="X","GALVA",IF(SPK!$H$4="X","GALVA",""))))*(Catalogue!$E$4:$E$454=(SPK!$J$23+0))*(Catalogue!$F$4:$F$454=(SPK!$J$22+0))*(Catalogue!$G$4:$G$454=IF(LEFT(SPK!$J$24,1)="R","RAINURE",IF(LEFT(SPK!$J$24,1)="T","TARAUDE",""))))*ROW(Catalogue!$C$4:$C$454))-3),"")</f>
        <v/>
      </c>
      <c r="D199" s="78">
        <f>SPK!$J$25</f>
        <v>0</v>
      </c>
      <c r="E199" s="76" t="s">
        <v>1034</v>
      </c>
      <c r="F199" s="76" t="str">
        <f t="shared" si="3"/>
        <v/>
      </c>
      <c r="G199" s="76">
        <f>IF(AND(B199&lt;&gt;"",B199&lt;&gt;"Non trouvé - vérifier",D199&lt;&gt;"",D199&lt;&gt;0),IF(COUNTIF($B$2:B199,B199)=1,1,0),0)</f>
        <v>0</v>
      </c>
    </row>
    <row r="200" spans="1:7" x14ac:dyDescent="0.25">
      <c r="A200" s="76" t="s">
        <v>1093</v>
      </c>
      <c r="B200" s="76" t="str">
        <f>IFERROR(INDEX(Catalogue!$A$4:$A$454,SUMPRODUCT(((Catalogue!$C$4:$C$454="RACCORD")*(Catalogue!$D$4:$D$454=IF(SPK!$D$4="X","ROUGE",IF(SPK!$F$4="X","BLANC",IF(SPK!$H$4="X","GALVA",""))))*(Catalogue!$E$4:$E$454=(SPK!$J$22+0)))*ROW(Catalogue!$C$4:$C$454))-3),"Non trouvé - vérifier")</f>
        <v>Non trouvé - vérifier</v>
      </c>
      <c r="C200" s="76" t="str">
        <f>IFERROR(INDEX(Catalogue!$B$4:$B$454,SUMPRODUCT(((Catalogue!$C$4:$C$454="RACCORD")*(Catalogue!$D$4:$D$454=IF(SPK!$D$4="X","ROUGE",IF(SPK!$F$4="X","BLANC",IF(SPK!$H$4="X","GALVA",""))))*(Catalogue!$E$4:$E$454=(SPK!$J$22+0)))*ROW(Catalogue!$C$4:$C$454))-3),"")</f>
        <v/>
      </c>
      <c r="D200" s="76">
        <f>ROUNDUP(((((SPK!$J$27*SPK!$J$26))/6)+(SPK!$J$28*2))*1.1,0)</f>
        <v>0</v>
      </c>
      <c r="E200" s="76" t="s">
        <v>1034</v>
      </c>
      <c r="F200" s="76" t="str">
        <f t="shared" si="3"/>
        <v/>
      </c>
      <c r="G200" s="76">
        <f>IF(AND(B200&lt;&gt;"",B200&lt;&gt;"Non trouvé - vérifier",D200&lt;&gt;"",D200&lt;&gt;0),IF(COUNTIF($B$2:B200,B200)=1,1,0),0)</f>
        <v>0</v>
      </c>
    </row>
    <row r="201" spans="1:7" x14ac:dyDescent="0.25">
      <c r="A201" s="76" t="s">
        <v>1094</v>
      </c>
      <c r="B201" s="76" t="str">
        <f>IF((SPK!$J$22+0)=25,"BOUCHVIMGA025",IFERROR(INDEX(Catalogue!$A$4:$A$454,SUMPRODUCT(((Catalogue!$C$4:$C$454="RACCORD")*(Catalogue!$D$4:$D$454=IF(SPK!$D$4="X","ROUGE",IF(SPK!$F$4="X","BLANC",IF(SPK!$H$4="X","GALVA",""))))*(Catalogue!$E$4:$E$454=(SPK!$J$22+0)))*ROW(Catalogue!$C$4:$C$454))-3),"Non trouvé - vérifier"))</f>
        <v>Non trouvé - vérifier</v>
      </c>
      <c r="C201" s="76" t="str">
        <f>IF((SPK!$J$22+0)=25,"BOUCHON VISSER M GALVA DN25",IFERROR(INDEX(Catalogue!$B$4:$B$454,SUMPRODUCT(((Catalogue!$C$4:$C$454="RACCORD")*(Catalogue!$D$4:$D$454=IF(SPK!$D$4="X","ROUGE",IF(SPK!$F$4="X","BLANC",IF(SPK!$H$4="X","GALVA",""))))*(Catalogue!$E$4:$E$454=(SPK!$J$22+0)))*ROW(Catalogue!$C$4:$C$454))-3),""))</f>
        <v/>
      </c>
      <c r="D201" s="78">
        <f>SPK!$J$25</f>
        <v>0</v>
      </c>
      <c r="E201" s="76" t="s">
        <v>1034</v>
      </c>
      <c r="F201" s="76" t="str">
        <f t="shared" si="3"/>
        <v/>
      </c>
      <c r="G201" s="76">
        <f>IF(AND(B201&lt;&gt;"",B201&lt;&gt;"Non trouvé - vérifier",D201&lt;&gt;"",D201&lt;&gt;0),IF(COUNTIF($B$2:B201,B201)=1,1,0),0)</f>
        <v>0</v>
      </c>
    </row>
    <row r="202" spans="1:7" x14ac:dyDescent="0.25">
      <c r="A202" s="76" t="s">
        <v>1095</v>
      </c>
      <c r="B202" s="76" t="str">
        <f>IF((SPK!$J$22+0)=25,"",IFERROR(INDEX(Catalogue!$A$4:$A$454,SUMPRODUCT(((Catalogue!$C$4:$C$454="FOND")*(Catalogue!$D$4:$D$454=IF(SPK!$D$4="X","ROUGE",IF(SPK!$F$4="X","BLANC",IF(SPK!$H$4="X","GALVA",""))))*(Catalogue!$E$4:$E$454=(SPK!$J$22+0)))*ROW(Catalogue!$C$4:$C$454))-3),"Non trouvé - vérifier"))</f>
        <v>Non trouvé - vérifier</v>
      </c>
      <c r="C202" s="76" t="str">
        <f>IF((SPK!$J$22+0)=25,"",IFERROR(INDEX(Catalogue!$B$4:$B$454,SUMPRODUCT(((Catalogue!$C$4:$C$454="FOND")*(Catalogue!$D$4:$D$454=IF(SPK!$D$4="X","ROUGE",IF(SPK!$F$4="X","BLANC",IF(SPK!$H$4="X","GALVA",""))))*(Catalogue!$E$4:$E$454=(SPK!$J$22+0)))*ROW(Catalogue!$C$4:$C$454))-3),""))</f>
        <v/>
      </c>
      <c r="D202" s="78">
        <f>IF((SPK!$J$22+0)=25,"",SPK!$J$25)</f>
        <v>0</v>
      </c>
      <c r="E202" s="76" t="s">
        <v>1034</v>
      </c>
      <c r="F202" s="76" t="str">
        <f t="shared" si="3"/>
        <v/>
      </c>
      <c r="G202" s="76">
        <f>IF(AND(B202&lt;&gt;"",B202&lt;&gt;"Non trouvé - vérifier",D202&lt;&gt;"",D202&lt;&gt;0),IF(COUNTIF($B$2:B202,B202)=1,1,0),0)</f>
        <v>0</v>
      </c>
    </row>
    <row r="203" spans="1:7" x14ac:dyDescent="0.25">
      <c r="A203" s="76" t="s">
        <v>1096</v>
      </c>
      <c r="B203" s="76" t="str">
        <f>IF((IF(OR(SPK!$J$29="SSP Toiture",SPK!$J$29="SSU Toiture"),"Toiture",IF(SPK!$J$29="SSP Placo","TB Placo",IF(SPK!$J$29="SSP Faux plafond","TB Faux plaf",IF(SPK!$J$29="SSP Labo","TB Labo","")))))&lt;&gt;"Toiture","",IF((SPK!$J$22+0)=25,IFERROR(INDEX(Catalogue!$A$4:$A$454,SUMPRODUCT(((Catalogue!$C$4:$C$454="TES")*(Catalogue!$D$4:$D$454="GALVA")*(Catalogue!$E$4:$E$454=(25+0))*(Catalogue!$G$4:$G$454="VISSER"))*ROW(Catalogue!$C$4:$C$454))-3),"Non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J$22+0))*(Catalogue!$F$4:$F$454=(SPK!$J$30+0))*(Catalogue!$G$4:$G$454="TARAUDE"))*ROW(Catalogue!$C$4:$C$454))-3),"Non trouvé - vérifier")))</f>
        <v/>
      </c>
      <c r="C203" s="76" t="str">
        <f>IF((IF(OR(SPK!$J$29="SSP Toiture",SPK!$J$29="SSU Toiture"),"Toiture",IF(SPK!$J$29="SSP Placo","TB Placo",IF(SPK!$J$29="SSP Faux plafond","TB Faux plaf",IF(SPK!$J$29="SSP Labo","TB Labo","")))))&lt;&gt;"Toiture","",IF((SPK!$J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J$22+0))*(Catalogue!$F$4:$F$454=(SPK!$J$30+0))*(Catalogue!$G$4:$G$454="TARAUDE"))*ROW(Catalogue!$C$4:$C$454))-3),"")))</f>
        <v/>
      </c>
      <c r="D203" s="76">
        <f>IF((IF(OR(SPK!$J$29="SSP Toiture",SPK!$J$29="SSU Toiture"),"Toiture",IF(SPK!$J$29="SSP Placo","TB Placo",IF(SPK!$J$29="SSP Faux plafond","TB Faux plaf",IF(SPK!$J$29="SSP Labo","TB Labo","")))))&lt;&gt;"Toiture",0,(SPK!$J$26))</f>
        <v>0</v>
      </c>
      <c r="E203" s="76" t="s">
        <v>1034</v>
      </c>
      <c r="F203" s="76" t="str">
        <f t="shared" si="3"/>
        <v/>
      </c>
      <c r="G203" s="76">
        <f>IF(AND(B203&lt;&gt;"",B203&lt;&gt;"Non trouvé - vérifier",D203&lt;&gt;"",D203&lt;&gt;0),IF(COUNTIF($B$2:B203,B203)=1,1,0),0)</f>
        <v>0</v>
      </c>
    </row>
    <row r="204" spans="1:7" x14ac:dyDescent="0.25">
      <c r="A204" s="76" t="s">
        <v>1096</v>
      </c>
      <c r="B204" s="76" t="str">
        <f>IF(AND((IF(OR(SPK!$J$29="SSP Toiture",SPK!$J$29="SSU Toiture"),"Toiture",IF(SPK!$J$29="SSP Placo","TB Placo",IF(SPK!$J$29="SSP Faux plafond","TB Faux plaf",IF(SPK!$J$29="SSP Labo","TB Labo","")))))="Toiture",(SPK!$J$22+0)=25),IFERROR(INDEX(Catalogue!$A$4:$A$454,SUMPRODUCT(((Catalogue!$C$4:$C$454="REDUC")*(Catalogue!$D$4:$D$454="GALVA")*(Catalogue!$E$4:$E$454=(25+0))*(Catalogue!$F$4:$F$454=(SPK!$J$30+0))*(Catalogue!$G$4:$G$454="MF"))*ROW(Catalogue!$C$4:$C$454))-3),"Non trouvé - vérifier"),"")</f>
        <v/>
      </c>
      <c r="C204" s="76" t="str">
        <f>IF(AND((IF(OR(SPK!$J$29="SSP Toiture",SPK!$J$29="SSU Toiture"),"Toiture",IF(SPK!$J$29="SSP Placo","TB Placo",IF(SPK!$J$29="SSP Faux plafond","TB Faux plaf",IF(SPK!$J$29="SSP Labo","TB Labo","")))))="Toiture",(SPK!$J$22+0)=25),IFERROR(INDEX(Catalogue!$B$4:$B$454,SUMPRODUCT(((Catalogue!$C$4:$C$454="REDUC")*(Catalogue!$D$4:$D$454="GALVA")*(Catalogue!$E$4:$E$454=(25+0))*(Catalogue!$F$4:$F$454=(SPK!$J$30+0))*(Catalogue!$G$4:$G$454="MF"))*ROW(Catalogue!$C$4:$C$454))-3),""),"")</f>
        <v/>
      </c>
      <c r="D204" s="76">
        <f>IF(AND((IF(OR(SPK!$J$29="SSP Toiture",SPK!$J$29="SSU Toiture"),"Toiture",IF(SPK!$J$29="SSP Placo","TB Placo",IF(SPK!$J$29="SSP Faux plafond","TB Faux plaf",IF(SPK!$J$29="SSP Labo","TB Labo","")))))="Toiture",(SPK!$J$22+0)=25),(SPK!$J$26),0)</f>
        <v>0</v>
      </c>
      <c r="E204" s="76" t="s">
        <v>1034</v>
      </c>
      <c r="F204" s="76" t="str">
        <f t="shared" si="3"/>
        <v/>
      </c>
      <c r="G204" s="76">
        <f>IF(AND(B204&lt;&gt;"",B204&lt;&gt;"Non trouvé - vérifier",D204&lt;&gt;"",D204&lt;&gt;0),IF(COUNTIF($B$2:B204,B204)=1,1,0),0)</f>
        <v>0</v>
      </c>
    </row>
    <row r="205" spans="1:7" x14ac:dyDescent="0.25">
      <c r="A205" s="76" t="s">
        <v>1097</v>
      </c>
      <c r="B205" s="76" t="str">
        <f>IF((IF(OR(SPK!$J$29="SSP Toiture",SPK!$J$29="SSU Toiture"),"Toiture",IF(SPK!$J$29="SSP Placo","TB Placo",IF(SPK!$J$29="SSP Faux plafond","TB Faux plaf",IF(SPK!$J$29="SSP Labo","TB Labo","")))))&lt;&gt;"TB Placo","",IF((SPK!$J$22+0)=25,IFERROR(INDEX(Catalogue!$A$4:$A$454,SUMPRODUCT(((Catalogue!$C$4:$C$454="TES")*(Catalogue!$D$4:$D$454="GALVA")*(Catalogue!$E$4:$E$454=(25+0))*(Catalogue!$G$4:$G$454="VISSER"))*ROW(Catalogue!$C$4:$C$454))-3),"Non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Non trouvé - vérifier")))</f>
        <v/>
      </c>
      <c r="C205" s="76" t="str">
        <f>IF((IF(OR(SPK!$J$29="SSP Toiture",SPK!$J$29="SSU Toiture"),"Toiture",IF(SPK!$J$29="SSP Placo","TB Placo",IF(SPK!$J$29="SSP Faux plafond","TB Faux plaf",IF(SPK!$J$29="SSP Labo","TB Labo","")))))&lt;&gt;"TB Placo","",IF((SPK!$J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")))</f>
        <v/>
      </c>
      <c r="D205" s="76">
        <f>IF((IF(OR(SPK!$J$29="SSP Toiture",SPK!$J$29="SSU Toiture"),"Toiture",IF(SPK!$J$29="SSP Placo","TB Placo",IF(SPK!$J$29="SSP Faux plafond","TB Faux plaf",IF(SPK!$J$29="SSP Labo","TB Labo","")))))&lt;&gt;"TB Placo",0,(SPK!$J$26))</f>
        <v>0</v>
      </c>
      <c r="E205" s="76" t="s">
        <v>1034</v>
      </c>
      <c r="F205" s="76" t="str">
        <f t="shared" si="3"/>
        <v/>
      </c>
      <c r="G205" s="76">
        <f>IF(AND(B205&lt;&gt;"",B205&lt;&gt;"Non trouvé - vérifier",D205&lt;&gt;"",D205&lt;&gt;0),IF(COUNTIF($B$2:B205,B205)=1,1,0),0)</f>
        <v>0</v>
      </c>
    </row>
    <row r="206" spans="1:7" x14ac:dyDescent="0.25">
      <c r="A206" s="76" t="s">
        <v>1097</v>
      </c>
      <c r="B206" s="76" t="str">
        <f>IF((IF(OR(SPK!$J$29="SSP Toiture",SPK!$J$29="SSU Toiture"),"Toiture",IF(SPK!$J$29="SSP Placo","TB Placo",IF(SPK!$J$29="SSP Faux plafond","TB Faux plaf",IF(SPK!$J$29="SSP Labo","TB Labo","")))))&lt;&gt;"TB Placo","",IFERROR(INDEX(Catalogue!$A$4:$A$454,SUMPRODUCT(((Catalogue!$C$4:$C$454="TUBE")*(Catalogue!$G$4:$G$454&lt;&gt;"SL")*(Catalogue!$D$4:$D$454=IF(SPK!$D$6="X","GALVA",IF(SPK!$F$6="X","NOIR","")))*(Catalogue!$E$4:$E$454=(25+0)))*ROW(Catalogue!$C$4:$C$454))-3),"Non trouvé - vérifier"))</f>
        <v/>
      </c>
      <c r="C206" s="76" t="str">
        <f>IF((IF(OR(SPK!$J$29="SSP Toiture",SPK!$J$29="SSU Toiture"),"Toiture",IF(SPK!$J$29="SSP Placo","TB Placo",IF(SPK!$J$29="SSP Faux plafond","TB Faux plaf",IF(SPK!$J$29="SSP Labo","TB Labo","")))))&lt;&gt;"TB Placo","",IFERROR(INDEX(Catalogue!$B$4:$B$454,SUMPRODUCT(((Catalogue!$C$4:$C$454="TUBE")*(Catalogue!$G$4:$G$454&lt;&gt;"SL")*(Catalogue!$D$4:$D$454=IF(SPK!$D$6="X","GALVA",IF(SPK!$F$6="X","NOIR","")))*(Catalogue!$E$4:$E$454=(25+0)))*ROW(Catalogue!$C$4:$C$454))-3),""))</f>
        <v/>
      </c>
      <c r="D206" s="76">
        <f>CEILING((IF((IF(OR(SPK!$J$29="SSP Toiture",SPK!$J$29="SSU Toiture"),"Toiture",IF(SPK!$J$29="SSP Placo","TB Placo",IF(SPK!$J$29="SSP Faux plafond","TB Faux plaf",IF(SPK!$J$29="SSP Labo","TB Labo","")))))&lt;&gt;"TB Placo",0,1.5*(SPK!$J$26))),6)</f>
        <v>0</v>
      </c>
      <c r="E206" s="76" t="s">
        <v>1033</v>
      </c>
      <c r="F206" s="76" t="str">
        <f t="shared" si="3"/>
        <v/>
      </c>
      <c r="G206" s="76">
        <f>IF(AND(B206&lt;&gt;"",B206&lt;&gt;"Non trouvé - vérifier",D206&lt;&gt;"",D206&lt;&gt;0),IF(COUNTIF($B$2:B206,B206)=1,1,0),0)</f>
        <v>0</v>
      </c>
    </row>
    <row r="207" spans="1:7" x14ac:dyDescent="0.25">
      <c r="A207" s="76" t="s">
        <v>1097</v>
      </c>
      <c r="B207" s="76" t="str">
        <f>IF((IF(OR(SPK!$J$29="SSP Toiture",SPK!$J$29="SSU Toiture"),"Toiture",IF(SPK!$J$29="SSP Placo","TB Placo",IF(SPK!$J$29="SSP Faux plafond","TB Faux plaf",IF(SPK!$J$29="SSP Labo","TB Labo","")))))&lt;&gt;"TB Placo","","COUVI90MFGA025")</f>
        <v/>
      </c>
      <c r="C207" s="76" t="str">
        <f>IF((IF(OR(SPK!$J$29="SSP Toiture",SPK!$J$29="SSU Toiture"),"Toiture",IF(SPK!$J$29="SSP Placo","TB Placo",IF(SPK!$J$29="SSP Faux plafond","TB Faux plaf",IF(SPK!$J$29="SSP Labo","TB Labo","")))))&lt;&gt;"TB Placo","","COUDE 90°VISSER MF GALVA DN25")</f>
        <v/>
      </c>
      <c r="D207" s="76">
        <f>IF((IF(OR(SPK!$J$29="SSP Toiture",SPK!$J$29="SSU Toiture"),"Toiture",IF(SPK!$J$29="SSP Placo","TB Placo",IF(SPK!$J$29="SSP Faux plafond","TB Faux plaf",IF(SPK!$J$29="SSP Labo","TB Labo","")))))&lt;&gt;"TB Placo",0,(SPK!$J$26))</f>
        <v>0</v>
      </c>
      <c r="E207" s="76" t="s">
        <v>1034</v>
      </c>
      <c r="F207" s="76" t="str">
        <f t="shared" si="3"/>
        <v/>
      </c>
      <c r="G207" s="76">
        <f>IF(AND(B207&lt;&gt;"",B207&lt;&gt;"Non trouvé - vérifier",D207&lt;&gt;"",D207&lt;&gt;0),IF(COUNTIF($B$2:B207,B207)=1,1,0),0)</f>
        <v>0</v>
      </c>
    </row>
    <row r="208" spans="1:7" x14ac:dyDescent="0.25">
      <c r="A208" s="76" t="s">
        <v>1097</v>
      </c>
      <c r="B208" s="76" t="str">
        <f>IF((IF(OR(SPK!$J$29="SSP Toiture",SPK!$J$29="SSU Toiture"),"Toiture",IF(SPK!$J$29="SSP Placo","TB Placo",IF(SPK!$J$29="SSP Faux plafond","TB Faux plaf",IF(SPK!$J$29="SSP Labo","TB Labo","")))))&lt;&gt;"TB Placo","","COUVI90FFGA025")</f>
        <v/>
      </c>
      <c r="C208" s="76" t="str">
        <f>IF((IF(OR(SPK!$J$29="SSP Toiture",SPK!$J$29="SSU Toiture"),"Toiture",IF(SPK!$J$29="SSP Placo","TB Placo",IF(SPK!$J$29="SSP Faux plafond","TB Faux plaf",IF(SPK!$J$29="SSP Labo","TB Labo","")))))&lt;&gt;"TB Placo","","COUDE 90°VISSER FF GALVA DN25")</f>
        <v/>
      </c>
      <c r="D208" s="76">
        <f>IF((IF(OR(SPK!$J$29="SSP Toiture",SPK!$J$29="SSU Toiture"),"Toiture",IF(SPK!$J$29="SSP Placo","TB Placo",IF(SPK!$J$29="SSP Faux plafond","TB Faux plaf",IF(SPK!$J$29="SSP Labo","TB Labo","")))))&lt;&gt;"TB Placo",0,(SPK!$J$26))</f>
        <v>0</v>
      </c>
      <c r="E208" s="76" t="s">
        <v>1034</v>
      </c>
      <c r="F208" s="76" t="str">
        <f t="shared" si="3"/>
        <v/>
      </c>
      <c r="G208" s="76">
        <f>IF(AND(B208&lt;&gt;"",B208&lt;&gt;"Non trouvé - vérifier",D208&lt;&gt;"",D208&lt;&gt;0),IF(COUNTIF($B$2:B208,B208)=1,1,0),0)</f>
        <v>0</v>
      </c>
    </row>
    <row r="209" spans="1:7" x14ac:dyDescent="0.25">
      <c r="A209" s="76" t="s">
        <v>1097</v>
      </c>
      <c r="B209" s="76" t="str">
        <f>IF((IF(OR(SPK!$J$29="SSP Toiture",SPK!$J$29="SSU Toiture"),"Toiture",IF(SPK!$J$29="SSP Placo","TB Placo",IF(SPK!$J$29="SSP Faux plafond","TB Faux plaf",IF(SPK!$J$29="SSP Labo","TB Labo","")))))&lt;&gt;"TB Placo","",IF((SPK!$J$30+0)=20,"CHANDELLEDN20","CHANDELLEGRANDEFF"))</f>
        <v/>
      </c>
      <c r="C209" s="76" t="str">
        <f>IF((IF(OR(SPK!$J$29="SSP Toiture",SPK!$J$29="SSU Toiture"),"Toiture",IF(SPK!$J$29="SSP Placo","TB Placo",IF(SPK!$J$29="SSP Faux plafond","TB Faux plaf",IF(SPK!$J$29="SSP Labo","TB Labo","")))))&lt;&gt;"TB Placo","",IF((SPK!$J$30+0)=20,"CHANDELLE REGLABLE MF GRANDE DN25X20","CHANDELLE REGLABLE FF GRANDE DN25X15"))</f>
        <v/>
      </c>
      <c r="D209" s="76">
        <f>IF((IF(OR(SPK!$J$29="SSP Toiture",SPK!$J$29="SSU Toiture"),"Toiture",IF(SPK!$J$29="SSP Placo","TB Placo",IF(SPK!$J$29="SSP Faux plafond","TB Faux plaf",IF(SPK!$J$29="SSP Labo","TB Labo","")))))&lt;&gt;"TB Placo",0,(SPK!$J$26))</f>
        <v>0</v>
      </c>
      <c r="E209" s="76" t="s">
        <v>1034</v>
      </c>
      <c r="F209" s="76" t="str">
        <f t="shared" si="3"/>
        <v/>
      </c>
      <c r="G209" s="76">
        <f>IF(AND(B209&lt;&gt;"",B209&lt;&gt;"Non trouvé - vérifier",D209&lt;&gt;"",D209&lt;&gt;0),IF(COUNTIF($B$2:B209,B209)=1,1,0),0)</f>
        <v>0</v>
      </c>
    </row>
    <row r="210" spans="1:7" x14ac:dyDescent="0.25">
      <c r="A210" s="76" t="s">
        <v>1097</v>
      </c>
      <c r="B210" s="76" t="str">
        <f>IF(OR((IF(OR(SPK!$J$29="SSP Toiture",SPK!$J$29="SSU Toiture"),"Toiture",IF(SPK!$J$29="SSP Placo","TB Placo",IF(SPK!$J$29="SSP Faux plafond","TB Faux plaf",IF(SPK!$J$29="SSP Labo","TB Labo","")))))&lt;&gt;"TB Placo",SPK!$J$31="Bronze"),"",IFERROR(INDEX(Catalogue!$A$4:$A$454,SUMPRODUCT(((Catalogue!$C$4:$C$454="ROSACE2P")*(Catalogue!$D$4:$D$454=IF(SPK!$J$31="Bronze","BRONZE",IF(SPK!$J$31="Chrome","CHROME",IF(SPK!$J$31="Blanche","BLANCHE",IF(SPK!$J$31="Noire","NOIRE","")))))*(Catalogue!$E$4:$E$454=(SPK!$J$30+0)))*ROW(Catalogue!$C$4:$C$454))-3),"Non trouvé - vérifier"))</f>
        <v/>
      </c>
      <c r="C210" s="76" t="str">
        <f>IF(OR((IF(OR(SPK!$J$29="SSP Toiture",SPK!$J$29="SSU Toiture"),"Toiture",IF(SPK!$J$29="SSP Placo","TB Placo",IF(SPK!$J$29="SSP Faux plafond","TB Faux plaf",IF(SPK!$J$29="SSP Labo","TB Labo","")))))&lt;&gt;"TB Placo",SPK!$J$31="Bronze"),"",IFERROR(INDEX(Catalogue!$B$4:$B$454,SUMPRODUCT(((Catalogue!$C$4:$C$454="ROSACE2P")*(Catalogue!$D$4:$D$454=IF(SPK!$J$31="Bronze","BRONZE",IF(SPK!$J$31="Chrome","CHROME",IF(SPK!$J$31="Blanche","BLANCHE",IF(SPK!$J$31="Noire","NOIRE","")))))*(Catalogue!$E$4:$E$454=(SPK!$J$30+0)))*ROW(Catalogue!$C$4:$C$454))-3),""))</f>
        <v/>
      </c>
      <c r="D210" s="76">
        <f>IF(OR((IF(OR(SPK!$J$29="SSP Toiture",SPK!$J$29="SSU Toiture"),"Toiture",IF(SPK!$J$29="SSP Placo","TB Placo",IF(SPK!$J$29="SSP Faux plafond","TB Faux plaf",IF(SPK!$J$29="SSP Labo","TB Labo","")))))&lt;&gt;"TB Placo",SPK!$J$31="Bronze"),0,(SPK!$J$26))</f>
        <v>0</v>
      </c>
      <c r="E210" s="76" t="s">
        <v>1034</v>
      </c>
      <c r="F210" s="76" t="str">
        <f t="shared" si="3"/>
        <v/>
      </c>
      <c r="G210" s="76">
        <f>IF(AND(B210&lt;&gt;"",B210&lt;&gt;"Non trouvé - vérifier",D210&lt;&gt;"",D210&lt;&gt;0),IF(COUNTIF($B$2:B210,B210)=1,1,0),0)</f>
        <v>0</v>
      </c>
    </row>
    <row r="211" spans="1:7" x14ac:dyDescent="0.25">
      <c r="A211" s="76" t="s">
        <v>1098</v>
      </c>
      <c r="B211" s="76" t="str">
        <f>IF((IF(OR(SPK!$J$29="SSP Toiture",SPK!$J$29="SSU Toiture"),"Toiture",IF(SPK!$J$29="SSP Placo","TB Placo",IF(SPK!$J$29="SSP Faux plafond","TB Faux plaf",IF(SPK!$J$29="SSP Labo","TB Labo","")))))&lt;&gt;"TB Faux plaf","",IF((SPK!$J$22+0)=25,IFERROR(INDEX(Catalogue!$A$4:$A$454,SUMPRODUCT(((Catalogue!$C$4:$C$454="TES")*(Catalogue!$D$4:$D$454="GALVA")*(Catalogue!$E$4:$E$454=(25+0))*(Catalogue!$G$4:$G$454="VISSER"))*ROW(Catalogue!$C$4:$C$454))-3),"Non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Non trouvé - vérifier")))</f>
        <v/>
      </c>
      <c r="C211" s="76" t="str">
        <f>IF((IF(OR(SPK!$J$29="SSP Toiture",SPK!$J$29="SSU Toiture"),"Toiture",IF(SPK!$J$29="SSP Placo","TB Placo",IF(SPK!$J$29="SSP Faux plafond","TB Faux plaf",IF(SPK!$J$29="SSP Labo","TB Labo","")))))&lt;&gt;"TB Faux plaf","",IF((SPK!$J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")))</f>
        <v/>
      </c>
      <c r="D211" s="76">
        <f>IF((IF(OR(SPK!$J$29="SSP Toiture",SPK!$J$29="SSU Toiture"),"Toiture",IF(SPK!$J$29="SSP Placo","TB Placo",IF(SPK!$J$29="SSP Faux plafond","TB Faux plaf",IF(SPK!$J$29="SSP Labo","TB Labo","")))))&lt;&gt;"TB Faux plaf",0,(SPK!$J$26))</f>
        <v>0</v>
      </c>
      <c r="E211" s="76" t="s">
        <v>1034</v>
      </c>
      <c r="F211" s="76" t="str">
        <f t="shared" si="3"/>
        <v/>
      </c>
      <c r="G211" s="76">
        <f>IF(AND(B211&lt;&gt;"",B211&lt;&gt;"Non trouvé - vérifier",D211&lt;&gt;"",D211&lt;&gt;0),IF(COUNTIF($B$2:B211,B211)=1,1,0),0)</f>
        <v>0</v>
      </c>
    </row>
    <row r="212" spans="1:7" x14ac:dyDescent="0.25">
      <c r="A212" s="76" t="s">
        <v>1098</v>
      </c>
      <c r="B212" s="76" t="str">
        <f>IF((IF(OR(SPK!$J$29="SSP Toiture",SPK!$J$29="SSU Toiture"),"Toiture",IF(SPK!$J$29="SSP Placo","TB Placo",IF(SPK!$J$29="SSP Faux plafond","TB Faux plaf",IF(SPK!$J$29="SSP Labo","TB Labo","")))))&lt;&gt;"TB Faux plaf","","COUVI90MFGA025")</f>
        <v/>
      </c>
      <c r="C212" s="76" t="str">
        <f>IF((IF(OR(SPK!$J$29="SSP Toiture",SPK!$J$29="SSU Toiture"),"Toiture",IF(SPK!$J$29="SSP Placo","TB Placo",IF(SPK!$J$29="SSP Faux plafond","TB Faux plaf",IF(SPK!$J$29="SSP Labo","TB Labo","")))))&lt;&gt;"TB Faux plaf","","COUDE 90°VISSER MF GALVA DN25")</f>
        <v/>
      </c>
      <c r="D212" s="76">
        <f>IF((IF(OR(SPK!$J$29="SSP Toiture",SPK!$J$29="SSU Toiture"),"Toiture",IF(SPK!$J$29="SSP Placo","TB Placo",IF(SPK!$J$29="SSP Faux plafond","TB Faux plaf",IF(SPK!$J$29="SSP Labo","TB Labo","")))))&lt;&gt;"TB Faux plaf",0,(SPK!$J$26))</f>
        <v>0</v>
      </c>
      <c r="E212" s="76" t="s">
        <v>1034</v>
      </c>
      <c r="F212" s="76" t="str">
        <f t="shared" si="3"/>
        <v/>
      </c>
      <c r="G212" s="76">
        <f>IF(AND(B212&lt;&gt;"",B212&lt;&gt;"Non trouvé - vérifier",D212&lt;&gt;"",D212&lt;&gt;0),IF(COUNTIF($B$2:B212,B212)=1,1,0),0)</f>
        <v>0</v>
      </c>
    </row>
    <row r="213" spans="1:7" x14ac:dyDescent="0.25">
      <c r="A213" s="76" t="s">
        <v>1098</v>
      </c>
      <c r="B213" s="76" t="str">
        <f>IF((IF(OR(SPK!$J$29="SSP Toiture",SPK!$J$29="SSU Toiture"),"Toiture",IF(SPK!$J$29="SSP Placo","TB Placo",IF(SPK!$J$29="SSP Faux plafond","TB Faux plaf",IF(SPK!$J$29="SSP Labo","TB Labo","")))))&lt;&gt;"TB Faux plaf","",IF((SPK!$J$30+0)=15,"FLEXI820MF15251521","FLEXIMF12202027APS"))</f>
        <v/>
      </c>
      <c r="C213" s="76" t="str">
        <f>IF((IF(OR(SPK!$J$29="SSP Toiture",SPK!$J$29="SSU Toiture"),"Toiture",IF(SPK!$J$29="SSP Placo","TB Placo",IF(SPK!$J$29="SSP Faux plafond","TB Faux plaf",IF(SPK!$J$29="SSP Labo","TB Labo","")))))&lt;&gt;"TB Faux plaf","",IF((SPK!$J$30+0)=15," FLEXIBLE MF LG 1540 25/15 APSAD"," FLEXIBLE MF LG 1220 25/20 APSAD"))</f>
        <v/>
      </c>
      <c r="D213" s="76">
        <f>IF((IF(OR(SPK!$J$29="SSP Toiture",SPK!$J$29="SSU Toiture"),"Toiture",IF(SPK!$J$29="SSP Placo","TB Placo",IF(SPK!$J$29="SSP Faux plafond","TB Faux plaf",IF(SPK!$J$29="SSP Labo","TB Labo","")))))&lt;&gt;"TB Faux plaf",0,(SPK!$J$26))</f>
        <v>0</v>
      </c>
      <c r="E213" s="76" t="s">
        <v>1034</v>
      </c>
      <c r="F213" s="76" t="str">
        <f t="shared" si="3"/>
        <v/>
      </c>
      <c r="G213" s="76">
        <f>IF(AND(B213&lt;&gt;"",B213&lt;&gt;"Non trouvé - vérifier",D213&lt;&gt;"",D213&lt;&gt;0),IF(COUNTIF($B$2:B213,B213)=1,1,0),0)</f>
        <v>0</v>
      </c>
    </row>
    <row r="214" spans="1:7" x14ac:dyDescent="0.25">
      <c r="A214" s="76" t="s">
        <v>1098</v>
      </c>
      <c r="B214" s="76" t="str">
        <f>IF(OR((IF(OR(SPK!$J$29="SSP Toiture",SPK!$J$29="SSU Toiture"),"Toiture",IF(SPK!$J$29="SSP Placo","TB Placo",IF(SPK!$J$29="SSP Faux plafond","TB Faux plaf",IF(SPK!$J$29="SSP Labo","TB Labo","")))))&lt;&gt;"TB Faux plaf",SPK!$J$31="Bronze"),"",IFERROR(INDEX(Catalogue!$A$4:$A$454,SUMPRODUCT(((Catalogue!$C$4:$C$454="ROSACE2P")*(Catalogue!$D$4:$D$454=IF(SPK!$J$31="Bronze","BRONZE",IF(SPK!$J$31="Chrome","CHROME",IF(SPK!$J$31="Blanche","BLANCHE",IF(SPK!$J$31="Noire","NOIRE","")))))*(Catalogue!$E$4:$E$454=(SPK!$J$30+0)))*ROW(Catalogue!$C$4:$C$454))-3),"Non trouvé - vérifier"))</f>
        <v/>
      </c>
      <c r="C214" s="76" t="str">
        <f>IF(OR((IF(OR(SPK!$J$29="SSP Toiture",SPK!$J$29="SSU Toiture"),"Toiture",IF(SPK!$J$29="SSP Placo","TB Placo",IF(SPK!$J$29="SSP Faux plafond","TB Faux plaf",IF(SPK!$J$29="SSP Labo","TB Labo","")))))&lt;&gt;"TB Faux plaf",SPK!$J$31="Bronze"),"",IFERROR(INDEX(Catalogue!$B$4:$B$454,SUMPRODUCT(((Catalogue!$C$4:$C$454="ROSACE2P")*(Catalogue!$D$4:$D$454=IF(SPK!$J$31="Bronze","BRONZE",IF(SPK!$J$31="Chrome","CHROME",IF(SPK!$J$31="Blanche","BLANCHE",IF(SPK!$J$31="Noire","NOIRE","")))))*(Catalogue!$E$4:$E$454=(SPK!$J$30+0)))*ROW(Catalogue!$C$4:$C$454))-3),""))</f>
        <v/>
      </c>
      <c r="D214" s="76">
        <f>IF(OR((IF(OR(SPK!$J$29="SSP Toiture",SPK!$J$29="SSU Toiture"),"Toiture",IF(SPK!$J$29="SSP Placo","TB Placo",IF(SPK!$J$29="SSP Faux plafond","TB Faux plaf",IF(SPK!$J$29="SSP Labo","TB Labo","")))))&lt;&gt;"TB Faux plaf",SPK!$J$31="Bronze"),0,(SPK!$J$26))</f>
        <v>0</v>
      </c>
      <c r="E214" s="76" t="s">
        <v>1034</v>
      </c>
      <c r="F214" s="76" t="str">
        <f t="shared" si="3"/>
        <v/>
      </c>
      <c r="G214" s="76">
        <f>IF(AND(B214&lt;&gt;"",B214&lt;&gt;"Non trouvé - vérifier",D214&lt;&gt;"",D214&lt;&gt;0),IF(COUNTIF($B$2:B214,B214)=1,1,0),0)</f>
        <v>0</v>
      </c>
    </row>
    <row r="215" spans="1:7" x14ac:dyDescent="0.25">
      <c r="A215" s="76" t="s">
        <v>1099</v>
      </c>
      <c r="B215" s="76" t="str">
        <f>IF((IF(OR(SPK!$J$29="SSP Toiture",SPK!$J$29="SSU Toiture"),"Toiture",IF(SPK!$J$29="SSP Placo","TB Placo",IF(SPK!$J$29="SSP Faux plafond","TB Faux plaf",IF(SPK!$J$29="SSP Labo","TB Labo","")))))&lt;&gt;"TB Labo","",IF((SPK!$J$22+0)=25,IFERROR(INDEX(Catalogue!$A$4:$A$454,SUMPRODUCT(((Catalogue!$C$4:$C$454="TES")*(Catalogue!$D$4:$D$454="GALVA")*(Catalogue!$E$4:$E$454=(25+0))*(Catalogue!$G$4:$G$454="VISSER"))*ROW(Catalogue!$C$4:$C$454))-3),"Non trouvé - vérifier"),IFERROR(INDEX(Catalogue!$A$4:$A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Non trouvé - vérifier")))</f>
        <v/>
      </c>
      <c r="C215" s="76" t="str">
        <f>IF((IF(OR(SPK!$J$29="SSP Toiture",SPK!$J$29="SSU Toiture"),"Toiture",IF(SPK!$J$29="SSP Placo","TB Placo",IF(SPK!$J$29="SSP Faux plafond","TB Faux plaf",IF(SPK!$J$29="SSP Labo","TB Labo","")))))&lt;&gt;"TB Labo","",IF((SPK!$J$22+0)=25,IFERROR(INDEX(Catalogue!$B$4:$B$454,SUMPRODUCT(((Catalogue!$C$4:$C$454="TES")*(Catalogue!$D$4:$D$454="GALVA")*(Catalogue!$E$4:$E$454=(25+0))*(Catalogue!$G$4:$G$454="VISSER"))*ROW(Catalogue!$C$4:$C$454))-3),""),IFERROR(INDEX(Catalogue!$B$4:$B$454,SUMPRODUCT(((Catalogue!$C$4:$C$454="CPC")*(Catalogue!$D$4:$D$454=IF(SPK!$D$4="X","ROUGE",IF(SPK!$F$4="X","GALVA",IF(SPK!$H$4="X","GALVA",""))))*(Catalogue!$E$4:$E$454=(SPK!$J$22+0))*(Catalogue!$F$4:$F$454=(25+0))*(Catalogue!$G$4:$G$454="TARAUDE"))*ROW(Catalogue!$C$4:$C$454))-3),"")))</f>
        <v/>
      </c>
      <c r="D215" s="76">
        <f>IF((IF(OR(SPK!$J$29="SSP Toiture",SPK!$J$29="SSU Toiture"),"Toiture",IF(SPK!$J$29="SSP Placo","TB Placo",IF(SPK!$J$29="SSP Faux plafond","TB Faux plaf",IF(SPK!$J$29="SSP Labo","TB Labo","")))))&lt;&gt;"TB Labo",0,(SPK!$J$26))</f>
        <v>0</v>
      </c>
      <c r="E215" s="76" t="s">
        <v>1034</v>
      </c>
      <c r="F215" s="76" t="str">
        <f t="shared" si="3"/>
        <v/>
      </c>
      <c r="G215" s="76">
        <f>IF(AND(B215&lt;&gt;"",B215&lt;&gt;"Non trouvé - vérifier",D215&lt;&gt;"",D215&lt;&gt;0),IF(COUNTIF($B$2:B215,B215)=1,1,0),0)</f>
        <v>0</v>
      </c>
    </row>
    <row r="216" spans="1:7" x14ac:dyDescent="0.25">
      <c r="A216" s="76" t="s">
        <v>1099</v>
      </c>
      <c r="B216" s="76" t="str">
        <f>IF((IF(OR(SPK!$J$29="SSP Toiture",SPK!$J$29="SSU Toiture"),"Toiture",IF(SPK!$J$29="SSP Placo","TB Placo",IF(SPK!$J$29="SSP Faux plafond","TB Faux plaf",IF(SPK!$J$29="SSP Labo","TB Labo","")))))&lt;&gt;"TB Labo","","COUVI90MFGA025")</f>
        <v/>
      </c>
      <c r="C216" s="76" t="str">
        <f>IF((IF(OR(SPK!$J$29="SSP Toiture",SPK!$J$29="SSU Toiture"),"Toiture",IF(SPK!$J$29="SSP Placo","TB Placo",IF(SPK!$J$29="SSP Faux plafond","TB Faux plaf",IF(SPK!$J$29="SSP Labo","TB Labo","")))))&lt;&gt;"TB Labo","","COUDE 90°VISSER MF GALVA DN25")</f>
        <v/>
      </c>
      <c r="D216" s="76">
        <f>IF((IF(OR(SPK!$J$29="SSP Toiture",SPK!$J$29="SSU Toiture"),"Toiture",IF(SPK!$J$29="SSP Placo","TB Placo",IF(SPK!$J$29="SSP Faux plafond","TB Faux plaf",IF(SPK!$J$29="SSP Labo","TB Labo","")))))&lt;&gt;"TB Labo",0,(SPK!$J$26))</f>
        <v>0</v>
      </c>
      <c r="E216" s="76" t="s">
        <v>1034</v>
      </c>
      <c r="F216" s="76" t="str">
        <f t="shared" si="3"/>
        <v/>
      </c>
      <c r="G216" s="76">
        <f>IF(AND(B216&lt;&gt;"",B216&lt;&gt;"Non trouvé - vérifier",D216&lt;&gt;"",D216&lt;&gt;0),IF(COUNTIF($B$2:B216,B216)=1,1,0),0)</f>
        <v>0</v>
      </c>
    </row>
    <row r="217" spans="1:7" x14ac:dyDescent="0.25">
      <c r="A217" s="76" t="s">
        <v>1099</v>
      </c>
      <c r="B217" s="76" t="str">
        <f>IF((IF(OR(SPK!$J$29="SSP Toiture",SPK!$J$29="SSU Toiture"),"Toiture",IF(SPK!$J$29="SSP Placo","TB Placo",IF(SPK!$J$29="SSP Faux plafond","TB Faux plaf",IF(SPK!$J$29="SSP Labo","TB Labo","")))))&lt;&gt;"TB Labo","",IF((SPK!$J$30+0)=15,"FLEXKITLABO1220","Non disponible en DN20 - vérifier"))</f>
        <v/>
      </c>
      <c r="C217" s="76" t="str">
        <f>IF((IF(OR(SPK!$J$29="SSP Toiture",SPK!$J$29="SSU Toiture"),"Toiture",IF(SPK!$J$29="SSP Placo","TB Placo",IF(SPK!$J$29="SSP Faux plafond","TB Faux plaf",IF(SPK!$J$29="SSP Labo","TB Labo","")))))&lt;&gt;"TB Labo","",IF((SPK!$J$30+0)=15,"KIT FLEXIBLE LABO LG 1220 DN15 APSAD",""))</f>
        <v/>
      </c>
      <c r="D217" s="76">
        <f>IF((IF(OR(SPK!$J$29="SSP Toiture",SPK!$J$29="SSU Toiture"),"Toiture",IF(SPK!$J$29="SSP Placo","TB Placo",IF(SPK!$J$29="SSP Faux plafond","TB Faux plaf",IF(SPK!$J$29="SSP Labo","TB Labo","")))))&lt;&gt;"TB Labo",0,(SPK!$J$26))</f>
        <v>0</v>
      </c>
      <c r="E217" s="76" t="s">
        <v>1034</v>
      </c>
      <c r="F217" s="76" t="str">
        <f t="shared" si="3"/>
        <v/>
      </c>
      <c r="G217" s="76">
        <f>IF(AND(B217&lt;&gt;"",B217&lt;&gt;"Non trouvé - vérifier",D217&lt;&gt;"",D217&lt;&gt;0),IF(COUNTIF($B$2:B217,B217)=1,1,0),0)</f>
        <v>0</v>
      </c>
    </row>
    <row r="218" spans="1:7" x14ac:dyDescent="0.25">
      <c r="A218" s="76" t="s">
        <v>1099</v>
      </c>
      <c r="B218" s="76" t="str">
        <f>IF(OR((IF(OR(SPK!$J$29="SSP Toiture",SPK!$J$29="SSU Toiture"),"Toiture",IF(SPK!$J$29="SSP Placo","TB Placo",IF(SPK!$J$29="SSP Faux plafond","TB Faux plaf",IF(SPK!$J$29="SSP Labo","TB Labo","")))))&lt;&gt;"TB Labo",SPK!$J$31="Bronze"),"",IFERROR(INDEX(Catalogue!$A$4:$A$454,SUMPRODUCT(((Catalogue!$C$4:$C$454="ROSACE1P")*(Catalogue!$D$4:$D$454=IF(SPK!$J$31="Bronze","BRONZE",IF(SPK!$J$31="Chrome","CHROME",IF(SPK!$J$31="Blanche","BLANCHE",IF(SPK!$J$31="Noire","NOIRE","")))))*(Catalogue!$E$4:$E$454=(SPK!$J$30+0)))*ROW(Catalogue!$C$4:$C$454))-3),"Non trouvé - vérifier"))</f>
        <v/>
      </c>
      <c r="C218" s="76" t="str">
        <f>IF(OR((IF(OR(SPK!$J$29="SSP Toiture",SPK!$J$29="SSU Toiture"),"Toiture",IF(SPK!$J$29="SSP Placo","TB Placo",IF(SPK!$J$29="SSP Faux plafond","TB Faux plaf",IF(SPK!$J$29="SSP Labo","TB Labo","")))))&lt;&gt;"TB Labo",SPK!$J$31="Bronze"),"",IFERROR(INDEX(Catalogue!$B$4:$B$454,SUMPRODUCT(((Catalogue!$C$4:$C$454="ROSACE1P")*(Catalogue!$D$4:$D$454=IF(SPK!$J$31="Bronze","BRONZE",IF(SPK!$J$31="Chrome","CHROME",IF(SPK!$J$31="Blanche","BLANCHE",IF(SPK!$J$31="Noire","NOIRE","")))))*(Catalogue!$E$4:$E$454=(SPK!$J$30+0)))*ROW(Catalogue!$C$4:$C$454))-3),""))</f>
        <v/>
      </c>
      <c r="D218" s="76">
        <f>IF(OR((IF(OR(SPK!$J$29="SSP Toiture",SPK!$J$29="SSU Toiture"),"Toiture",IF(SPK!$J$29="SSP Placo","TB Placo",IF(SPK!$J$29="SSP Faux plafond","TB Faux plaf",IF(SPK!$J$29="SSP Labo","TB Labo","")))))&lt;&gt;"TB Labo",SPK!$J$31="Bronze"),0,(SPK!$J$26))</f>
        <v>0</v>
      </c>
      <c r="E218" s="76" t="s">
        <v>1034</v>
      </c>
      <c r="F218" s="76" t="str">
        <f t="shared" si="3"/>
        <v/>
      </c>
      <c r="G218" s="76">
        <f>IF(AND(B218&lt;&gt;"",B218&lt;&gt;"Non trouvé - vérifier",D218&lt;&gt;"",D218&lt;&gt;0),IF(COUNTIF($B$2:B218,B218)=1,1,0),0)</f>
        <v>0</v>
      </c>
    </row>
    <row r="219" spans="1:7" x14ac:dyDescent="0.25">
      <c r="A219" s="76" t="s">
        <v>1100</v>
      </c>
      <c r="B219" s="76" t="str">
        <f>IFERROR(INDEX(Catalogue!$A$4:$A$454,SUMPRODUCT(((Catalogue!$C$4:$C$454="TETE")*(Catalogue!$D$4:$D$454=IF(SPK!$J$31="Bronze","BRONZE",IF(SPK!$J$31="Chrome","CHROME",IF(SPK!$J$31="Blanche","BLANCHE",IF(SPK!$J$31="Noire","NOIRE","")))))*(Catalogue!$E$4:$E$454=(SPK!$J$30+0))*(Catalogue!$G$4:$G$454=(IF(SPK!$J$29="SSU Toiture","SSU",IF(OR(SPK!$J$29="SSP Toiture",SPK!$J$29="SSP Placo",SPK!$J$29="SSP Faux plafond",SPK!$J$29="SSP Labo"),"SSP",""))))*(Catalogue!$H$4:$H$454=(SPK!$J$32+0))*(Catalogue!$I$4:$I$454=(SPK!$J$33+0))*(Catalogue!$J$4:$J$454=IF(SPK!$J$34="Rapide","RAPIDE",IF(SPK!$J$34="Standard","STANDARD",""))))*ROW(Catalogue!$C$4:$C$454))-3),"Non trouvé - vérifier")</f>
        <v>Non trouvé - vérifier</v>
      </c>
      <c r="C219" s="76" t="str">
        <f>IFERROR(INDEX(Catalogue!$B$4:$B$454,SUMPRODUCT(((Catalogue!$C$4:$C$454="TETE")*(Catalogue!$D$4:$D$454=IF(SPK!$J$31="Bronze","BRONZE",IF(SPK!$J$31="Chrome","CHROME",IF(SPK!$J$31="Blanche","BLANCHE",IF(SPK!$J$31="Noire","NOIRE","")))))*(Catalogue!$E$4:$E$454=(SPK!$J$30+0))*(Catalogue!$G$4:$G$454=(IF(SPK!$J$29="SSU Toiture","SSU",IF(OR(SPK!$J$29="SSP Toiture",SPK!$J$29="SSP Placo",SPK!$J$29="SSP Faux plafond",SPK!$J$29="SSP Labo"),"SSP",""))))*(Catalogue!$H$4:$H$454=(SPK!$J$32+0))*(Catalogue!$I$4:$I$454=(SPK!$J$33+0))*(Catalogue!$J$4:$J$454=IF(SPK!$J$34="Rapide","RAPIDE",IF(SPK!$J$34="Standard","STANDARD",""))))*ROW(Catalogue!$C$4:$C$454))-3),"")</f>
        <v/>
      </c>
      <c r="D219" s="78">
        <f>(SPK!$J$26)</f>
        <v>0</v>
      </c>
      <c r="E219" s="76" t="s">
        <v>1034</v>
      </c>
      <c r="F219" s="76" t="str">
        <f t="shared" si="3"/>
        <v/>
      </c>
      <c r="G219" s="76">
        <f>IF(AND(B219&lt;&gt;"",B219&lt;&gt;"Non trouvé - vérifier",D219&lt;&gt;"",D219&lt;&gt;0),IF(COUNTIF($B$2:B219,B219)=1,1,0),0)</f>
        <v>0</v>
      </c>
    </row>
    <row r="220" spans="1:7" x14ac:dyDescent="0.25">
      <c r="A220" s="76" t="s">
        <v>1101</v>
      </c>
      <c r="B220" s="76" t="str">
        <f>IF((IFERROR(INDEX(Supports!$C$4:$C$23,MATCH(SPK!$D$39,Supports!$B$4:$B$23,0)),""))="","",IF(IFERROR(INDEX(Supports!$C$4:$C$23,MATCH(SPK!$D$39,Supports!$B$4:$B$23,0)),"")="ETRIER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vérifier"),IF(IFERROR(INDEX(Supports!$C$4:$C$23,MATCH(SPK!$D$39,Supports!$B$4:$B$23,0)),"")="COLLIER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vérifier"),IF(IFERROR(INDEX(Supports!$C$4:$C$23,MATCH(SPK!$D$39,Supports!$B$4:$B$23,0)),"")="COLLIER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vérifier"),IFERROR(INDEX(Catalogue!$A$4:$A$454,MATCH(IFERROR(INDEX(Supports!$C$4:$C$23,MATCH(SPK!$D$39,Supports!$B$4:$B$23,0)),""),Catalogue!$B$4:$B$454,0)),"")))))</f>
        <v/>
      </c>
      <c r="C220" s="76" t="str">
        <f>IF((IFERROR(INDEX(Supports!$C$4:$C$23,MATCH(SPK!$D$39,Supports!$B$4:$B$23,0)),""))="","",IF(IFERROR(INDEX(Supports!$C$4:$C$23,MATCH(SPK!$D$39,Supports!$B$4:$B$23,0)),"")="ETRIER RALLONGE (DN automatique = DN du tube)",IFERROR(INDEX(Catalogue!$B$4:$B$454,SUMPRODUCT(((Catalogue!$C$4:$C$454="ETRIER")*(Catalogue!$E$4:$E$454=(SPK!$D$22+0)))*ROW(Catalogue!$C$4:$C$454))-3),""),IF(IFERROR(INDEX(Supports!$C$4:$C$23,MATCH(SPK!$D$39,Supports!$B$4:$B$23,0)),"")="COLLIER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tube)",IFERROR(INDEX(Catalogue!$B$4:$B$454,SUMPRODUCT(((Catalogue!$C$4:$C$454="COLLIERINDUS")*(Catalogue!$E$4:$E$454=(SPK!$D$22+0)))*ROW(Catalogue!$C$4:$C$454))-3),""),IF(IFERROR(INDEX(Supports!$C$4:$C$23,MATCH(SPK!$D$39,Supports!$B$4:$B$23,0)),"")="COLLIER POIRE (DN automatique = DN du tube)",IFERROR(INDEX(Catalogue!$B$4:$B$454,SUMPRODUCT(((Catalogue!$C$4:$C$454="COLLIERPOIRE")*(Catalogue!$E$4:$E$454=(SPK!$D$22+0)))*ROW(Catalogue!$C$4:$C$454))-3),""),IFERROR(INDEX(Supports!$C$4:$C$23,MATCH(SPK!$D$39,Supports!$B$4:$B$23,0)),"")))))</f>
        <v/>
      </c>
      <c r="D220" s="76" t="str">
        <f>IF((IFERROR(INDEX(Supports!$C$4:$C$23,MATCH(SPK!$D$39,Supports!$B$4:$B$23,0)),""))="","",(IFERROR(INDEX(Supports!$D$4:$D$23,MATCH(SPK!$D$39,Supports!$B$4:$B$23,0)),0))*SPK!$D$40)</f>
        <v/>
      </c>
      <c r="E220" s="76" t="s">
        <v>1036</v>
      </c>
      <c r="F220" s="76" t="str">
        <f t="shared" si="3"/>
        <v/>
      </c>
      <c r="G220" s="76">
        <f>IF(AND(B220&lt;&gt;"",B220&lt;&gt;"Non trouvé - vérifier",D220&lt;&gt;"",D220&lt;&gt;0),IF(COUNTIF($B$2:B220,B220)=1,1,0),0)</f>
        <v>0</v>
      </c>
    </row>
    <row r="221" spans="1:7" x14ac:dyDescent="0.25">
      <c r="A221" s="76" t="s">
        <v>1101</v>
      </c>
      <c r="B221" s="76" t="str">
        <f>IF((IFERROR(INDEX(Supports!$E$4:$E$23,MATCH(SPK!$D$39,Supports!$B$4:$B$23,0)),""))="","",IF(IFERROR(INDEX(Supports!$E$4:$E$23,MATCH(SPK!$D$39,Supports!$B$4:$B$23,0)),"")="ETRIER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vérifier"),IF(IFERROR(INDEX(Supports!$E$4:$E$23,MATCH(SPK!$D$39,Supports!$B$4:$B$23,0)),"")="COLLIER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vérifier"),IF(IFERROR(INDEX(Supports!$E$4:$E$23,MATCH(SPK!$D$39,Supports!$B$4:$B$23,0)),"")="COLLIER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vérifier"),IFERROR(INDEX(Catalogue!$A$4:$A$454,MATCH(IFERROR(INDEX(Supports!$E$4:$E$23,MATCH(SPK!$D$39,Supports!$B$4:$B$23,0)),""),Catalogue!$B$4:$B$454,0)),"")))))</f>
        <v/>
      </c>
      <c r="C221" s="76" t="str">
        <f>IF((IFERROR(INDEX(Supports!$E$4:$E$23,MATCH(SPK!$D$39,Supports!$B$4:$B$23,0)),""))="","",IF(IFERROR(INDEX(Supports!$E$4:$E$23,MATCH(SPK!$D$39,Supports!$B$4:$B$23,0)),"")="ETRIER RALLONGE (DN automatique = DN du tube)",IFERROR(INDEX(Catalogue!$B$4:$B$454,SUMPRODUCT(((Catalogue!$C$4:$C$454="ETRIER")*(Catalogue!$E$4:$E$454=(SPK!$D$22+0)))*ROW(Catalogue!$C$4:$C$454))-3),""),IF(IFERROR(INDEX(Supports!$E$4:$E$23,MATCH(SPK!$D$39,Supports!$B$4:$B$23,0)),"")="COLLIER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tube)",IFERROR(INDEX(Catalogue!$B$4:$B$454,SUMPRODUCT(((Catalogue!$C$4:$C$454="COLLIERINDUS")*(Catalogue!$E$4:$E$454=(SPK!$D$22+0)))*ROW(Catalogue!$C$4:$C$454))-3),""),IF(IFERROR(INDEX(Supports!$E$4:$E$23,MATCH(SPK!$D$39,Supports!$B$4:$B$23,0)),"")="COLLIER POIRE (DN automatique = DN du tube)",IFERROR(INDEX(Catalogue!$B$4:$B$454,SUMPRODUCT(((Catalogue!$C$4:$C$454="COLLIERPOIRE")*(Catalogue!$E$4:$E$454=(SPK!$D$22+0)))*ROW(Catalogue!$C$4:$C$454))-3),""),IFERROR(INDEX(Supports!$E$4:$E$23,MATCH(SPK!$D$39,Supports!$B$4:$B$23,0)),"")))))</f>
        <v/>
      </c>
      <c r="D221" s="76" t="str">
        <f>IF((IFERROR(INDEX(Supports!$E$4:$E$23,MATCH(SPK!$D$39,Supports!$B$4:$B$23,0)),""))="","",(IFERROR(INDEX(Supports!$F$4:$F$23,MATCH(SPK!$D$39,Supports!$B$4:$B$23,0)),0))*SPK!$D$40)</f>
        <v/>
      </c>
      <c r="E221" s="76" t="s">
        <v>1036</v>
      </c>
      <c r="F221" s="76" t="str">
        <f t="shared" si="3"/>
        <v/>
      </c>
      <c r="G221" s="76">
        <f>IF(AND(B221&lt;&gt;"",B221&lt;&gt;"Non trouvé - vérifier",D221&lt;&gt;"",D221&lt;&gt;0),IF(COUNTIF($B$2:B221,B221)=1,1,0),0)</f>
        <v>0</v>
      </c>
    </row>
    <row r="222" spans="1:7" x14ac:dyDescent="0.25">
      <c r="A222" s="76" t="s">
        <v>1101</v>
      </c>
      <c r="B222" s="76" t="str">
        <f>IF((IFERROR(INDEX(Supports!$G$4:$G$23,MATCH(SPK!$D$39,Supports!$B$4:$B$23,0)),""))="","",IF(IFERROR(INDEX(Supports!$G$4:$G$23,MATCH(SPK!$D$39,Supports!$B$4:$B$23,0)),"")="ETRIER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vérifier"),IF(IFERROR(INDEX(Supports!$G$4:$G$23,MATCH(SPK!$D$39,Supports!$B$4:$B$23,0)),"")="COLLIER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vérifier"),IF(IFERROR(INDEX(Supports!$G$4:$G$23,MATCH(SPK!$D$39,Supports!$B$4:$B$23,0)),"")="COLLIER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vérifier"),IFERROR(INDEX(Catalogue!$A$4:$A$454,MATCH(IFERROR(INDEX(Supports!$G$4:$G$23,MATCH(SPK!$D$39,Supports!$B$4:$B$23,0)),""),Catalogue!$B$4:$B$454,0)),"")))))</f>
        <v/>
      </c>
      <c r="C222" s="76" t="str">
        <f>IF((IFERROR(INDEX(Supports!$G$4:$G$23,MATCH(SPK!$D$39,Supports!$B$4:$B$23,0)),""))="","",IF(IFERROR(INDEX(Supports!$G$4:$G$23,MATCH(SPK!$D$39,Supports!$B$4:$B$23,0)),"")="ETRIER RALLONGE (DN automatique = DN du tube)",IFERROR(INDEX(Catalogue!$B$4:$B$454,SUMPRODUCT(((Catalogue!$C$4:$C$454="ETRIER")*(Catalogue!$E$4:$E$454=(SPK!$D$22+0)))*ROW(Catalogue!$C$4:$C$454))-3),""),IF(IFERROR(INDEX(Supports!$G$4:$G$23,MATCH(SPK!$D$39,Supports!$B$4:$B$23,0)),"")="COLLIER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tube)",IFERROR(INDEX(Catalogue!$B$4:$B$454,SUMPRODUCT(((Catalogue!$C$4:$C$454="COLLIERINDUS")*(Catalogue!$E$4:$E$454=(SPK!$D$22+0)))*ROW(Catalogue!$C$4:$C$454))-3),""),IF(IFERROR(INDEX(Supports!$G$4:$G$23,MATCH(SPK!$D$39,Supports!$B$4:$B$23,0)),"")="COLLIER POIRE (DN automatique = DN du tube)",IFERROR(INDEX(Catalogue!$B$4:$B$454,SUMPRODUCT(((Catalogue!$C$4:$C$454="COLLIERPOIRE")*(Catalogue!$E$4:$E$454=(SPK!$D$22+0)))*ROW(Catalogue!$C$4:$C$454))-3),""),IFERROR(INDEX(Supports!$G$4:$G$23,MATCH(SPK!$D$39,Supports!$B$4:$B$23,0)),"")))))</f>
        <v/>
      </c>
      <c r="D222" s="76" t="str">
        <f>IF((IFERROR(INDEX(Supports!$G$4:$G$23,MATCH(SPK!$D$39,Supports!$B$4:$B$23,0)),""))="","",(IFERROR(INDEX(Supports!$H$4:$H$23,MATCH(SPK!$D$39,Supports!$B$4:$B$23,0)),0))*SPK!$D$40)</f>
        <v/>
      </c>
      <c r="E222" s="76" t="s">
        <v>1036</v>
      </c>
      <c r="F222" s="76" t="str">
        <f t="shared" si="3"/>
        <v/>
      </c>
      <c r="G222" s="76">
        <f>IF(AND(B222&lt;&gt;"",B222&lt;&gt;"Non trouvé - vérifier",D222&lt;&gt;"",D222&lt;&gt;0),IF(COUNTIF($B$2:B222,B222)=1,1,0),0)</f>
        <v>0</v>
      </c>
    </row>
    <row r="223" spans="1:7" x14ac:dyDescent="0.25">
      <c r="A223" s="76" t="s">
        <v>1101</v>
      </c>
      <c r="B223" s="76" t="str">
        <f>IF((IFERROR(INDEX(Supports!$I$4:$I$23,MATCH(SPK!$D$39,Supports!$B$4:$B$23,0)),""))="","",IF(IFERROR(INDEX(Supports!$I$4:$I$23,MATCH(SPK!$D$39,Supports!$B$4:$B$23,0)),"")="ETRIER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vérifier"),IF(IFERROR(INDEX(Supports!$I$4:$I$23,MATCH(SPK!$D$39,Supports!$B$4:$B$23,0)),"")="COLLIER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vérifier"),IF(IFERROR(INDEX(Supports!$I$4:$I$23,MATCH(SPK!$D$39,Supports!$B$4:$B$23,0)),"")="COLLIER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vérifier"),IFERROR(INDEX(Catalogue!$A$4:$A$454,MATCH(IFERROR(INDEX(Supports!$I$4:$I$23,MATCH(SPK!$D$39,Supports!$B$4:$B$23,0)),""),Catalogue!$B$4:$B$454,0)),"")))))</f>
        <v/>
      </c>
      <c r="C223" s="76" t="str">
        <f>IF((IFERROR(INDEX(Supports!$I$4:$I$23,MATCH(SPK!$D$39,Supports!$B$4:$B$23,0)),""))="","",IF(IFERROR(INDEX(Supports!$I$4:$I$23,MATCH(SPK!$D$39,Supports!$B$4:$B$23,0)),"")="ETRIER RALLONGE (DN automatique = DN du tube)",IFERROR(INDEX(Catalogue!$B$4:$B$454,SUMPRODUCT(((Catalogue!$C$4:$C$454="ETRIER")*(Catalogue!$E$4:$E$454=(SPK!$D$22+0)))*ROW(Catalogue!$C$4:$C$454))-3),""),IF(IFERROR(INDEX(Supports!$I$4:$I$23,MATCH(SPK!$D$39,Supports!$B$4:$B$23,0)),"")="COLLIER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tube)",IFERROR(INDEX(Catalogue!$B$4:$B$454,SUMPRODUCT(((Catalogue!$C$4:$C$454="COLLIERINDUS")*(Catalogue!$E$4:$E$454=(SPK!$D$22+0)))*ROW(Catalogue!$C$4:$C$454))-3),""),IF(IFERROR(INDEX(Supports!$I$4:$I$23,MATCH(SPK!$D$39,Supports!$B$4:$B$23,0)),"")="COLLIER POIRE (DN automatique = DN du tube)",IFERROR(INDEX(Catalogue!$B$4:$B$454,SUMPRODUCT(((Catalogue!$C$4:$C$454="COLLIERPOIRE")*(Catalogue!$E$4:$E$454=(SPK!$D$22+0)))*ROW(Catalogue!$C$4:$C$454))-3),""),IFERROR(INDEX(Supports!$I$4:$I$23,MATCH(SPK!$D$39,Supports!$B$4:$B$23,0)),"")))))</f>
        <v/>
      </c>
      <c r="D223" s="76" t="str">
        <f>IF((IFERROR(INDEX(Supports!$I$4:$I$23,MATCH(SPK!$D$39,Supports!$B$4:$B$23,0)),""))="","",(IFERROR(INDEX(Supports!$J$4:$J$23,MATCH(SPK!$D$39,Supports!$B$4:$B$23,0)),0))*SPK!$D$40)</f>
        <v/>
      </c>
      <c r="E223" s="76" t="s">
        <v>1036</v>
      </c>
      <c r="F223" s="76" t="str">
        <f t="shared" si="3"/>
        <v/>
      </c>
      <c r="G223" s="76">
        <f>IF(AND(B223&lt;&gt;"",B223&lt;&gt;"Non trouvé - vérifier",D223&lt;&gt;"",D223&lt;&gt;0),IF(COUNTIF($B$2:B223,B223)=1,1,0),0)</f>
        <v>0</v>
      </c>
    </row>
    <row r="224" spans="1:7" x14ac:dyDescent="0.25">
      <c r="A224" s="76" t="s">
        <v>1101</v>
      </c>
      <c r="B224" s="76" t="str">
        <f>IF((IFERROR(INDEX(Supports!$K$4:$K$23,MATCH(SPK!$D$39,Supports!$B$4:$B$23,0)),""))="","",IF(IFERROR(INDEX(Supports!$K$4:$K$23,MATCH(SPK!$D$39,Supports!$B$4:$B$23,0)),"")="ETRIER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vérifier"),IF(IFERROR(INDEX(Supports!$K$4:$K$23,MATCH(SPK!$D$39,Supports!$B$4:$B$23,0)),"")="COLLIER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vérifier"),IF(IFERROR(INDEX(Supports!$K$4:$K$23,MATCH(SPK!$D$39,Supports!$B$4:$B$23,0)),"")="COLLIER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vérifier"),IFERROR(INDEX(Catalogue!$A$4:$A$454,MATCH(IFERROR(INDEX(Supports!$K$4:$K$23,MATCH(SPK!$D$39,Supports!$B$4:$B$23,0)),""),Catalogue!$B$4:$B$454,0)),"")))))</f>
        <v/>
      </c>
      <c r="C224" s="76" t="str">
        <f>IF((IFERROR(INDEX(Supports!$K$4:$K$23,MATCH(SPK!$D$39,Supports!$B$4:$B$23,0)),""))="","",IF(IFERROR(INDEX(Supports!$K$4:$K$23,MATCH(SPK!$D$39,Supports!$B$4:$B$23,0)),"")="ETRIER RALLONGE (DN automatique = DN du tube)",IFERROR(INDEX(Catalogue!$B$4:$B$454,SUMPRODUCT(((Catalogue!$C$4:$C$454="ETRIER")*(Catalogue!$E$4:$E$454=(SPK!$D$22+0)))*ROW(Catalogue!$C$4:$C$454))-3),""),IF(IFERROR(INDEX(Supports!$K$4:$K$23,MATCH(SPK!$D$39,Supports!$B$4:$B$23,0)),"")="COLLIER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tube)",IFERROR(INDEX(Catalogue!$B$4:$B$454,SUMPRODUCT(((Catalogue!$C$4:$C$454="COLLIERINDUS")*(Catalogue!$E$4:$E$454=(SPK!$D$22+0)))*ROW(Catalogue!$C$4:$C$454))-3),""),IF(IFERROR(INDEX(Supports!$K$4:$K$23,MATCH(SPK!$D$39,Supports!$B$4:$B$23,0)),"")="COLLIER POIRE (DN automatique = DN du tube)",IFERROR(INDEX(Catalogue!$B$4:$B$454,SUMPRODUCT(((Catalogue!$C$4:$C$454="COLLIERPOIRE")*(Catalogue!$E$4:$E$454=(SPK!$D$22+0)))*ROW(Catalogue!$C$4:$C$454))-3),""),IFERROR(INDEX(Supports!$K$4:$K$23,MATCH(SPK!$D$39,Supports!$B$4:$B$23,0)),"")))))</f>
        <v/>
      </c>
      <c r="D224" s="76" t="str">
        <f>IF((IFERROR(INDEX(Supports!$K$4:$K$23,MATCH(SPK!$D$39,Supports!$B$4:$B$23,0)),""))="","",(IFERROR(INDEX(Supports!$L$4:$L$23,MATCH(SPK!$D$39,Supports!$B$4:$B$23,0)),0))*SPK!$D$40)</f>
        <v/>
      </c>
      <c r="E224" s="76" t="s">
        <v>1036</v>
      </c>
      <c r="F224" s="76" t="str">
        <f t="shared" si="3"/>
        <v/>
      </c>
      <c r="G224" s="76">
        <f>IF(AND(B224&lt;&gt;"",B224&lt;&gt;"Non trouvé - vérifier",D224&lt;&gt;"",D224&lt;&gt;0),IF(COUNTIF($B$2:B224,B224)=1,1,0),0)</f>
        <v>0</v>
      </c>
    </row>
    <row r="225" spans="1:7" x14ac:dyDescent="0.25">
      <c r="A225" s="76" t="s">
        <v>1101</v>
      </c>
      <c r="B225" s="76" t="str">
        <f>IF((IFERROR(INDEX(Supports!$M$4:$M$23,MATCH(SPK!$D$39,Supports!$B$4:$B$23,0)),""))="","",IF(IFERROR(INDEX(Supports!$M$4:$M$23,MATCH(SPK!$D$39,Supports!$B$4:$B$23,0)),"")="ETRIER RALLONGE (DN automatique = DN du tube)",IFERROR(INDEX(Catalogue!$A$4:$A$454,SUMPRODUCT(((Catalogue!$C$4:$C$454="ETRIER")*(Catalogue!$E$4:$E$454=(SPK!$D$22+0)))*ROW(Catalogue!$C$4:$C$454))-3),"Non trouvé - vérifier"),IF(IFERROR(INDEX(Supports!$M$4:$M$23,MATCH(SPK!$D$39,Supports!$B$4:$B$23,0)),"")="COLLIER INDUSTRIEL (DN automatique = DN du tube)",IFERROR(INDEX(Catalogue!$A$4:$A$454,SUMPRODUCT(((Catalogue!$C$4:$C$454="COLLIERINDUS")*(Catalogue!$E$4:$E$454=(SPK!$D$22+0)))*ROW(Catalogue!$C$4:$C$454))-3),"Non trouvé - vérifier"),IF(IFERROR(INDEX(Supports!$M$4:$M$23,MATCH(SPK!$D$39,Supports!$B$4:$B$23,0)),"")="COLLIER POIRE (DN automatique = DN du tube)",IFERROR(INDEX(Catalogue!$A$4:$A$454,SUMPRODUCT(((Catalogue!$C$4:$C$454="COLLIERPOIRE")*(Catalogue!$E$4:$E$454=(SPK!$D$22+0)))*ROW(Catalogue!$C$4:$C$454))-3),"Non trouvé - vérifier"),IFERROR(INDEX(Catalogue!$A$4:$A$454,MATCH(IFERROR(INDEX(Supports!$M$4:$M$23,MATCH(SPK!$D$39,Supports!$B$4:$B$23,0)),""),Catalogue!$B$4:$B$454,0)),"")))))</f>
        <v/>
      </c>
      <c r="C225" s="76" t="str">
        <f>IF((IFERROR(INDEX(Supports!$M$4:$M$23,MATCH(SPK!$D$39,Supports!$B$4:$B$23,0)),""))="","",IF(IFERROR(INDEX(Supports!$M$4:$M$23,MATCH(SPK!$D$39,Supports!$B$4:$B$23,0)),"")="ETRIER RALLONGE (DN automatique = DN du tube)",IFERROR(INDEX(Catalogue!$B$4:$B$454,SUMPRODUCT(((Catalogue!$C$4:$C$454="ETRIER")*(Catalogue!$E$4:$E$454=(SPK!$D$22+0)))*ROW(Catalogue!$C$4:$C$454))-3),""),IF(IFERROR(INDEX(Supports!$M$4:$M$23,MATCH(SPK!$D$39,Supports!$B$4:$B$23,0)),"")="COLLIER INDUSTRIEL (DN automatique = DN du tube)",IFERROR(INDEX(Catalogue!$B$4:$B$454,SUMPRODUCT(((Catalogue!$C$4:$C$454="COLLIERINDUS")*(Catalogue!$E$4:$E$454=(SPK!$D$22+0)))*ROW(Catalogue!$C$4:$C$454))-3),""),IF(IFERROR(INDEX(Supports!$M$4:$M$23,MATCH(SPK!$D$39,Supports!$B$4:$B$23,0)),"")="COLLIER POIRE (DN automatique = DN du tube)",IFERROR(INDEX(Catalogue!$B$4:$B$454,SUMPRODUCT(((Catalogue!$C$4:$C$454="COLLIERPOIRE")*(Catalogue!$E$4:$E$454=(SPK!$D$22+0)))*ROW(Catalogue!$C$4:$C$454))-3),""),IFERROR(INDEX(Supports!$M$4:$M$23,MATCH(SPK!$D$39,Supports!$B$4:$B$23,0)),"")))))</f>
        <v/>
      </c>
      <c r="D225" s="76" t="str">
        <f>IF((IFERROR(INDEX(Supports!$M$4:$M$23,MATCH(SPK!$D$39,Supports!$B$4:$B$23,0)),""))="","",(IFERROR(INDEX(Supports!$N$4:$N$23,MATCH(SPK!$D$39,Supports!$B$4:$B$23,0)),0))*SPK!$D$40)</f>
        <v/>
      </c>
      <c r="E225" s="76" t="s">
        <v>1036</v>
      </c>
      <c r="F225" s="76" t="str">
        <f t="shared" si="3"/>
        <v/>
      </c>
      <c r="G225" s="76">
        <f>IF(AND(B225&lt;&gt;"",B225&lt;&gt;"Non trouvé - vérifier",D225&lt;&gt;"",D225&lt;&gt;0),IF(COUNTIF($B$2:B225,B225)=1,1,0),0)</f>
        <v>0</v>
      </c>
    </row>
    <row r="226" spans="1:7" x14ac:dyDescent="0.25">
      <c r="A226" s="76" t="s">
        <v>1102</v>
      </c>
      <c r="B226" s="76" t="str">
        <f>IF((IFERROR(INDEX(Supports!$C$4:$C$23,MATCH(SPK!$F$39,Supports!$B$4:$B$23,0)),""))="","",IF(IFERROR(INDEX(Supports!$C$4:$C$23,MATCH(SPK!$F$39,Supports!$B$4:$B$23,0)),"")="ETRIER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vérifier"),IF(IFERROR(INDEX(Supports!$C$4:$C$23,MATCH(SPK!$F$39,Supports!$B$4:$B$23,0)),"")="COLLIER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vérifier"),IF(IFERROR(INDEX(Supports!$C$4:$C$23,MATCH(SPK!$F$39,Supports!$B$4:$B$23,0)),"")="COLLIER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vérifier"),IFERROR(INDEX(Catalogue!$A$4:$A$454,MATCH(IFERROR(INDEX(Supports!$C$4:$C$23,MATCH(SPK!$F$39,Supports!$B$4:$B$23,0)),""),Catalogue!$B$4:$B$454,0)),"")))))</f>
        <v/>
      </c>
      <c r="C226" s="76" t="str">
        <f>IF((IFERROR(INDEX(Supports!$C$4:$C$23,MATCH(SPK!$F$39,Supports!$B$4:$B$23,0)),""))="","",IF(IFERROR(INDEX(Supports!$C$4:$C$23,MATCH(SPK!$F$39,Supports!$B$4:$B$23,0)),"")="ETRIER RALLONGE (DN automatique = DN du tube)",IFERROR(INDEX(Catalogue!$B$4:$B$454,SUMPRODUCT(((Catalogue!$C$4:$C$454="ETRIER")*(Catalogue!$E$4:$E$454=(SPK!$F$22+0)))*ROW(Catalogue!$C$4:$C$454))-3),""),IF(IFERROR(INDEX(Supports!$C$4:$C$23,MATCH(SPK!$F$39,Supports!$B$4:$B$23,0)),"")="COLLIER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tube)",IFERROR(INDEX(Catalogue!$B$4:$B$454,SUMPRODUCT(((Catalogue!$C$4:$C$454="COLLIERINDUS")*(Catalogue!$E$4:$E$454=(SPK!$F$22+0)))*ROW(Catalogue!$C$4:$C$454))-3),""),IF(IFERROR(INDEX(Supports!$C$4:$C$23,MATCH(SPK!$F$39,Supports!$B$4:$B$23,0)),"")="COLLIER POIRE (DN automatique = DN du tube)",IFERROR(INDEX(Catalogue!$B$4:$B$454,SUMPRODUCT(((Catalogue!$C$4:$C$454="COLLIERPOIRE")*(Catalogue!$E$4:$E$454=(SPK!$F$22+0)))*ROW(Catalogue!$C$4:$C$454))-3),""),IFERROR(INDEX(Supports!$C$4:$C$23,MATCH(SPK!$F$39,Supports!$B$4:$B$23,0)),"")))))</f>
        <v/>
      </c>
      <c r="D226" s="76" t="str">
        <f>IF((IFERROR(INDEX(Supports!$C$4:$C$23,MATCH(SPK!$F$39,Supports!$B$4:$B$23,0)),""))="","",(IFERROR(INDEX(Supports!$D$4:$D$23,MATCH(SPK!$F$39,Supports!$B$4:$B$23,0)),0))*SPK!$F$40)</f>
        <v/>
      </c>
      <c r="E226" s="76" t="s">
        <v>1036</v>
      </c>
      <c r="F226" s="76" t="str">
        <f t="shared" si="3"/>
        <v/>
      </c>
      <c r="G226" s="76">
        <f>IF(AND(B226&lt;&gt;"",B226&lt;&gt;"Non trouvé - vérifier",D226&lt;&gt;"",D226&lt;&gt;0),IF(COUNTIF($B$2:B226,B226)=1,1,0),0)</f>
        <v>0</v>
      </c>
    </row>
    <row r="227" spans="1:7" x14ac:dyDescent="0.25">
      <c r="A227" s="76" t="s">
        <v>1102</v>
      </c>
      <c r="B227" s="76" t="str">
        <f>IF((IFERROR(INDEX(Supports!$E$4:$E$23,MATCH(SPK!$F$39,Supports!$B$4:$B$23,0)),""))="","",IF(IFERROR(INDEX(Supports!$E$4:$E$23,MATCH(SPK!$F$39,Supports!$B$4:$B$23,0)),"")="ETRIER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vérifier"),IF(IFERROR(INDEX(Supports!$E$4:$E$23,MATCH(SPK!$F$39,Supports!$B$4:$B$23,0)),"")="COLLIER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vérifier"),IF(IFERROR(INDEX(Supports!$E$4:$E$23,MATCH(SPK!$F$39,Supports!$B$4:$B$23,0)),"")="COLLIER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vérifier"),IFERROR(INDEX(Catalogue!$A$4:$A$454,MATCH(IFERROR(INDEX(Supports!$E$4:$E$23,MATCH(SPK!$F$39,Supports!$B$4:$B$23,0)),""),Catalogue!$B$4:$B$454,0)),"")))))</f>
        <v/>
      </c>
      <c r="C227" s="76" t="str">
        <f>IF((IFERROR(INDEX(Supports!$E$4:$E$23,MATCH(SPK!$F$39,Supports!$B$4:$B$23,0)),""))="","",IF(IFERROR(INDEX(Supports!$E$4:$E$23,MATCH(SPK!$F$39,Supports!$B$4:$B$23,0)),"")="ETRIER RALLONGE (DN automatique = DN du tube)",IFERROR(INDEX(Catalogue!$B$4:$B$454,SUMPRODUCT(((Catalogue!$C$4:$C$454="ETRIER")*(Catalogue!$E$4:$E$454=(SPK!$F$22+0)))*ROW(Catalogue!$C$4:$C$454))-3),""),IF(IFERROR(INDEX(Supports!$E$4:$E$23,MATCH(SPK!$F$39,Supports!$B$4:$B$23,0)),"")="COLLIER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tube)",IFERROR(INDEX(Catalogue!$B$4:$B$454,SUMPRODUCT(((Catalogue!$C$4:$C$454="COLLIERINDUS")*(Catalogue!$E$4:$E$454=(SPK!$F$22+0)))*ROW(Catalogue!$C$4:$C$454))-3),""),IF(IFERROR(INDEX(Supports!$E$4:$E$23,MATCH(SPK!$F$39,Supports!$B$4:$B$23,0)),"")="COLLIER POIRE (DN automatique = DN du tube)",IFERROR(INDEX(Catalogue!$B$4:$B$454,SUMPRODUCT(((Catalogue!$C$4:$C$454="COLLIERPOIRE")*(Catalogue!$E$4:$E$454=(SPK!$F$22+0)))*ROW(Catalogue!$C$4:$C$454))-3),""),IFERROR(INDEX(Supports!$E$4:$E$23,MATCH(SPK!$F$39,Supports!$B$4:$B$23,0)),"")))))</f>
        <v/>
      </c>
      <c r="D227" s="76" t="str">
        <f>IF((IFERROR(INDEX(Supports!$E$4:$E$23,MATCH(SPK!$F$39,Supports!$B$4:$B$23,0)),""))="","",(IFERROR(INDEX(Supports!$F$4:$F$23,MATCH(SPK!$F$39,Supports!$B$4:$B$23,0)),0))*SPK!$F$40)</f>
        <v/>
      </c>
      <c r="E227" s="76" t="s">
        <v>1036</v>
      </c>
      <c r="F227" s="76" t="str">
        <f t="shared" si="3"/>
        <v/>
      </c>
      <c r="G227" s="76">
        <f>IF(AND(B227&lt;&gt;"",B227&lt;&gt;"Non trouvé - vérifier",D227&lt;&gt;"",D227&lt;&gt;0),IF(COUNTIF($B$2:B227,B227)=1,1,0),0)</f>
        <v>0</v>
      </c>
    </row>
    <row r="228" spans="1:7" x14ac:dyDescent="0.25">
      <c r="A228" s="76" t="s">
        <v>1102</v>
      </c>
      <c r="B228" s="76" t="str">
        <f>IF((IFERROR(INDEX(Supports!$G$4:$G$23,MATCH(SPK!$F$39,Supports!$B$4:$B$23,0)),""))="","",IF(IFERROR(INDEX(Supports!$G$4:$G$23,MATCH(SPK!$F$39,Supports!$B$4:$B$23,0)),"")="ETRIER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vérifier"),IF(IFERROR(INDEX(Supports!$G$4:$G$23,MATCH(SPK!$F$39,Supports!$B$4:$B$23,0)),"")="COLLIER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vérifier"),IF(IFERROR(INDEX(Supports!$G$4:$G$23,MATCH(SPK!$F$39,Supports!$B$4:$B$23,0)),"")="COLLIER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vérifier"),IFERROR(INDEX(Catalogue!$A$4:$A$454,MATCH(IFERROR(INDEX(Supports!$G$4:$G$23,MATCH(SPK!$F$39,Supports!$B$4:$B$23,0)),""),Catalogue!$B$4:$B$454,0)),"")))))</f>
        <v/>
      </c>
      <c r="C228" s="76" t="str">
        <f>IF((IFERROR(INDEX(Supports!$G$4:$G$23,MATCH(SPK!$F$39,Supports!$B$4:$B$23,0)),""))="","",IF(IFERROR(INDEX(Supports!$G$4:$G$23,MATCH(SPK!$F$39,Supports!$B$4:$B$23,0)),"")="ETRIER RALLONGE (DN automatique = DN du tube)",IFERROR(INDEX(Catalogue!$B$4:$B$454,SUMPRODUCT(((Catalogue!$C$4:$C$454="ETRIER")*(Catalogue!$E$4:$E$454=(SPK!$F$22+0)))*ROW(Catalogue!$C$4:$C$454))-3),""),IF(IFERROR(INDEX(Supports!$G$4:$G$23,MATCH(SPK!$F$39,Supports!$B$4:$B$23,0)),"")="COLLIER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tube)",IFERROR(INDEX(Catalogue!$B$4:$B$454,SUMPRODUCT(((Catalogue!$C$4:$C$454="COLLIERINDUS")*(Catalogue!$E$4:$E$454=(SPK!$F$22+0)))*ROW(Catalogue!$C$4:$C$454))-3),""),IF(IFERROR(INDEX(Supports!$G$4:$G$23,MATCH(SPK!$F$39,Supports!$B$4:$B$23,0)),"")="COLLIER POIRE (DN automatique = DN du tube)",IFERROR(INDEX(Catalogue!$B$4:$B$454,SUMPRODUCT(((Catalogue!$C$4:$C$454="COLLIERPOIRE")*(Catalogue!$E$4:$E$454=(SPK!$F$22+0)))*ROW(Catalogue!$C$4:$C$454))-3),""),IFERROR(INDEX(Supports!$G$4:$G$23,MATCH(SPK!$F$39,Supports!$B$4:$B$23,0)),"")))))</f>
        <v/>
      </c>
      <c r="D228" s="76" t="str">
        <f>IF((IFERROR(INDEX(Supports!$G$4:$G$23,MATCH(SPK!$F$39,Supports!$B$4:$B$23,0)),""))="","",(IFERROR(INDEX(Supports!$H$4:$H$23,MATCH(SPK!$F$39,Supports!$B$4:$B$23,0)),0))*SPK!$F$40)</f>
        <v/>
      </c>
      <c r="E228" s="76" t="s">
        <v>1036</v>
      </c>
      <c r="F228" s="76" t="str">
        <f t="shared" si="3"/>
        <v/>
      </c>
      <c r="G228" s="76">
        <f>IF(AND(B228&lt;&gt;"",B228&lt;&gt;"Non trouvé - vérifier",D228&lt;&gt;"",D228&lt;&gt;0),IF(COUNTIF($B$2:B228,B228)=1,1,0),0)</f>
        <v>0</v>
      </c>
    </row>
    <row r="229" spans="1:7" x14ac:dyDescent="0.25">
      <c r="A229" s="76" t="s">
        <v>1102</v>
      </c>
      <c r="B229" s="76" t="str">
        <f>IF((IFERROR(INDEX(Supports!$I$4:$I$23,MATCH(SPK!$F$39,Supports!$B$4:$B$23,0)),""))="","",IF(IFERROR(INDEX(Supports!$I$4:$I$23,MATCH(SPK!$F$39,Supports!$B$4:$B$23,0)),"")="ETRIER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vérifier"),IF(IFERROR(INDEX(Supports!$I$4:$I$23,MATCH(SPK!$F$39,Supports!$B$4:$B$23,0)),"")="COLLIER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vérifier"),IF(IFERROR(INDEX(Supports!$I$4:$I$23,MATCH(SPK!$F$39,Supports!$B$4:$B$23,0)),"")="COLLIER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vérifier"),IFERROR(INDEX(Catalogue!$A$4:$A$454,MATCH(IFERROR(INDEX(Supports!$I$4:$I$23,MATCH(SPK!$F$39,Supports!$B$4:$B$23,0)),""),Catalogue!$B$4:$B$454,0)),"")))))</f>
        <v/>
      </c>
      <c r="C229" s="76" t="str">
        <f>IF((IFERROR(INDEX(Supports!$I$4:$I$23,MATCH(SPK!$F$39,Supports!$B$4:$B$23,0)),""))="","",IF(IFERROR(INDEX(Supports!$I$4:$I$23,MATCH(SPK!$F$39,Supports!$B$4:$B$23,0)),"")="ETRIER RALLONGE (DN automatique = DN du tube)",IFERROR(INDEX(Catalogue!$B$4:$B$454,SUMPRODUCT(((Catalogue!$C$4:$C$454="ETRIER")*(Catalogue!$E$4:$E$454=(SPK!$F$22+0)))*ROW(Catalogue!$C$4:$C$454))-3),""),IF(IFERROR(INDEX(Supports!$I$4:$I$23,MATCH(SPK!$F$39,Supports!$B$4:$B$23,0)),"")="COLLIER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tube)",IFERROR(INDEX(Catalogue!$B$4:$B$454,SUMPRODUCT(((Catalogue!$C$4:$C$454="COLLIERINDUS")*(Catalogue!$E$4:$E$454=(SPK!$F$22+0)))*ROW(Catalogue!$C$4:$C$454))-3),""),IF(IFERROR(INDEX(Supports!$I$4:$I$23,MATCH(SPK!$F$39,Supports!$B$4:$B$23,0)),"")="COLLIER POIRE (DN automatique = DN du tube)",IFERROR(INDEX(Catalogue!$B$4:$B$454,SUMPRODUCT(((Catalogue!$C$4:$C$454="COLLIERPOIRE")*(Catalogue!$E$4:$E$454=(SPK!$F$22+0)))*ROW(Catalogue!$C$4:$C$454))-3),""),IFERROR(INDEX(Supports!$I$4:$I$23,MATCH(SPK!$F$39,Supports!$B$4:$B$23,0)),"")))))</f>
        <v/>
      </c>
      <c r="D229" s="76" t="str">
        <f>IF((IFERROR(INDEX(Supports!$I$4:$I$23,MATCH(SPK!$F$39,Supports!$B$4:$B$23,0)),""))="","",(IFERROR(INDEX(Supports!$J$4:$J$23,MATCH(SPK!$F$39,Supports!$B$4:$B$23,0)),0))*SPK!$F$40)</f>
        <v/>
      </c>
      <c r="E229" s="76" t="s">
        <v>1036</v>
      </c>
      <c r="F229" s="76" t="str">
        <f t="shared" si="3"/>
        <v/>
      </c>
      <c r="G229" s="76">
        <f>IF(AND(B229&lt;&gt;"",B229&lt;&gt;"Non trouvé - vérifier",D229&lt;&gt;"",D229&lt;&gt;0),IF(COUNTIF($B$2:B229,B229)=1,1,0),0)</f>
        <v>0</v>
      </c>
    </row>
    <row r="230" spans="1:7" x14ac:dyDescent="0.25">
      <c r="A230" s="76" t="s">
        <v>1102</v>
      </c>
      <c r="B230" s="76" t="str">
        <f>IF((IFERROR(INDEX(Supports!$K$4:$K$23,MATCH(SPK!$F$39,Supports!$B$4:$B$23,0)),""))="","",IF(IFERROR(INDEX(Supports!$K$4:$K$23,MATCH(SPK!$F$39,Supports!$B$4:$B$23,0)),"")="ETRIER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vérifier"),IF(IFERROR(INDEX(Supports!$K$4:$K$23,MATCH(SPK!$F$39,Supports!$B$4:$B$23,0)),"")="COLLIER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vérifier"),IF(IFERROR(INDEX(Supports!$K$4:$K$23,MATCH(SPK!$F$39,Supports!$B$4:$B$23,0)),"")="COLLIER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vérifier"),IFERROR(INDEX(Catalogue!$A$4:$A$454,MATCH(IFERROR(INDEX(Supports!$K$4:$K$23,MATCH(SPK!$F$39,Supports!$B$4:$B$23,0)),""),Catalogue!$B$4:$B$454,0)),"")))))</f>
        <v/>
      </c>
      <c r="C230" s="76" t="str">
        <f>IF((IFERROR(INDEX(Supports!$K$4:$K$23,MATCH(SPK!$F$39,Supports!$B$4:$B$23,0)),""))="","",IF(IFERROR(INDEX(Supports!$K$4:$K$23,MATCH(SPK!$F$39,Supports!$B$4:$B$23,0)),"")="ETRIER RALLONGE (DN automatique = DN du tube)",IFERROR(INDEX(Catalogue!$B$4:$B$454,SUMPRODUCT(((Catalogue!$C$4:$C$454="ETRIER")*(Catalogue!$E$4:$E$454=(SPK!$F$22+0)))*ROW(Catalogue!$C$4:$C$454))-3),""),IF(IFERROR(INDEX(Supports!$K$4:$K$23,MATCH(SPK!$F$39,Supports!$B$4:$B$23,0)),"")="COLLIER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tube)",IFERROR(INDEX(Catalogue!$B$4:$B$454,SUMPRODUCT(((Catalogue!$C$4:$C$454="COLLIERINDUS")*(Catalogue!$E$4:$E$454=(SPK!$F$22+0)))*ROW(Catalogue!$C$4:$C$454))-3),""),IF(IFERROR(INDEX(Supports!$K$4:$K$23,MATCH(SPK!$F$39,Supports!$B$4:$B$23,0)),"")="COLLIER POIRE (DN automatique = DN du tube)",IFERROR(INDEX(Catalogue!$B$4:$B$454,SUMPRODUCT(((Catalogue!$C$4:$C$454="COLLIERPOIRE")*(Catalogue!$E$4:$E$454=(SPK!$F$22+0)))*ROW(Catalogue!$C$4:$C$454))-3),""),IFERROR(INDEX(Supports!$K$4:$K$23,MATCH(SPK!$F$39,Supports!$B$4:$B$23,0)),"")))))</f>
        <v/>
      </c>
      <c r="D230" s="76" t="str">
        <f>IF((IFERROR(INDEX(Supports!$K$4:$K$23,MATCH(SPK!$F$39,Supports!$B$4:$B$23,0)),""))="","",(IFERROR(INDEX(Supports!$L$4:$L$23,MATCH(SPK!$F$39,Supports!$B$4:$B$23,0)),0))*SPK!$F$40)</f>
        <v/>
      </c>
      <c r="E230" s="76" t="s">
        <v>1036</v>
      </c>
      <c r="F230" s="76" t="str">
        <f t="shared" si="3"/>
        <v/>
      </c>
      <c r="G230" s="76">
        <f>IF(AND(B230&lt;&gt;"",B230&lt;&gt;"Non trouvé - vérifier",D230&lt;&gt;"",D230&lt;&gt;0),IF(COUNTIF($B$2:B230,B230)=1,1,0),0)</f>
        <v>0</v>
      </c>
    </row>
    <row r="231" spans="1:7" x14ac:dyDescent="0.25">
      <c r="A231" s="76" t="s">
        <v>1102</v>
      </c>
      <c r="B231" s="76" t="str">
        <f>IF((IFERROR(INDEX(Supports!$M$4:$M$23,MATCH(SPK!$F$39,Supports!$B$4:$B$23,0)),""))="","",IF(IFERROR(INDEX(Supports!$M$4:$M$23,MATCH(SPK!$F$39,Supports!$B$4:$B$23,0)),"")="ETRIER RALLONGE (DN automatique = DN du tube)",IFERROR(INDEX(Catalogue!$A$4:$A$454,SUMPRODUCT(((Catalogue!$C$4:$C$454="ETRIER")*(Catalogue!$E$4:$E$454=(SPK!$F$22+0)))*ROW(Catalogue!$C$4:$C$454))-3),"Non trouvé - vérifier"),IF(IFERROR(INDEX(Supports!$M$4:$M$23,MATCH(SPK!$F$39,Supports!$B$4:$B$23,0)),"")="COLLIER INDUSTRIEL (DN automatique = DN du tube)",IFERROR(INDEX(Catalogue!$A$4:$A$454,SUMPRODUCT(((Catalogue!$C$4:$C$454="COLLIERINDUS")*(Catalogue!$E$4:$E$454=(SPK!$F$22+0)))*ROW(Catalogue!$C$4:$C$454))-3),"Non trouvé - vérifier"),IF(IFERROR(INDEX(Supports!$M$4:$M$23,MATCH(SPK!$F$39,Supports!$B$4:$B$23,0)),"")="COLLIER POIRE (DN automatique = DN du tube)",IFERROR(INDEX(Catalogue!$A$4:$A$454,SUMPRODUCT(((Catalogue!$C$4:$C$454="COLLIERPOIRE")*(Catalogue!$E$4:$E$454=(SPK!$F$22+0)))*ROW(Catalogue!$C$4:$C$454))-3),"Non trouvé - vérifier"),IFERROR(INDEX(Catalogue!$A$4:$A$454,MATCH(IFERROR(INDEX(Supports!$M$4:$M$23,MATCH(SPK!$F$39,Supports!$B$4:$B$23,0)),""),Catalogue!$B$4:$B$454,0)),"")))))</f>
        <v/>
      </c>
      <c r="C231" s="76" t="str">
        <f>IF((IFERROR(INDEX(Supports!$M$4:$M$23,MATCH(SPK!$F$39,Supports!$B$4:$B$23,0)),""))="","",IF(IFERROR(INDEX(Supports!$M$4:$M$23,MATCH(SPK!$F$39,Supports!$B$4:$B$23,0)),"")="ETRIER RALLONGE (DN automatique = DN du tube)",IFERROR(INDEX(Catalogue!$B$4:$B$454,SUMPRODUCT(((Catalogue!$C$4:$C$454="ETRIER")*(Catalogue!$E$4:$E$454=(SPK!$F$22+0)))*ROW(Catalogue!$C$4:$C$454))-3),""),IF(IFERROR(INDEX(Supports!$M$4:$M$23,MATCH(SPK!$F$39,Supports!$B$4:$B$23,0)),"")="COLLIER INDUSTRIEL (DN automatique = DN du tube)",IFERROR(INDEX(Catalogue!$B$4:$B$454,SUMPRODUCT(((Catalogue!$C$4:$C$454="COLLIERINDUS")*(Catalogue!$E$4:$E$454=(SPK!$F$22+0)))*ROW(Catalogue!$C$4:$C$454))-3),""),IF(IFERROR(INDEX(Supports!$M$4:$M$23,MATCH(SPK!$F$39,Supports!$B$4:$B$23,0)),"")="COLLIER POIRE (DN automatique = DN du tube)",IFERROR(INDEX(Catalogue!$B$4:$B$454,SUMPRODUCT(((Catalogue!$C$4:$C$454="COLLIERPOIRE")*(Catalogue!$E$4:$E$454=(SPK!$F$22+0)))*ROW(Catalogue!$C$4:$C$454))-3),""),IFERROR(INDEX(Supports!$M$4:$M$23,MATCH(SPK!$F$39,Supports!$B$4:$B$23,0)),"")))))</f>
        <v/>
      </c>
      <c r="D231" s="76" t="str">
        <f>IF((IFERROR(INDEX(Supports!$M$4:$M$23,MATCH(SPK!$F$39,Supports!$B$4:$B$23,0)),""))="","",(IFERROR(INDEX(Supports!$N$4:$N$23,MATCH(SPK!$F$39,Supports!$B$4:$B$23,0)),0))*SPK!$F$40)</f>
        <v/>
      </c>
      <c r="E231" s="76" t="s">
        <v>1036</v>
      </c>
      <c r="F231" s="76" t="str">
        <f t="shared" si="3"/>
        <v/>
      </c>
      <c r="G231" s="76">
        <f>IF(AND(B231&lt;&gt;"",B231&lt;&gt;"Non trouvé - vérifier",D231&lt;&gt;"",D231&lt;&gt;0),IF(COUNTIF($B$2:B231,B231)=1,1,0),0)</f>
        <v>0</v>
      </c>
    </row>
    <row r="232" spans="1:7" x14ac:dyDescent="0.25">
      <c r="A232" s="76" t="s">
        <v>1103</v>
      </c>
      <c r="B232" s="76" t="str">
        <f>IF((IFERROR(INDEX(Supports!$C$4:$C$23,MATCH(SPK!$H$39,Supports!$B$4:$B$23,0)),""))="","",IF(IFERROR(INDEX(Supports!$C$4:$C$23,MATCH(SPK!$H$39,Supports!$B$4:$B$23,0)),"")="ETRIER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vérifier"),IF(IFERROR(INDEX(Supports!$C$4:$C$23,MATCH(SPK!$H$39,Supports!$B$4:$B$23,0)),"")="COLLIER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vérifier"),IF(IFERROR(INDEX(Supports!$C$4:$C$23,MATCH(SPK!$H$39,Supports!$B$4:$B$23,0)),"")="COLLIER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vérifier"),IFERROR(INDEX(Catalogue!$A$4:$A$454,MATCH(IFERROR(INDEX(Supports!$C$4:$C$23,MATCH(SPK!$H$39,Supports!$B$4:$B$23,0)),""),Catalogue!$B$4:$B$454,0)),"")))))</f>
        <v/>
      </c>
      <c r="C232" s="76" t="str">
        <f>IF((IFERROR(INDEX(Supports!$C$4:$C$23,MATCH(SPK!$H$39,Supports!$B$4:$B$23,0)),""))="","",IF(IFERROR(INDEX(Supports!$C$4:$C$23,MATCH(SPK!$H$39,Supports!$B$4:$B$23,0)),"")="ETRIER RALLONGE (DN automatique = DN du tube)",IFERROR(INDEX(Catalogue!$B$4:$B$454,SUMPRODUCT(((Catalogue!$C$4:$C$454="ETRIER")*(Catalogue!$E$4:$E$454=(SPK!$H$22+0)))*ROW(Catalogue!$C$4:$C$454))-3),""),IF(IFERROR(INDEX(Supports!$C$4:$C$23,MATCH(SPK!$H$39,Supports!$B$4:$B$23,0)),"")="COLLIER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tube)",IFERROR(INDEX(Catalogue!$B$4:$B$454,SUMPRODUCT(((Catalogue!$C$4:$C$454="COLLIERINDUS")*(Catalogue!$E$4:$E$454=(SPK!$H$22+0)))*ROW(Catalogue!$C$4:$C$454))-3),""),IF(IFERROR(INDEX(Supports!$C$4:$C$23,MATCH(SPK!$H$39,Supports!$B$4:$B$23,0)),"")="COLLIER POIRE (DN automatique = DN du tube)",IFERROR(INDEX(Catalogue!$B$4:$B$454,SUMPRODUCT(((Catalogue!$C$4:$C$454="COLLIERPOIRE")*(Catalogue!$E$4:$E$454=(SPK!$H$22+0)))*ROW(Catalogue!$C$4:$C$454))-3),""),IFERROR(INDEX(Supports!$C$4:$C$23,MATCH(SPK!$H$39,Supports!$B$4:$B$23,0)),"")))))</f>
        <v/>
      </c>
      <c r="D232" s="76" t="str">
        <f>IF((IFERROR(INDEX(Supports!$C$4:$C$23,MATCH(SPK!$H$39,Supports!$B$4:$B$23,0)),""))="","",(IFERROR(INDEX(Supports!$D$4:$D$23,MATCH(SPK!$H$39,Supports!$B$4:$B$23,0)),0))*SPK!$H$40)</f>
        <v/>
      </c>
      <c r="E232" s="76" t="s">
        <v>1036</v>
      </c>
      <c r="F232" s="76" t="str">
        <f t="shared" si="3"/>
        <v/>
      </c>
      <c r="G232" s="76">
        <f>IF(AND(B232&lt;&gt;"",B232&lt;&gt;"Non trouvé - vérifier",D232&lt;&gt;"",D232&lt;&gt;0),IF(COUNTIF($B$2:B232,B232)=1,1,0),0)</f>
        <v>0</v>
      </c>
    </row>
    <row r="233" spans="1:7" x14ac:dyDescent="0.25">
      <c r="A233" s="76" t="s">
        <v>1103</v>
      </c>
      <c r="B233" s="76" t="str">
        <f>IF((IFERROR(INDEX(Supports!$E$4:$E$23,MATCH(SPK!$H$39,Supports!$B$4:$B$23,0)),""))="","",IF(IFERROR(INDEX(Supports!$E$4:$E$23,MATCH(SPK!$H$39,Supports!$B$4:$B$23,0)),"")="ETRIER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vérifier"),IF(IFERROR(INDEX(Supports!$E$4:$E$23,MATCH(SPK!$H$39,Supports!$B$4:$B$23,0)),"")="COLLIER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vérifier"),IF(IFERROR(INDEX(Supports!$E$4:$E$23,MATCH(SPK!$H$39,Supports!$B$4:$B$23,0)),"")="COLLIER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vérifier"),IFERROR(INDEX(Catalogue!$A$4:$A$454,MATCH(IFERROR(INDEX(Supports!$E$4:$E$23,MATCH(SPK!$H$39,Supports!$B$4:$B$23,0)),""),Catalogue!$B$4:$B$454,0)),"")))))</f>
        <v/>
      </c>
      <c r="C233" s="76" t="str">
        <f>IF((IFERROR(INDEX(Supports!$E$4:$E$23,MATCH(SPK!$H$39,Supports!$B$4:$B$23,0)),""))="","",IF(IFERROR(INDEX(Supports!$E$4:$E$23,MATCH(SPK!$H$39,Supports!$B$4:$B$23,0)),"")="ETRIER RALLONGE (DN automatique = DN du tube)",IFERROR(INDEX(Catalogue!$B$4:$B$454,SUMPRODUCT(((Catalogue!$C$4:$C$454="ETRIER")*(Catalogue!$E$4:$E$454=(SPK!$H$22+0)))*ROW(Catalogue!$C$4:$C$454))-3),""),IF(IFERROR(INDEX(Supports!$E$4:$E$23,MATCH(SPK!$H$39,Supports!$B$4:$B$23,0)),"")="COLLIER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tube)",IFERROR(INDEX(Catalogue!$B$4:$B$454,SUMPRODUCT(((Catalogue!$C$4:$C$454="COLLIERINDUS")*(Catalogue!$E$4:$E$454=(SPK!$H$22+0)))*ROW(Catalogue!$C$4:$C$454))-3),""),IF(IFERROR(INDEX(Supports!$E$4:$E$23,MATCH(SPK!$H$39,Supports!$B$4:$B$23,0)),"")="COLLIER POIRE (DN automatique = DN du tube)",IFERROR(INDEX(Catalogue!$B$4:$B$454,SUMPRODUCT(((Catalogue!$C$4:$C$454="COLLIERPOIRE")*(Catalogue!$E$4:$E$454=(SPK!$H$22+0)))*ROW(Catalogue!$C$4:$C$454))-3),""),IFERROR(INDEX(Supports!$E$4:$E$23,MATCH(SPK!$H$39,Supports!$B$4:$B$23,0)),"")))))</f>
        <v/>
      </c>
      <c r="D233" s="76" t="str">
        <f>IF((IFERROR(INDEX(Supports!$E$4:$E$23,MATCH(SPK!$H$39,Supports!$B$4:$B$23,0)),""))="","",(IFERROR(INDEX(Supports!$F$4:$F$23,MATCH(SPK!$H$39,Supports!$B$4:$B$23,0)),0))*SPK!$H$40)</f>
        <v/>
      </c>
      <c r="E233" s="76" t="s">
        <v>1036</v>
      </c>
      <c r="F233" s="76" t="str">
        <f t="shared" si="3"/>
        <v/>
      </c>
      <c r="G233" s="76">
        <f>IF(AND(B233&lt;&gt;"",B233&lt;&gt;"Non trouvé - vérifier",D233&lt;&gt;"",D233&lt;&gt;0),IF(COUNTIF($B$2:B233,B233)=1,1,0),0)</f>
        <v>0</v>
      </c>
    </row>
    <row r="234" spans="1:7" x14ac:dyDescent="0.25">
      <c r="A234" s="76" t="s">
        <v>1103</v>
      </c>
      <c r="B234" s="76" t="str">
        <f>IF((IFERROR(INDEX(Supports!$G$4:$G$23,MATCH(SPK!$H$39,Supports!$B$4:$B$23,0)),""))="","",IF(IFERROR(INDEX(Supports!$G$4:$G$23,MATCH(SPK!$H$39,Supports!$B$4:$B$23,0)),"")="ETRIER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vérifier"),IF(IFERROR(INDEX(Supports!$G$4:$G$23,MATCH(SPK!$H$39,Supports!$B$4:$B$23,0)),"")="COLLIER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vérifier"),IF(IFERROR(INDEX(Supports!$G$4:$G$23,MATCH(SPK!$H$39,Supports!$B$4:$B$23,0)),"")="COLLIER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vérifier"),IFERROR(INDEX(Catalogue!$A$4:$A$454,MATCH(IFERROR(INDEX(Supports!$G$4:$G$23,MATCH(SPK!$H$39,Supports!$B$4:$B$23,0)),""),Catalogue!$B$4:$B$454,0)),"")))))</f>
        <v/>
      </c>
      <c r="C234" s="76" t="str">
        <f>IF((IFERROR(INDEX(Supports!$G$4:$G$23,MATCH(SPK!$H$39,Supports!$B$4:$B$23,0)),""))="","",IF(IFERROR(INDEX(Supports!$G$4:$G$23,MATCH(SPK!$H$39,Supports!$B$4:$B$23,0)),"")="ETRIER RALLONGE (DN automatique = DN du tube)",IFERROR(INDEX(Catalogue!$B$4:$B$454,SUMPRODUCT(((Catalogue!$C$4:$C$454="ETRIER")*(Catalogue!$E$4:$E$454=(SPK!$H$22+0)))*ROW(Catalogue!$C$4:$C$454))-3),""),IF(IFERROR(INDEX(Supports!$G$4:$G$23,MATCH(SPK!$H$39,Supports!$B$4:$B$23,0)),"")="COLLIER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tube)",IFERROR(INDEX(Catalogue!$B$4:$B$454,SUMPRODUCT(((Catalogue!$C$4:$C$454="COLLIERINDUS")*(Catalogue!$E$4:$E$454=(SPK!$H$22+0)))*ROW(Catalogue!$C$4:$C$454))-3),""),IF(IFERROR(INDEX(Supports!$G$4:$G$23,MATCH(SPK!$H$39,Supports!$B$4:$B$23,0)),"")="COLLIER POIRE (DN automatique = DN du tube)",IFERROR(INDEX(Catalogue!$B$4:$B$454,SUMPRODUCT(((Catalogue!$C$4:$C$454="COLLIERPOIRE")*(Catalogue!$E$4:$E$454=(SPK!$H$22+0)))*ROW(Catalogue!$C$4:$C$454))-3),""),IFERROR(INDEX(Supports!$G$4:$G$23,MATCH(SPK!$H$39,Supports!$B$4:$B$23,0)),"")))))</f>
        <v/>
      </c>
      <c r="D234" s="76" t="str">
        <f>IF((IFERROR(INDEX(Supports!$G$4:$G$23,MATCH(SPK!$H$39,Supports!$B$4:$B$23,0)),""))="","",(IFERROR(INDEX(Supports!$H$4:$H$23,MATCH(SPK!$H$39,Supports!$B$4:$B$23,0)),0))*SPK!$H$40)</f>
        <v/>
      </c>
      <c r="E234" s="76" t="s">
        <v>1036</v>
      </c>
      <c r="F234" s="76" t="str">
        <f t="shared" si="3"/>
        <v/>
      </c>
      <c r="G234" s="76">
        <f>IF(AND(B234&lt;&gt;"",B234&lt;&gt;"Non trouvé - vérifier",D234&lt;&gt;"",D234&lt;&gt;0),IF(COUNTIF($B$2:B234,B234)=1,1,0),0)</f>
        <v>0</v>
      </c>
    </row>
    <row r="235" spans="1:7" x14ac:dyDescent="0.25">
      <c r="A235" s="76" t="s">
        <v>1103</v>
      </c>
      <c r="B235" s="76" t="str">
        <f>IF((IFERROR(INDEX(Supports!$I$4:$I$23,MATCH(SPK!$H$39,Supports!$B$4:$B$23,0)),""))="","",IF(IFERROR(INDEX(Supports!$I$4:$I$23,MATCH(SPK!$H$39,Supports!$B$4:$B$23,0)),"")="ETRIER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vérifier"),IF(IFERROR(INDEX(Supports!$I$4:$I$23,MATCH(SPK!$H$39,Supports!$B$4:$B$23,0)),"")="COLLIER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vérifier"),IF(IFERROR(INDEX(Supports!$I$4:$I$23,MATCH(SPK!$H$39,Supports!$B$4:$B$23,0)),"")="COLLIER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vérifier"),IFERROR(INDEX(Catalogue!$A$4:$A$454,MATCH(IFERROR(INDEX(Supports!$I$4:$I$23,MATCH(SPK!$H$39,Supports!$B$4:$B$23,0)),""),Catalogue!$B$4:$B$454,0)),"")))))</f>
        <v/>
      </c>
      <c r="C235" s="76" t="str">
        <f>IF((IFERROR(INDEX(Supports!$I$4:$I$23,MATCH(SPK!$H$39,Supports!$B$4:$B$23,0)),""))="","",IF(IFERROR(INDEX(Supports!$I$4:$I$23,MATCH(SPK!$H$39,Supports!$B$4:$B$23,0)),"")="ETRIER RALLONGE (DN automatique = DN du tube)",IFERROR(INDEX(Catalogue!$B$4:$B$454,SUMPRODUCT(((Catalogue!$C$4:$C$454="ETRIER")*(Catalogue!$E$4:$E$454=(SPK!$H$22+0)))*ROW(Catalogue!$C$4:$C$454))-3),""),IF(IFERROR(INDEX(Supports!$I$4:$I$23,MATCH(SPK!$H$39,Supports!$B$4:$B$23,0)),"")="COLLIER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tube)",IFERROR(INDEX(Catalogue!$B$4:$B$454,SUMPRODUCT(((Catalogue!$C$4:$C$454="COLLIERINDUS")*(Catalogue!$E$4:$E$454=(SPK!$H$22+0)))*ROW(Catalogue!$C$4:$C$454))-3),""),IF(IFERROR(INDEX(Supports!$I$4:$I$23,MATCH(SPK!$H$39,Supports!$B$4:$B$23,0)),"")="COLLIER POIRE (DN automatique = DN du tube)",IFERROR(INDEX(Catalogue!$B$4:$B$454,SUMPRODUCT(((Catalogue!$C$4:$C$454="COLLIERPOIRE")*(Catalogue!$E$4:$E$454=(SPK!$H$22+0)))*ROW(Catalogue!$C$4:$C$454))-3),""),IFERROR(INDEX(Supports!$I$4:$I$23,MATCH(SPK!$H$39,Supports!$B$4:$B$23,0)),"")))))</f>
        <v/>
      </c>
      <c r="D235" s="76" t="str">
        <f>IF((IFERROR(INDEX(Supports!$I$4:$I$23,MATCH(SPK!$H$39,Supports!$B$4:$B$23,0)),""))="","",(IFERROR(INDEX(Supports!$J$4:$J$23,MATCH(SPK!$H$39,Supports!$B$4:$B$23,0)),0))*SPK!$H$40)</f>
        <v/>
      </c>
      <c r="E235" s="76" t="s">
        <v>1036</v>
      </c>
      <c r="F235" s="76" t="str">
        <f t="shared" si="3"/>
        <v/>
      </c>
      <c r="G235" s="76">
        <f>IF(AND(B235&lt;&gt;"",B235&lt;&gt;"Non trouvé - vérifier",D235&lt;&gt;"",D235&lt;&gt;0),IF(COUNTIF($B$2:B235,B235)=1,1,0),0)</f>
        <v>0</v>
      </c>
    </row>
    <row r="236" spans="1:7" x14ac:dyDescent="0.25">
      <c r="A236" s="76" t="s">
        <v>1103</v>
      </c>
      <c r="B236" s="76" t="str">
        <f>IF((IFERROR(INDEX(Supports!$K$4:$K$23,MATCH(SPK!$H$39,Supports!$B$4:$B$23,0)),""))="","",IF(IFERROR(INDEX(Supports!$K$4:$K$23,MATCH(SPK!$H$39,Supports!$B$4:$B$23,0)),"")="ETRIER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vérifier"),IF(IFERROR(INDEX(Supports!$K$4:$K$23,MATCH(SPK!$H$39,Supports!$B$4:$B$23,0)),"")="COLLIER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vérifier"),IF(IFERROR(INDEX(Supports!$K$4:$K$23,MATCH(SPK!$H$39,Supports!$B$4:$B$23,0)),"")="COLLIER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vérifier"),IFERROR(INDEX(Catalogue!$A$4:$A$454,MATCH(IFERROR(INDEX(Supports!$K$4:$K$23,MATCH(SPK!$H$39,Supports!$B$4:$B$23,0)),""),Catalogue!$B$4:$B$454,0)),"")))))</f>
        <v/>
      </c>
      <c r="C236" s="76" t="str">
        <f>IF((IFERROR(INDEX(Supports!$K$4:$K$23,MATCH(SPK!$H$39,Supports!$B$4:$B$23,0)),""))="","",IF(IFERROR(INDEX(Supports!$K$4:$K$23,MATCH(SPK!$H$39,Supports!$B$4:$B$23,0)),"")="ETRIER RALLONGE (DN automatique = DN du tube)",IFERROR(INDEX(Catalogue!$B$4:$B$454,SUMPRODUCT(((Catalogue!$C$4:$C$454="ETRIER")*(Catalogue!$E$4:$E$454=(SPK!$H$22+0)))*ROW(Catalogue!$C$4:$C$454))-3),""),IF(IFERROR(INDEX(Supports!$K$4:$K$23,MATCH(SPK!$H$39,Supports!$B$4:$B$23,0)),"")="COLLIER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tube)",IFERROR(INDEX(Catalogue!$B$4:$B$454,SUMPRODUCT(((Catalogue!$C$4:$C$454="COLLIERINDUS")*(Catalogue!$E$4:$E$454=(SPK!$H$22+0)))*ROW(Catalogue!$C$4:$C$454))-3),""),IF(IFERROR(INDEX(Supports!$K$4:$K$23,MATCH(SPK!$H$39,Supports!$B$4:$B$23,0)),"")="COLLIER POIRE (DN automatique = DN du tube)",IFERROR(INDEX(Catalogue!$B$4:$B$454,SUMPRODUCT(((Catalogue!$C$4:$C$454="COLLIERPOIRE")*(Catalogue!$E$4:$E$454=(SPK!$H$22+0)))*ROW(Catalogue!$C$4:$C$454))-3),""),IFERROR(INDEX(Supports!$K$4:$K$23,MATCH(SPK!$H$39,Supports!$B$4:$B$23,0)),"")))))</f>
        <v/>
      </c>
      <c r="D236" s="76" t="str">
        <f>IF((IFERROR(INDEX(Supports!$K$4:$K$23,MATCH(SPK!$H$39,Supports!$B$4:$B$23,0)),""))="","",(IFERROR(INDEX(Supports!$L$4:$L$23,MATCH(SPK!$H$39,Supports!$B$4:$B$23,0)),0))*SPK!$H$40)</f>
        <v/>
      </c>
      <c r="E236" s="76" t="s">
        <v>1036</v>
      </c>
      <c r="F236" s="76" t="str">
        <f t="shared" si="3"/>
        <v/>
      </c>
      <c r="G236" s="76">
        <f>IF(AND(B236&lt;&gt;"",B236&lt;&gt;"Non trouvé - vérifier",D236&lt;&gt;"",D236&lt;&gt;0),IF(COUNTIF($B$2:B236,B236)=1,1,0),0)</f>
        <v>0</v>
      </c>
    </row>
    <row r="237" spans="1:7" x14ac:dyDescent="0.25">
      <c r="A237" s="76" t="s">
        <v>1103</v>
      </c>
      <c r="B237" s="76" t="str">
        <f>IF((IFERROR(INDEX(Supports!$M$4:$M$23,MATCH(SPK!$H$39,Supports!$B$4:$B$23,0)),""))="","",IF(IFERROR(INDEX(Supports!$M$4:$M$23,MATCH(SPK!$H$39,Supports!$B$4:$B$23,0)),"")="ETRIER RALLONGE (DN automatique = DN du tube)",IFERROR(INDEX(Catalogue!$A$4:$A$454,SUMPRODUCT(((Catalogue!$C$4:$C$454="ETRIER")*(Catalogue!$E$4:$E$454=(SPK!$H$22+0)))*ROW(Catalogue!$C$4:$C$454))-3),"Non trouvé - vérifier"),IF(IFERROR(INDEX(Supports!$M$4:$M$23,MATCH(SPK!$H$39,Supports!$B$4:$B$23,0)),"")="COLLIER INDUSTRIEL (DN automatique = DN du tube)",IFERROR(INDEX(Catalogue!$A$4:$A$454,SUMPRODUCT(((Catalogue!$C$4:$C$454="COLLIERINDUS")*(Catalogue!$E$4:$E$454=(SPK!$H$22+0)))*ROW(Catalogue!$C$4:$C$454))-3),"Non trouvé - vérifier"),IF(IFERROR(INDEX(Supports!$M$4:$M$23,MATCH(SPK!$H$39,Supports!$B$4:$B$23,0)),"")="COLLIER POIRE (DN automatique = DN du tube)",IFERROR(INDEX(Catalogue!$A$4:$A$454,SUMPRODUCT(((Catalogue!$C$4:$C$454="COLLIERPOIRE")*(Catalogue!$E$4:$E$454=(SPK!$H$22+0)))*ROW(Catalogue!$C$4:$C$454))-3),"Non trouvé - vérifier"),IFERROR(INDEX(Catalogue!$A$4:$A$454,MATCH(IFERROR(INDEX(Supports!$M$4:$M$23,MATCH(SPK!$H$39,Supports!$B$4:$B$23,0)),""),Catalogue!$B$4:$B$454,0)),"")))))</f>
        <v/>
      </c>
      <c r="C237" s="76" t="str">
        <f>IF((IFERROR(INDEX(Supports!$M$4:$M$23,MATCH(SPK!$H$39,Supports!$B$4:$B$23,0)),""))="","",IF(IFERROR(INDEX(Supports!$M$4:$M$23,MATCH(SPK!$H$39,Supports!$B$4:$B$23,0)),"")="ETRIER RALLONGE (DN automatique = DN du tube)",IFERROR(INDEX(Catalogue!$B$4:$B$454,SUMPRODUCT(((Catalogue!$C$4:$C$454="ETRIER")*(Catalogue!$E$4:$E$454=(SPK!$H$22+0)))*ROW(Catalogue!$C$4:$C$454))-3),""),IF(IFERROR(INDEX(Supports!$M$4:$M$23,MATCH(SPK!$H$39,Supports!$B$4:$B$23,0)),"")="COLLIER INDUSTRIEL (DN automatique = DN du tube)",IFERROR(INDEX(Catalogue!$B$4:$B$454,SUMPRODUCT(((Catalogue!$C$4:$C$454="COLLIERINDUS")*(Catalogue!$E$4:$E$454=(SPK!$H$22+0)))*ROW(Catalogue!$C$4:$C$454))-3),""),IF(IFERROR(INDEX(Supports!$M$4:$M$23,MATCH(SPK!$H$39,Supports!$B$4:$B$23,0)),"")="COLLIER POIRE (DN automatique = DN du tube)",IFERROR(INDEX(Catalogue!$B$4:$B$454,SUMPRODUCT(((Catalogue!$C$4:$C$454="COLLIERPOIRE")*(Catalogue!$E$4:$E$454=(SPK!$H$22+0)))*ROW(Catalogue!$C$4:$C$454))-3),""),IFERROR(INDEX(Supports!$M$4:$M$23,MATCH(SPK!$H$39,Supports!$B$4:$B$23,0)),"")))))</f>
        <v/>
      </c>
      <c r="D237" s="76" t="str">
        <f>IF((IFERROR(INDEX(Supports!$M$4:$M$23,MATCH(SPK!$H$39,Supports!$B$4:$B$23,0)),""))="","",(IFERROR(INDEX(Supports!$N$4:$N$23,MATCH(SPK!$H$39,Supports!$B$4:$B$23,0)),0))*SPK!$H$40)</f>
        <v/>
      </c>
      <c r="E237" s="76" t="s">
        <v>1036</v>
      </c>
      <c r="F237" s="76" t="str">
        <f t="shared" si="3"/>
        <v/>
      </c>
      <c r="G237" s="76">
        <f>IF(AND(B237&lt;&gt;"",B237&lt;&gt;"Non trouvé - vérifier",D237&lt;&gt;"",D237&lt;&gt;0),IF(COUNTIF($B$2:B237,B237)=1,1,0),0)</f>
        <v>0</v>
      </c>
    </row>
    <row r="238" spans="1:7" x14ac:dyDescent="0.25">
      <c r="A238" s="76" t="s">
        <v>1104</v>
      </c>
      <c r="B238" s="76" t="str">
        <f>IF((IFERROR(INDEX(Supports!$C$4:$C$23,MATCH(SPK!$J$39,Supports!$B$4:$B$23,0)),""))="","",IF(IFERROR(INDEX(Supports!$C$4:$C$23,MATCH(SPK!$J$39,Supports!$B$4:$B$23,0)),"")="ETRIER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vérifier"),IF(IFERROR(INDEX(Supports!$C$4:$C$23,MATCH(SPK!$J$39,Supports!$B$4:$B$23,0)),"")="COLLIER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vérifier"),IF(IFERROR(INDEX(Supports!$C$4:$C$23,MATCH(SPK!$J$39,Supports!$B$4:$B$23,0)),"")="COLLIER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vérifier"),IFERROR(INDEX(Catalogue!$A$4:$A$454,MATCH(IFERROR(INDEX(Supports!$C$4:$C$23,MATCH(SPK!$J$39,Supports!$B$4:$B$23,0)),""),Catalogue!$B$4:$B$454,0)),"")))))</f>
        <v/>
      </c>
      <c r="C238" s="76" t="str">
        <f>IF((IFERROR(INDEX(Supports!$C$4:$C$23,MATCH(SPK!$J$39,Supports!$B$4:$B$23,0)),""))="","",IF(IFERROR(INDEX(Supports!$C$4:$C$23,MATCH(SPK!$J$39,Supports!$B$4:$B$23,0)),"")="ETRIER RALLONGE (DN automatique = DN du tube)",IFERROR(INDEX(Catalogue!$B$4:$B$454,SUMPRODUCT(((Catalogue!$C$4:$C$454="ETRIER")*(Catalogue!$E$4:$E$454=(SPK!$J$22+0)))*ROW(Catalogue!$C$4:$C$454))-3),""),IF(IFERROR(INDEX(Supports!$C$4:$C$23,MATCH(SPK!$J$39,Supports!$B$4:$B$23,0)),"")="COLLIER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tube)",IFERROR(INDEX(Catalogue!$B$4:$B$454,SUMPRODUCT(((Catalogue!$C$4:$C$454="COLLIERINDUS")*(Catalogue!$E$4:$E$454=(SPK!$J$22+0)))*ROW(Catalogue!$C$4:$C$454))-3),""),IF(IFERROR(INDEX(Supports!$C$4:$C$23,MATCH(SPK!$J$39,Supports!$B$4:$B$23,0)),"")="COLLIER POIRE (DN automatique = DN du tube)",IFERROR(INDEX(Catalogue!$B$4:$B$454,SUMPRODUCT(((Catalogue!$C$4:$C$454="COLLIERPOIRE")*(Catalogue!$E$4:$E$454=(SPK!$J$22+0)))*ROW(Catalogue!$C$4:$C$454))-3),""),IFERROR(INDEX(Supports!$C$4:$C$23,MATCH(SPK!$J$39,Supports!$B$4:$B$23,0)),"")))))</f>
        <v/>
      </c>
      <c r="D238" s="76" t="str">
        <f>IF((IFERROR(INDEX(Supports!$C$4:$C$23,MATCH(SPK!$J$39,Supports!$B$4:$B$23,0)),""))="","",(IFERROR(INDEX(Supports!$D$4:$D$23,MATCH(SPK!$J$39,Supports!$B$4:$B$23,0)),0))*SPK!$J$40)</f>
        <v/>
      </c>
      <c r="E238" s="76" t="s">
        <v>1036</v>
      </c>
      <c r="F238" s="76" t="str">
        <f t="shared" si="3"/>
        <v/>
      </c>
      <c r="G238" s="76">
        <f>IF(AND(B238&lt;&gt;"",B238&lt;&gt;"Non trouvé - vérifier",D238&lt;&gt;"",D238&lt;&gt;0),IF(COUNTIF($B$2:B238,B238)=1,1,0),0)</f>
        <v>0</v>
      </c>
    </row>
    <row r="239" spans="1:7" x14ac:dyDescent="0.25">
      <c r="A239" s="76" t="s">
        <v>1104</v>
      </c>
      <c r="B239" s="76" t="str">
        <f>IF((IFERROR(INDEX(Supports!$E$4:$E$23,MATCH(SPK!$J$39,Supports!$B$4:$B$23,0)),""))="","",IF(IFERROR(INDEX(Supports!$E$4:$E$23,MATCH(SPK!$J$39,Supports!$B$4:$B$23,0)),"")="ETRIER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vérifier"),IF(IFERROR(INDEX(Supports!$E$4:$E$23,MATCH(SPK!$J$39,Supports!$B$4:$B$23,0)),"")="COLLIER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vérifier"),IF(IFERROR(INDEX(Supports!$E$4:$E$23,MATCH(SPK!$J$39,Supports!$B$4:$B$23,0)),"")="COLLIER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vérifier"),IFERROR(INDEX(Catalogue!$A$4:$A$454,MATCH(IFERROR(INDEX(Supports!$E$4:$E$23,MATCH(SPK!$J$39,Supports!$B$4:$B$23,0)),""),Catalogue!$B$4:$B$454,0)),"")))))</f>
        <v/>
      </c>
      <c r="C239" s="76" t="str">
        <f>IF((IFERROR(INDEX(Supports!$E$4:$E$23,MATCH(SPK!$J$39,Supports!$B$4:$B$23,0)),""))="","",IF(IFERROR(INDEX(Supports!$E$4:$E$23,MATCH(SPK!$J$39,Supports!$B$4:$B$23,0)),"")="ETRIER RALLONGE (DN automatique = DN du tube)",IFERROR(INDEX(Catalogue!$B$4:$B$454,SUMPRODUCT(((Catalogue!$C$4:$C$454="ETRIER")*(Catalogue!$E$4:$E$454=(SPK!$J$22+0)))*ROW(Catalogue!$C$4:$C$454))-3),""),IF(IFERROR(INDEX(Supports!$E$4:$E$23,MATCH(SPK!$J$39,Supports!$B$4:$B$23,0)),"")="COLLIER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tube)",IFERROR(INDEX(Catalogue!$B$4:$B$454,SUMPRODUCT(((Catalogue!$C$4:$C$454="COLLIERINDUS")*(Catalogue!$E$4:$E$454=(SPK!$J$22+0)))*ROW(Catalogue!$C$4:$C$454))-3),""),IF(IFERROR(INDEX(Supports!$E$4:$E$23,MATCH(SPK!$J$39,Supports!$B$4:$B$23,0)),"")="COLLIER POIRE (DN automatique = DN du tube)",IFERROR(INDEX(Catalogue!$B$4:$B$454,SUMPRODUCT(((Catalogue!$C$4:$C$454="COLLIERPOIRE")*(Catalogue!$E$4:$E$454=(SPK!$J$22+0)))*ROW(Catalogue!$C$4:$C$454))-3),""),IFERROR(INDEX(Supports!$E$4:$E$23,MATCH(SPK!$J$39,Supports!$B$4:$B$23,0)),"")))))</f>
        <v/>
      </c>
      <c r="D239" s="76" t="str">
        <f>IF((IFERROR(INDEX(Supports!$E$4:$E$23,MATCH(SPK!$J$39,Supports!$B$4:$B$23,0)),""))="","",(IFERROR(INDEX(Supports!$F$4:$F$23,MATCH(SPK!$J$39,Supports!$B$4:$B$23,0)),0))*SPK!$J$40)</f>
        <v/>
      </c>
      <c r="E239" s="76" t="s">
        <v>1036</v>
      </c>
      <c r="F239" s="76" t="str">
        <f t="shared" si="3"/>
        <v/>
      </c>
      <c r="G239" s="76">
        <f>IF(AND(B239&lt;&gt;"",B239&lt;&gt;"Non trouvé - vérifier",D239&lt;&gt;"",D239&lt;&gt;0),IF(COUNTIF($B$2:B239,B239)=1,1,0),0)</f>
        <v>0</v>
      </c>
    </row>
    <row r="240" spans="1:7" x14ac:dyDescent="0.25">
      <c r="A240" s="76" t="s">
        <v>1104</v>
      </c>
      <c r="B240" s="76" t="str">
        <f>IF((IFERROR(INDEX(Supports!$G$4:$G$23,MATCH(SPK!$J$39,Supports!$B$4:$B$23,0)),""))="","",IF(IFERROR(INDEX(Supports!$G$4:$G$23,MATCH(SPK!$J$39,Supports!$B$4:$B$23,0)),"")="ETRIER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vérifier"),IF(IFERROR(INDEX(Supports!$G$4:$G$23,MATCH(SPK!$J$39,Supports!$B$4:$B$23,0)),"")="COLLIER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vérifier"),IF(IFERROR(INDEX(Supports!$G$4:$G$23,MATCH(SPK!$J$39,Supports!$B$4:$B$23,0)),"")="COLLIER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vérifier"),IFERROR(INDEX(Catalogue!$A$4:$A$454,MATCH(IFERROR(INDEX(Supports!$G$4:$G$23,MATCH(SPK!$J$39,Supports!$B$4:$B$23,0)),""),Catalogue!$B$4:$B$454,0)),"")))))</f>
        <v/>
      </c>
      <c r="C240" s="76" t="str">
        <f>IF((IFERROR(INDEX(Supports!$G$4:$G$23,MATCH(SPK!$J$39,Supports!$B$4:$B$23,0)),""))="","",IF(IFERROR(INDEX(Supports!$G$4:$G$23,MATCH(SPK!$J$39,Supports!$B$4:$B$23,0)),"")="ETRIER RALLONGE (DN automatique = DN du tube)",IFERROR(INDEX(Catalogue!$B$4:$B$454,SUMPRODUCT(((Catalogue!$C$4:$C$454="ETRIER")*(Catalogue!$E$4:$E$454=(SPK!$J$22+0)))*ROW(Catalogue!$C$4:$C$454))-3),""),IF(IFERROR(INDEX(Supports!$G$4:$G$23,MATCH(SPK!$J$39,Supports!$B$4:$B$23,0)),"")="COLLIER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tube)",IFERROR(INDEX(Catalogue!$B$4:$B$454,SUMPRODUCT(((Catalogue!$C$4:$C$454="COLLIERINDUS")*(Catalogue!$E$4:$E$454=(SPK!$J$22+0)))*ROW(Catalogue!$C$4:$C$454))-3),""),IF(IFERROR(INDEX(Supports!$G$4:$G$23,MATCH(SPK!$J$39,Supports!$B$4:$B$23,0)),"")="COLLIER POIRE (DN automatique = DN du tube)",IFERROR(INDEX(Catalogue!$B$4:$B$454,SUMPRODUCT(((Catalogue!$C$4:$C$454="COLLIERPOIRE")*(Catalogue!$E$4:$E$454=(SPK!$J$22+0)))*ROW(Catalogue!$C$4:$C$454))-3),""),IFERROR(INDEX(Supports!$G$4:$G$23,MATCH(SPK!$J$39,Supports!$B$4:$B$23,0)),"")))))</f>
        <v/>
      </c>
      <c r="D240" s="76" t="str">
        <f>IF((IFERROR(INDEX(Supports!$G$4:$G$23,MATCH(SPK!$J$39,Supports!$B$4:$B$23,0)),""))="","",(IFERROR(INDEX(Supports!$H$4:$H$23,MATCH(SPK!$J$39,Supports!$B$4:$B$23,0)),0))*SPK!$J$40)</f>
        <v/>
      </c>
      <c r="E240" s="76" t="s">
        <v>1036</v>
      </c>
      <c r="F240" s="76" t="str">
        <f t="shared" si="3"/>
        <v/>
      </c>
      <c r="G240" s="76">
        <f>IF(AND(B240&lt;&gt;"",B240&lt;&gt;"Non trouvé - vérifier",D240&lt;&gt;"",D240&lt;&gt;0),IF(COUNTIF($B$2:B240,B240)=1,1,0),0)</f>
        <v>0</v>
      </c>
    </row>
    <row r="241" spans="1:7" x14ac:dyDescent="0.25">
      <c r="A241" s="76" t="s">
        <v>1104</v>
      </c>
      <c r="B241" s="76" t="str">
        <f>IF((IFERROR(INDEX(Supports!$I$4:$I$23,MATCH(SPK!$J$39,Supports!$B$4:$B$23,0)),""))="","",IF(IFERROR(INDEX(Supports!$I$4:$I$23,MATCH(SPK!$J$39,Supports!$B$4:$B$23,0)),"")="ETRIER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vérifier"),IF(IFERROR(INDEX(Supports!$I$4:$I$23,MATCH(SPK!$J$39,Supports!$B$4:$B$23,0)),"")="COLLIER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vérifier"),IF(IFERROR(INDEX(Supports!$I$4:$I$23,MATCH(SPK!$J$39,Supports!$B$4:$B$23,0)),"")="COLLIER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vérifier"),IFERROR(INDEX(Catalogue!$A$4:$A$454,MATCH(IFERROR(INDEX(Supports!$I$4:$I$23,MATCH(SPK!$J$39,Supports!$B$4:$B$23,0)),""),Catalogue!$B$4:$B$454,0)),"")))))</f>
        <v/>
      </c>
      <c r="C241" s="76" t="str">
        <f>IF((IFERROR(INDEX(Supports!$I$4:$I$23,MATCH(SPK!$J$39,Supports!$B$4:$B$23,0)),""))="","",IF(IFERROR(INDEX(Supports!$I$4:$I$23,MATCH(SPK!$J$39,Supports!$B$4:$B$23,0)),"")="ETRIER RALLONGE (DN automatique = DN du tube)",IFERROR(INDEX(Catalogue!$B$4:$B$454,SUMPRODUCT(((Catalogue!$C$4:$C$454="ETRIER")*(Catalogue!$E$4:$E$454=(SPK!$J$22+0)))*ROW(Catalogue!$C$4:$C$454))-3),""),IF(IFERROR(INDEX(Supports!$I$4:$I$23,MATCH(SPK!$J$39,Supports!$B$4:$B$23,0)),"")="COLLIER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tube)",IFERROR(INDEX(Catalogue!$B$4:$B$454,SUMPRODUCT(((Catalogue!$C$4:$C$454="COLLIERINDUS")*(Catalogue!$E$4:$E$454=(SPK!$J$22+0)))*ROW(Catalogue!$C$4:$C$454))-3),""),IF(IFERROR(INDEX(Supports!$I$4:$I$23,MATCH(SPK!$J$39,Supports!$B$4:$B$23,0)),"")="COLLIER POIRE (DN automatique = DN du tube)",IFERROR(INDEX(Catalogue!$B$4:$B$454,SUMPRODUCT(((Catalogue!$C$4:$C$454="COLLIERPOIRE")*(Catalogue!$E$4:$E$454=(SPK!$J$22+0)))*ROW(Catalogue!$C$4:$C$454))-3),""),IFERROR(INDEX(Supports!$I$4:$I$23,MATCH(SPK!$J$39,Supports!$B$4:$B$23,0)),"")))))</f>
        <v/>
      </c>
      <c r="D241" s="76" t="str">
        <f>IF((IFERROR(INDEX(Supports!$I$4:$I$23,MATCH(SPK!$J$39,Supports!$B$4:$B$23,0)),""))="","",(IFERROR(INDEX(Supports!$J$4:$J$23,MATCH(SPK!$J$39,Supports!$B$4:$B$23,0)),0))*SPK!$J$40)</f>
        <v/>
      </c>
      <c r="E241" s="76" t="s">
        <v>1036</v>
      </c>
      <c r="F241" s="76" t="str">
        <f t="shared" si="3"/>
        <v/>
      </c>
      <c r="G241" s="76">
        <f>IF(AND(B241&lt;&gt;"",B241&lt;&gt;"Non trouvé - vérifier",D241&lt;&gt;"",D241&lt;&gt;0),IF(COUNTIF($B$2:B241,B241)=1,1,0),0)</f>
        <v>0</v>
      </c>
    </row>
    <row r="242" spans="1:7" x14ac:dyDescent="0.25">
      <c r="A242" s="76" t="s">
        <v>1104</v>
      </c>
      <c r="B242" s="76" t="str">
        <f>IF((IFERROR(INDEX(Supports!$K$4:$K$23,MATCH(SPK!$J$39,Supports!$B$4:$B$23,0)),""))="","",IF(IFERROR(INDEX(Supports!$K$4:$K$23,MATCH(SPK!$J$39,Supports!$B$4:$B$23,0)),"")="ETRIER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vérifier"),IF(IFERROR(INDEX(Supports!$K$4:$K$23,MATCH(SPK!$J$39,Supports!$B$4:$B$23,0)),"")="COLLIER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vérifier"),IF(IFERROR(INDEX(Supports!$K$4:$K$23,MATCH(SPK!$J$39,Supports!$B$4:$B$23,0)),"")="COLLIER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vérifier"),IFERROR(INDEX(Catalogue!$A$4:$A$454,MATCH(IFERROR(INDEX(Supports!$K$4:$K$23,MATCH(SPK!$J$39,Supports!$B$4:$B$23,0)),""),Catalogue!$B$4:$B$454,0)),"")))))</f>
        <v/>
      </c>
      <c r="C242" s="76" t="str">
        <f>IF((IFERROR(INDEX(Supports!$K$4:$K$23,MATCH(SPK!$J$39,Supports!$B$4:$B$23,0)),""))="","",IF(IFERROR(INDEX(Supports!$K$4:$K$23,MATCH(SPK!$J$39,Supports!$B$4:$B$23,0)),"")="ETRIER RALLONGE (DN automatique = DN du tube)",IFERROR(INDEX(Catalogue!$B$4:$B$454,SUMPRODUCT(((Catalogue!$C$4:$C$454="ETRIER")*(Catalogue!$E$4:$E$454=(SPK!$J$22+0)))*ROW(Catalogue!$C$4:$C$454))-3),""),IF(IFERROR(INDEX(Supports!$K$4:$K$23,MATCH(SPK!$J$39,Supports!$B$4:$B$23,0)),"")="COLLIER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tube)",IFERROR(INDEX(Catalogue!$B$4:$B$454,SUMPRODUCT(((Catalogue!$C$4:$C$454="COLLIERINDUS")*(Catalogue!$E$4:$E$454=(SPK!$J$22+0)))*ROW(Catalogue!$C$4:$C$454))-3),""),IF(IFERROR(INDEX(Supports!$K$4:$K$23,MATCH(SPK!$J$39,Supports!$B$4:$B$23,0)),"")="COLLIER POIRE (DN automatique = DN du tube)",IFERROR(INDEX(Catalogue!$B$4:$B$454,SUMPRODUCT(((Catalogue!$C$4:$C$454="COLLIERPOIRE")*(Catalogue!$E$4:$E$454=(SPK!$J$22+0)))*ROW(Catalogue!$C$4:$C$454))-3),""),IFERROR(INDEX(Supports!$K$4:$K$23,MATCH(SPK!$J$39,Supports!$B$4:$B$23,0)),"")))))</f>
        <v/>
      </c>
      <c r="D242" s="76" t="str">
        <f>IF((IFERROR(INDEX(Supports!$K$4:$K$23,MATCH(SPK!$J$39,Supports!$B$4:$B$23,0)),""))="","",(IFERROR(INDEX(Supports!$L$4:$L$23,MATCH(SPK!$J$39,Supports!$B$4:$B$23,0)),0))*SPK!$J$40)</f>
        <v/>
      </c>
      <c r="E242" s="76" t="s">
        <v>1036</v>
      </c>
      <c r="F242" s="76" t="str">
        <f t="shared" si="3"/>
        <v/>
      </c>
      <c r="G242" s="76">
        <f>IF(AND(B242&lt;&gt;"",B242&lt;&gt;"Non trouvé - vérifier",D242&lt;&gt;"",D242&lt;&gt;0),IF(COUNTIF($B$2:B242,B242)=1,1,0),0)</f>
        <v>0</v>
      </c>
    </row>
    <row r="243" spans="1:7" x14ac:dyDescent="0.25">
      <c r="A243" s="76" t="s">
        <v>1104</v>
      </c>
      <c r="B243" s="76" t="str">
        <f>IF((IFERROR(INDEX(Supports!$M$4:$M$23,MATCH(SPK!$J$39,Supports!$B$4:$B$23,0)),""))="","",IF(IFERROR(INDEX(Supports!$M$4:$M$23,MATCH(SPK!$J$39,Supports!$B$4:$B$23,0)),"")="ETRIER RALLONGE (DN automatique = DN du tube)",IFERROR(INDEX(Catalogue!$A$4:$A$454,SUMPRODUCT(((Catalogue!$C$4:$C$454="ETRIER")*(Catalogue!$E$4:$E$454=(SPK!$J$22+0)))*ROW(Catalogue!$C$4:$C$454))-3),"Non trouvé - vérifier"),IF(IFERROR(INDEX(Supports!$M$4:$M$23,MATCH(SPK!$J$39,Supports!$B$4:$B$23,0)),"")="COLLIER INDUSTRIEL (DN automatique = DN du tube)",IFERROR(INDEX(Catalogue!$A$4:$A$454,SUMPRODUCT(((Catalogue!$C$4:$C$454="COLLIERINDUS")*(Catalogue!$E$4:$E$454=(SPK!$J$22+0)))*ROW(Catalogue!$C$4:$C$454))-3),"Non trouvé - vérifier"),IF(IFERROR(INDEX(Supports!$M$4:$M$23,MATCH(SPK!$J$39,Supports!$B$4:$B$23,0)),"")="COLLIER POIRE (DN automatique = DN du tube)",IFERROR(INDEX(Catalogue!$A$4:$A$454,SUMPRODUCT(((Catalogue!$C$4:$C$454="COLLIERPOIRE")*(Catalogue!$E$4:$E$454=(SPK!$J$22+0)))*ROW(Catalogue!$C$4:$C$454))-3),"Non trouvé - vérifier"),IFERROR(INDEX(Catalogue!$A$4:$A$454,MATCH(IFERROR(INDEX(Supports!$M$4:$M$23,MATCH(SPK!$J$39,Supports!$B$4:$B$23,0)),""),Catalogue!$B$4:$B$454,0)),"")))))</f>
        <v/>
      </c>
      <c r="C243" s="76" t="str">
        <f>IF((IFERROR(INDEX(Supports!$M$4:$M$23,MATCH(SPK!$J$39,Supports!$B$4:$B$23,0)),""))="","",IF(IFERROR(INDEX(Supports!$M$4:$M$23,MATCH(SPK!$J$39,Supports!$B$4:$B$23,0)),"")="ETRIER RALLONGE (DN automatique = DN du tube)",IFERROR(INDEX(Catalogue!$B$4:$B$454,SUMPRODUCT(((Catalogue!$C$4:$C$454="ETRIER")*(Catalogue!$E$4:$E$454=(SPK!$J$22+0)))*ROW(Catalogue!$C$4:$C$454))-3),""),IF(IFERROR(INDEX(Supports!$M$4:$M$23,MATCH(SPK!$J$39,Supports!$B$4:$B$23,0)),"")="COLLIER INDUSTRIEL (DN automatique = DN du tube)",IFERROR(INDEX(Catalogue!$B$4:$B$454,SUMPRODUCT(((Catalogue!$C$4:$C$454="COLLIERINDUS")*(Catalogue!$E$4:$E$454=(SPK!$J$22+0)))*ROW(Catalogue!$C$4:$C$454))-3),""),IF(IFERROR(INDEX(Supports!$M$4:$M$23,MATCH(SPK!$J$39,Supports!$B$4:$B$23,0)),"")="COLLIER POIRE (DN automatique = DN du tube)",IFERROR(INDEX(Catalogue!$B$4:$B$454,SUMPRODUCT(((Catalogue!$C$4:$C$454="COLLIERPOIRE")*(Catalogue!$E$4:$E$454=(SPK!$J$22+0)))*ROW(Catalogue!$C$4:$C$454))-3),""),IFERROR(INDEX(Supports!$M$4:$M$23,MATCH(SPK!$J$39,Supports!$B$4:$B$23,0)),"")))))</f>
        <v/>
      </c>
      <c r="D243" s="76" t="str">
        <f>IF((IFERROR(INDEX(Supports!$M$4:$M$23,MATCH(SPK!$J$39,Supports!$B$4:$B$23,0)),""))="","",(IFERROR(INDEX(Supports!$N$4:$N$23,MATCH(SPK!$J$39,Supports!$B$4:$B$23,0)),0))*SPK!$J$40)</f>
        <v/>
      </c>
      <c r="E243" s="76" t="s">
        <v>1036</v>
      </c>
      <c r="F243" s="76" t="str">
        <f t="shared" si="3"/>
        <v/>
      </c>
      <c r="G243" s="76">
        <f>IF(AND(B243&lt;&gt;"",B243&lt;&gt;"Non trouvé - vérifier",D243&lt;&gt;"",D243&lt;&gt;0),IF(COUNTIF($B$2:B243,B243)=1,1,0),0)</f>
        <v>0</v>
      </c>
    </row>
    <row r="244" spans="1:7" x14ac:dyDescent="0.25">
      <c r="A244" s="76" t="s">
        <v>1093</v>
      </c>
      <c r="B244" s="76" t="str" cm="1">
        <f t="array" ref="B244">IF((SPK!$J$22+0)=25,"COUVI90FFGA025",IFERROR(_xlfn.SINGLE(INDEX(Catalogue!$A$4:$A$454,SUMPRODUCT(((Catalogue!$C$4:$C$454="COUDE90")*(Catalogue!$D$4:$D$454=IF(SPK!$D$4="X","ROUGE",IF(SPK!$F$4="X","BLANC",IF(SPK!$H$4="X","GALVA",""))))*(Catalogue!$E$4:$E$454=(SPK!$J$22+0)))*ROW(Catalogue!$C$4:$C$454))-3)),"Non trouvé - vérifier"))</f>
        <v>Non trouvé - vérifier</v>
      </c>
      <c r="C244" s="76" t="str" cm="1">
        <f t="array" ref="C244">IF((SPK!$J$22+0)=25,"COUDE 90°VISSER FF GALVA DN25",IFERROR(_xlfn.SINGLE(INDEX(Catalogue!$B$4:$B$454,SUMPRODUCT(((Catalogue!$C$4:$C$454="COUDE90")*(Catalogue!$D$4:$D$454=IF(SPK!$D$4="X","ROUGE",IF(SPK!$F$4="X","BLANC",IF(SPK!$H$4="X","GALVA",""))))*(Catalogue!$E$4:$E$454=(SPK!$J$22+0)))*ROW(Catalogue!$C$4:$C$454))-3)),""))</f>
        <v/>
      </c>
      <c r="D244" s="78">
        <f>SPK!$J$28</f>
        <v>0</v>
      </c>
      <c r="E244" s="76" t="s">
        <v>1034</v>
      </c>
      <c r="F244" s="76" t="str">
        <f t="shared" si="3"/>
        <v/>
      </c>
      <c r="G244" s="76">
        <f>IF(AND(B244&lt;&gt;"",B244&lt;&gt;"Non trouvé - vérifier",D244&lt;&gt;"",D244&lt;&gt;0),IF(COUNTIF($B$2:B244,B244)=1,1,0),0)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3"/>
  <sheetViews>
    <sheetView zoomScaleNormal="100" workbookViewId="0">
      <selection activeCell="B438" sqref="B438"/>
    </sheetView>
  </sheetViews>
  <sheetFormatPr baseColWidth="10" defaultColWidth="8.5703125" defaultRowHeight="15" x14ac:dyDescent="0.25"/>
  <sheetData>
    <row r="1" spans="1:7" x14ac:dyDescent="0.25">
      <c r="A1" s="80" t="s">
        <v>1025</v>
      </c>
      <c r="B1" s="80" t="s">
        <v>1026</v>
      </c>
      <c r="C1" s="80" t="s">
        <v>1027</v>
      </c>
      <c r="D1" s="80" t="s">
        <v>1028</v>
      </c>
      <c r="E1" s="80" t="s">
        <v>1029</v>
      </c>
      <c r="F1" s="77" t="s">
        <v>1030</v>
      </c>
      <c r="G1" s="77" t="s">
        <v>1031</v>
      </c>
    </row>
    <row r="2" spans="1:7" x14ac:dyDescent="0.25">
      <c r="A2" s="76" t="s">
        <v>1105</v>
      </c>
      <c r="B2" s="76" t="str">
        <f>IFERROR(INDEX(Catalogue!$A$4:$A$454,SUMPRODUCT(((Catalogue!$C$4:$C$454="TUBE")*(Catalogue!$G$4:$G$454&lt;&gt;"TSS")*(Catalogue!$D$4:$D$454="GALVA")*(Catalogue!$E$4:$E$454=(RIA!$D$5+0)))*ROW(Catalogue!$C$4:$C$454))-3),"Non trouvé - vérifier")</f>
        <v>Non trouvé - vérifier</v>
      </c>
      <c r="C2" s="76" t="str">
        <f>IFERROR(INDEX(Catalogue!$B$4:$B$454,SUMPRODUCT(((Catalogue!$C$4:$C$454="TUBE")*(Catalogue!$G$4:$G$454&lt;&gt;"TSS")*(Catalogue!$D$4:$D$454="GALVA")*(Catalogue!$E$4:$E$454=(RIA!$D$5+0)))*ROW(Catalogue!$C$4:$C$454))-3),"")</f>
        <v/>
      </c>
      <c r="D2" s="76">
        <f>CEILING((RIA!$D$6),6)</f>
        <v>0</v>
      </c>
      <c r="E2" s="76" t="s">
        <v>1033</v>
      </c>
      <c r="F2" s="76" t="str">
        <f t="shared" ref="F2:F33" si="0">IF(AND(B2&lt;&gt;"",B2&lt;&gt;"Non trouvé - vérifier",D2&lt;&gt;"",D2&lt;&gt;0),SUMIF($B$2:$B$183,B2,$D$2:$D$183),"")</f>
        <v/>
      </c>
      <c r="G2" s="76">
        <f>IF(AND(B2&lt;&gt;"",B2&lt;&gt;"Non trouvé - vérifier",D2&lt;&gt;"",D2&lt;&gt;0),IF(COUNTIF($B$2:B2,B2)=1,1,0),0)</f>
        <v>0</v>
      </c>
    </row>
    <row r="3" spans="1:7" x14ac:dyDescent="0.25">
      <c r="A3" s="76" t="s">
        <v>1105</v>
      </c>
      <c r="B3" s="76" t="str">
        <f>IFERROR(INDEX(Catalogue!$A$4:$A$454,SUMPRODUCT(((Catalogue!$C$4:$C$454="COUDE90")*(Catalogue!$D$4:$D$454="GALVA")*(Catalogue!$E$4:$E$454=(RIA!$D$5+0)))*ROW(Catalogue!$C$4:$C$454))-3),"Non trouvé - vérifier")</f>
        <v>Non trouvé - vérifier</v>
      </c>
      <c r="C3" s="76" t="str">
        <f>IFERROR(INDEX(Catalogue!$B$4:$B$454,SUMPRODUCT(((Catalogue!$C$4:$C$454="COUDE90")*(Catalogue!$D$4:$D$454="GALVA")*(Catalogue!$E$4:$E$454=(RIA!$D$5+0)))*ROW(Catalogue!$C$4:$C$454))-3),"")</f>
        <v/>
      </c>
      <c r="D3" s="76">
        <f>RIA!$D$7</f>
        <v>0</v>
      </c>
      <c r="E3" s="76" t="s">
        <v>1034</v>
      </c>
      <c r="F3" s="76" t="str">
        <f t="shared" si="0"/>
        <v/>
      </c>
      <c r="G3" s="76">
        <f>IF(AND(B3&lt;&gt;"",B3&lt;&gt;"Non trouvé - vérifier",D3&lt;&gt;"",D3&lt;&gt;0),IF(COUNTIF($B$2:B3,B3)=1,1,0),0)</f>
        <v>0</v>
      </c>
    </row>
    <row r="4" spans="1:7" x14ac:dyDescent="0.25">
      <c r="A4" s="76" t="s">
        <v>1105</v>
      </c>
      <c r="B4" s="76" t="str">
        <f>IFERROR(INDEX(Catalogue!$A$4:$A$454,SUMPRODUCT(((Catalogue!$C$4:$C$454="TES")*(Catalogue!$D$4:$D$454="GALVA")*(Catalogue!$E$4:$E$454=(RIA!$D$5+0))*(Catalogue!$G$4:$G$454="RAINURE"))*ROW(Catalogue!$C$4:$C$454))-3),"Non trouvé - vérifier")</f>
        <v>Non trouvé - vérifier</v>
      </c>
      <c r="C4" s="76" t="str">
        <f>IFERROR(INDEX(Catalogue!$B$4:$B$454,SUMPRODUCT(((Catalogue!$C$4:$C$454="TES")*(Catalogue!$D$4:$D$454="GALVA")*(Catalogue!$E$4:$E$454=(RIA!$D$5+0))*(Catalogue!$G$4:$G$454="RAINURE"))*ROW(Catalogue!$C$4:$C$454))-3),"")</f>
        <v/>
      </c>
      <c r="D4" s="76">
        <f>RIA!$D$8</f>
        <v>0</v>
      </c>
      <c r="E4" s="76" t="s">
        <v>1034</v>
      </c>
      <c r="F4" s="76" t="str">
        <f t="shared" si="0"/>
        <v/>
      </c>
      <c r="G4" s="76">
        <f>IF(AND(B4&lt;&gt;"",B4&lt;&gt;"Non trouvé - vérifier",D4&lt;&gt;"",D4&lt;&gt;0),IF(COUNTIF($B$2:B4,B4)=1,1,0),0)</f>
        <v>0</v>
      </c>
    </row>
    <row r="5" spans="1:7" x14ac:dyDescent="0.25">
      <c r="A5" s="76" t="s">
        <v>1105</v>
      </c>
      <c r="B5" s="76" t="str">
        <f>IFERROR(INDEX(Catalogue!$A$4:$A$454,SUMPRODUCT(((Catalogue!$C$4:$C$454="RACCORD")*(Catalogue!$D$4:$D$454="GALVA")*(Catalogue!$E$4:$E$454=(RIA!$D$5+0)))*ROW(Catalogue!$C$4:$C$454))-3),"Non trouvé - vérifier")</f>
        <v>Non trouvé - vérifier</v>
      </c>
      <c r="C5" s="76" t="str">
        <f>IFERROR(INDEX(Catalogue!$B$4:$B$454,SUMPRODUCT(((Catalogue!$C$4:$C$454="RACCORD")*(Catalogue!$D$4:$D$454="GALVA")*(Catalogue!$E$4:$E$454=(RIA!$D$5+0)))*ROW(Catalogue!$C$4:$C$454))-3),"")</f>
        <v/>
      </c>
      <c r="D5" s="76">
        <f>ROUNDUP(((RIA!$D$6/6)+(RIA!$D$7*2)+(RIA!$D$8*3))*1.1,0)</f>
        <v>0</v>
      </c>
      <c r="E5" s="76" t="s">
        <v>1034</v>
      </c>
      <c r="F5" s="76" t="str">
        <f t="shared" si="0"/>
        <v/>
      </c>
      <c r="G5" s="76">
        <f>IF(AND(B5&lt;&gt;"",B5&lt;&gt;"Non trouvé - vérifier",D5&lt;&gt;"",D5&lt;&gt;0),IF(COUNTIF($B$2:B5,B5)=1,1,0),0)</f>
        <v>0</v>
      </c>
    </row>
    <row r="6" spans="1:7" x14ac:dyDescent="0.25">
      <c r="A6" s="76" t="s">
        <v>1106</v>
      </c>
      <c r="B6" s="76" t="str">
        <f>IF((IFERROR(INDEX(Supports!$C$4:$C$23,MATCH(RIA!$D$10,Supports!$B$4:$B$23,0)),""))="","",IF(IFERROR(INDEX(Supports!$C$4:$C$23,MATCH(RIA!$D$10,Supports!$B$4:$B$23,0)),"")="ETRIER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vérifier"),IF(IFERROR(INDEX(Supports!$C$4:$C$23,MATCH(RIA!$D$10,Supports!$B$4:$B$23,0)),"")="COLLIER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vérifier"),IF(IFERROR(INDEX(Supports!$C$4:$C$23,MATCH(RIA!$D$10,Supports!$B$4:$B$23,0)),"")="COLLIER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vérifier"),IFERROR(INDEX(Catalogue!$A$4:$A$454,MATCH(IFERROR(INDEX(Supports!$C$4:$C$23,MATCH(RIA!$D$10,Supports!$B$4:$B$23,0)),""),Catalogue!$B$4:$B$454,0)),"")))))</f>
        <v/>
      </c>
      <c r="C6" s="76" t="str">
        <f>IF((IFERROR(INDEX(Supports!$C$4:$C$23,MATCH(RIA!$D$10,Supports!$B$4:$B$23,0)),""))="","",IF(IFERROR(INDEX(Supports!$C$4:$C$23,MATCH(RIA!$D$10,Supports!$B$4:$B$23,0)),"")="ETRIER RALLONGE (DN automatique = DN du tube)",IFERROR(INDEX(Catalogue!$B$4:$B$454,SUMPRODUCT(((Catalogue!$C$4:$C$454="ETRIER")*(Catalogue!$E$4:$E$454=(RIA!$D$5+0)))*ROW(Catalogue!$C$4:$C$454))-3),""),IF(IFERROR(INDEX(Supports!$C$4:$C$23,MATCH(RIA!$D$10,Supports!$B$4:$B$23,0)),"")="COLLIER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tube)",IFERROR(INDEX(Catalogue!$B$4:$B$454,SUMPRODUCT(((Catalogue!$C$4:$C$454="COLLIERINDUS")*(Catalogue!$E$4:$E$454=(RIA!$D$5+0)))*ROW(Catalogue!$C$4:$C$454))-3),""),IF(IFERROR(INDEX(Supports!$C$4:$C$23,MATCH(RIA!$D$10,Supports!$B$4:$B$23,0)),"")="COLLIER POIRE (DN automatique = DN du tube)",IFERROR(INDEX(Catalogue!$B$4:$B$454,SUMPRODUCT(((Catalogue!$C$4:$C$454="COLLIERPOIRE")*(Catalogue!$E$4:$E$454=(RIA!$D$5+0)))*ROW(Catalogue!$C$4:$C$454))-3),""),IFERROR(INDEX(Supports!$C$4:$C$23,MATCH(RIA!$D$10,Supports!$B$4:$B$23,0)),"")))))</f>
        <v/>
      </c>
      <c r="D6" s="76" t="str">
        <f>IF((IFERROR(INDEX(Supports!$C$4:$C$23,MATCH(RIA!$D$10,Supports!$B$4:$B$23,0)),""))="","",(IFERROR(INDEX(Supports!$D$4:$D$23,MATCH(RIA!$D$10,Supports!$B$4:$B$23,0)),0))*RIA!$D$11)</f>
        <v/>
      </c>
      <c r="E6" s="76" t="s">
        <v>1036</v>
      </c>
      <c r="F6" s="76" t="str">
        <f t="shared" si="0"/>
        <v/>
      </c>
      <c r="G6" s="76">
        <f>IF(AND(B6&lt;&gt;"",B6&lt;&gt;"Non trouvé - vérifier",D6&lt;&gt;"",D6&lt;&gt;0),IF(COUNTIF($B$2:B6,B6)=1,1,0),0)</f>
        <v>0</v>
      </c>
    </row>
    <row r="7" spans="1:7" x14ac:dyDescent="0.25">
      <c r="A7" s="76" t="s">
        <v>1106</v>
      </c>
      <c r="B7" s="76" t="str">
        <f>IF((IFERROR(INDEX(Supports!$E$4:$E$23,MATCH(RIA!$D$10,Supports!$B$4:$B$23,0)),""))="","",IF(IFERROR(INDEX(Supports!$E$4:$E$23,MATCH(RIA!$D$10,Supports!$B$4:$B$23,0)),"")="ETRIER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vérifier"),IF(IFERROR(INDEX(Supports!$E$4:$E$23,MATCH(RIA!$D$10,Supports!$B$4:$B$23,0)),"")="COLLIER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vérifier"),IF(IFERROR(INDEX(Supports!$E$4:$E$23,MATCH(RIA!$D$10,Supports!$B$4:$B$23,0)),"")="COLLIER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vérifier"),IFERROR(INDEX(Catalogue!$A$4:$A$454,MATCH(IFERROR(INDEX(Supports!$E$4:$E$23,MATCH(RIA!$D$10,Supports!$B$4:$B$23,0)),""),Catalogue!$B$4:$B$454,0)),"")))))</f>
        <v/>
      </c>
      <c r="C7" s="76" t="str">
        <f>IF((IFERROR(INDEX(Supports!$E$4:$E$23,MATCH(RIA!$D$10,Supports!$B$4:$B$23,0)),""))="","",IF(IFERROR(INDEX(Supports!$E$4:$E$23,MATCH(RIA!$D$10,Supports!$B$4:$B$23,0)),"")="ETRIER RALLONGE (DN automatique = DN du tube)",IFERROR(INDEX(Catalogue!$B$4:$B$454,SUMPRODUCT(((Catalogue!$C$4:$C$454="ETRIER")*(Catalogue!$E$4:$E$454=(RIA!$D$5+0)))*ROW(Catalogue!$C$4:$C$454))-3),""),IF(IFERROR(INDEX(Supports!$E$4:$E$23,MATCH(RIA!$D$10,Supports!$B$4:$B$23,0)),"")="COLLIER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tube)",IFERROR(INDEX(Catalogue!$B$4:$B$454,SUMPRODUCT(((Catalogue!$C$4:$C$454="COLLIERINDUS")*(Catalogue!$E$4:$E$454=(RIA!$D$5+0)))*ROW(Catalogue!$C$4:$C$454))-3),""),IF(IFERROR(INDEX(Supports!$E$4:$E$23,MATCH(RIA!$D$10,Supports!$B$4:$B$23,0)),"")="COLLIER POIRE (DN automatique = DN du tube)",IFERROR(INDEX(Catalogue!$B$4:$B$454,SUMPRODUCT(((Catalogue!$C$4:$C$454="COLLIERPOIRE")*(Catalogue!$E$4:$E$454=(RIA!$D$5+0)))*ROW(Catalogue!$C$4:$C$454))-3),""),IFERROR(INDEX(Supports!$E$4:$E$23,MATCH(RIA!$D$10,Supports!$B$4:$B$23,0)),"")))))</f>
        <v/>
      </c>
      <c r="D7" s="76" t="str">
        <f>IF((IFERROR(INDEX(Supports!$E$4:$E$23,MATCH(RIA!$D$10,Supports!$B$4:$B$23,0)),""))="","",(IFERROR(INDEX(Supports!$F$4:$F$23,MATCH(RIA!$D$10,Supports!$B$4:$B$23,0)),0))*RIA!$D$11)</f>
        <v/>
      </c>
      <c r="E7" s="76" t="s">
        <v>1036</v>
      </c>
      <c r="F7" s="76" t="str">
        <f t="shared" si="0"/>
        <v/>
      </c>
      <c r="G7" s="76">
        <f>IF(AND(B7&lt;&gt;"",B7&lt;&gt;"Non trouvé - vérifier",D7&lt;&gt;"",D7&lt;&gt;0),IF(COUNTIF($B$2:B7,B7)=1,1,0),0)</f>
        <v>0</v>
      </c>
    </row>
    <row r="8" spans="1:7" x14ac:dyDescent="0.25">
      <c r="A8" s="76" t="s">
        <v>1106</v>
      </c>
      <c r="B8" s="76" t="str">
        <f>IF((IFERROR(INDEX(Supports!$G$4:$G$23,MATCH(RIA!$D$10,Supports!$B$4:$B$23,0)),""))="","",IF(IFERROR(INDEX(Supports!$G$4:$G$23,MATCH(RIA!$D$10,Supports!$B$4:$B$23,0)),"")="ETRIER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vérifier"),IF(IFERROR(INDEX(Supports!$G$4:$G$23,MATCH(RIA!$D$10,Supports!$B$4:$B$23,0)),"")="COLLIER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vérifier"),IF(IFERROR(INDEX(Supports!$G$4:$G$23,MATCH(RIA!$D$10,Supports!$B$4:$B$23,0)),"")="COLLIER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vérifier"),IFERROR(INDEX(Catalogue!$A$4:$A$454,MATCH(IFERROR(INDEX(Supports!$G$4:$G$23,MATCH(RIA!$D$10,Supports!$B$4:$B$23,0)),""),Catalogue!$B$4:$B$454,0)),"")))))</f>
        <v/>
      </c>
      <c r="C8" s="76" t="str">
        <f>IF((IFERROR(INDEX(Supports!$G$4:$G$23,MATCH(RIA!$D$10,Supports!$B$4:$B$23,0)),""))="","",IF(IFERROR(INDEX(Supports!$G$4:$G$23,MATCH(RIA!$D$10,Supports!$B$4:$B$23,0)),"")="ETRIER RALLONGE (DN automatique = DN du tube)",IFERROR(INDEX(Catalogue!$B$4:$B$454,SUMPRODUCT(((Catalogue!$C$4:$C$454="ETRIER")*(Catalogue!$E$4:$E$454=(RIA!$D$5+0)))*ROW(Catalogue!$C$4:$C$454))-3),""),IF(IFERROR(INDEX(Supports!$G$4:$G$23,MATCH(RIA!$D$10,Supports!$B$4:$B$23,0)),"")="COLLIER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tube)",IFERROR(INDEX(Catalogue!$B$4:$B$454,SUMPRODUCT(((Catalogue!$C$4:$C$454="COLLIERINDUS")*(Catalogue!$E$4:$E$454=(RIA!$D$5+0)))*ROW(Catalogue!$C$4:$C$454))-3),""),IF(IFERROR(INDEX(Supports!$G$4:$G$23,MATCH(RIA!$D$10,Supports!$B$4:$B$23,0)),"")="COLLIER POIRE (DN automatique = DN du tube)",IFERROR(INDEX(Catalogue!$B$4:$B$454,SUMPRODUCT(((Catalogue!$C$4:$C$454="COLLIERPOIRE")*(Catalogue!$E$4:$E$454=(RIA!$D$5+0)))*ROW(Catalogue!$C$4:$C$454))-3),""),IFERROR(INDEX(Supports!$G$4:$G$23,MATCH(RIA!$D$10,Supports!$B$4:$B$23,0)),"")))))</f>
        <v/>
      </c>
      <c r="D8" s="76" t="str">
        <f>IF((IFERROR(INDEX(Supports!$G$4:$G$23,MATCH(RIA!$D$10,Supports!$B$4:$B$23,0)),""))="","",(IFERROR(INDEX(Supports!$H$4:$H$23,MATCH(RIA!$D$10,Supports!$B$4:$B$23,0)),0))*RIA!$D$11)</f>
        <v/>
      </c>
      <c r="E8" s="76" t="s">
        <v>1036</v>
      </c>
      <c r="F8" s="76" t="str">
        <f t="shared" si="0"/>
        <v/>
      </c>
      <c r="G8" s="76">
        <f>IF(AND(B8&lt;&gt;"",B8&lt;&gt;"Non trouvé - vérifier",D8&lt;&gt;"",D8&lt;&gt;0),IF(COUNTIF($B$2:B8,B8)=1,1,0),0)</f>
        <v>0</v>
      </c>
    </row>
    <row r="9" spans="1:7" x14ac:dyDescent="0.25">
      <c r="A9" s="76" t="s">
        <v>1106</v>
      </c>
      <c r="B9" s="76" t="str">
        <f>IF((IFERROR(INDEX(Supports!$I$4:$I$23,MATCH(RIA!$D$10,Supports!$B$4:$B$23,0)),""))="","",IF(IFERROR(INDEX(Supports!$I$4:$I$23,MATCH(RIA!$D$10,Supports!$B$4:$B$23,0)),"")="ETRIER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vérifier"),IF(IFERROR(INDEX(Supports!$I$4:$I$23,MATCH(RIA!$D$10,Supports!$B$4:$B$23,0)),"")="COLLIER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vérifier"),IF(IFERROR(INDEX(Supports!$I$4:$I$23,MATCH(RIA!$D$10,Supports!$B$4:$B$23,0)),"")="COLLIER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vérifier"),IFERROR(INDEX(Catalogue!$A$4:$A$454,MATCH(IFERROR(INDEX(Supports!$I$4:$I$23,MATCH(RIA!$D$10,Supports!$B$4:$B$23,0)),""),Catalogue!$B$4:$B$454,0)),"")))))</f>
        <v/>
      </c>
      <c r="C9" s="76" t="str">
        <f>IF((IFERROR(INDEX(Supports!$I$4:$I$23,MATCH(RIA!$D$10,Supports!$B$4:$B$23,0)),""))="","",IF(IFERROR(INDEX(Supports!$I$4:$I$23,MATCH(RIA!$D$10,Supports!$B$4:$B$23,0)),"")="ETRIER RALLONGE (DN automatique = DN du tube)",IFERROR(INDEX(Catalogue!$B$4:$B$454,SUMPRODUCT(((Catalogue!$C$4:$C$454="ETRIER")*(Catalogue!$E$4:$E$454=(RIA!$D$5+0)))*ROW(Catalogue!$C$4:$C$454))-3),""),IF(IFERROR(INDEX(Supports!$I$4:$I$23,MATCH(RIA!$D$10,Supports!$B$4:$B$23,0)),"")="COLLIER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tube)",IFERROR(INDEX(Catalogue!$B$4:$B$454,SUMPRODUCT(((Catalogue!$C$4:$C$454="COLLIERINDUS")*(Catalogue!$E$4:$E$454=(RIA!$D$5+0)))*ROW(Catalogue!$C$4:$C$454))-3),""),IF(IFERROR(INDEX(Supports!$I$4:$I$23,MATCH(RIA!$D$10,Supports!$B$4:$B$23,0)),"")="COLLIER POIRE (DN automatique = DN du tube)",IFERROR(INDEX(Catalogue!$B$4:$B$454,SUMPRODUCT(((Catalogue!$C$4:$C$454="COLLIERPOIRE")*(Catalogue!$E$4:$E$454=(RIA!$D$5+0)))*ROW(Catalogue!$C$4:$C$454))-3),""),IFERROR(INDEX(Supports!$I$4:$I$23,MATCH(RIA!$D$10,Supports!$B$4:$B$23,0)),"")))))</f>
        <v/>
      </c>
      <c r="D9" s="76" t="str">
        <f>IF((IFERROR(INDEX(Supports!$I$4:$I$23,MATCH(RIA!$D$10,Supports!$B$4:$B$23,0)),""))="","",(IFERROR(INDEX(Supports!$J$4:$J$23,MATCH(RIA!$D$10,Supports!$B$4:$B$23,0)),0))*RIA!$D$11)</f>
        <v/>
      </c>
      <c r="E9" s="76" t="s">
        <v>1036</v>
      </c>
      <c r="F9" s="76" t="str">
        <f t="shared" si="0"/>
        <v/>
      </c>
      <c r="G9" s="76">
        <f>IF(AND(B9&lt;&gt;"",B9&lt;&gt;"Non trouvé - vérifier",D9&lt;&gt;"",D9&lt;&gt;0),IF(COUNTIF($B$2:B9,B9)=1,1,0),0)</f>
        <v>0</v>
      </c>
    </row>
    <row r="10" spans="1:7" x14ac:dyDescent="0.25">
      <c r="A10" s="76" t="s">
        <v>1106</v>
      </c>
      <c r="B10" s="76" t="str">
        <f>IF((IFERROR(INDEX(Supports!$K$4:$K$23,MATCH(RIA!$D$10,Supports!$B$4:$B$23,0)),""))="","",IF(IFERROR(INDEX(Supports!$K$4:$K$23,MATCH(RIA!$D$10,Supports!$B$4:$B$23,0)),"")="ETRIER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vérifier"),IF(IFERROR(INDEX(Supports!$K$4:$K$23,MATCH(RIA!$D$10,Supports!$B$4:$B$23,0)),"")="COLLIER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vérifier"),IF(IFERROR(INDEX(Supports!$K$4:$K$23,MATCH(RIA!$D$10,Supports!$B$4:$B$23,0)),"")="COLLIER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vérifier"),IFERROR(INDEX(Catalogue!$A$4:$A$454,MATCH(IFERROR(INDEX(Supports!$K$4:$K$23,MATCH(RIA!$D$10,Supports!$B$4:$B$23,0)),""),Catalogue!$B$4:$B$454,0)),"")))))</f>
        <v/>
      </c>
      <c r="C10" s="76" t="str">
        <f>IF((IFERROR(INDEX(Supports!$K$4:$K$23,MATCH(RIA!$D$10,Supports!$B$4:$B$23,0)),""))="","",IF(IFERROR(INDEX(Supports!$K$4:$K$23,MATCH(RIA!$D$10,Supports!$B$4:$B$23,0)),"")="ETRIER RALLONGE (DN automatique = DN du tube)",IFERROR(INDEX(Catalogue!$B$4:$B$454,SUMPRODUCT(((Catalogue!$C$4:$C$454="ETRIER")*(Catalogue!$E$4:$E$454=(RIA!$D$5+0)))*ROW(Catalogue!$C$4:$C$454))-3),""),IF(IFERROR(INDEX(Supports!$K$4:$K$23,MATCH(RIA!$D$10,Supports!$B$4:$B$23,0)),"")="COLLIER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tube)",IFERROR(INDEX(Catalogue!$B$4:$B$454,SUMPRODUCT(((Catalogue!$C$4:$C$454="COLLIERINDUS")*(Catalogue!$E$4:$E$454=(RIA!$D$5+0)))*ROW(Catalogue!$C$4:$C$454))-3),""),IF(IFERROR(INDEX(Supports!$K$4:$K$23,MATCH(RIA!$D$10,Supports!$B$4:$B$23,0)),"")="COLLIER POIRE (DN automatique = DN du tube)",IFERROR(INDEX(Catalogue!$B$4:$B$454,SUMPRODUCT(((Catalogue!$C$4:$C$454="COLLIERPOIRE")*(Catalogue!$E$4:$E$454=(RIA!$D$5+0)))*ROW(Catalogue!$C$4:$C$454))-3),""),IFERROR(INDEX(Supports!$K$4:$K$23,MATCH(RIA!$D$10,Supports!$B$4:$B$23,0)),"")))))</f>
        <v/>
      </c>
      <c r="D10" s="76" t="str">
        <f>IF((IFERROR(INDEX(Supports!$K$4:$K$23,MATCH(RIA!$D$10,Supports!$B$4:$B$23,0)),""))="","",(IFERROR(INDEX(Supports!$L$4:$L$23,MATCH(RIA!$D$10,Supports!$B$4:$B$23,0)),0))*RIA!$D$11)</f>
        <v/>
      </c>
      <c r="E10" s="76" t="s">
        <v>1036</v>
      </c>
      <c r="F10" s="76" t="str">
        <f t="shared" si="0"/>
        <v/>
      </c>
      <c r="G10" s="76">
        <f>IF(AND(B10&lt;&gt;"",B10&lt;&gt;"Non trouvé - vérifier",D10&lt;&gt;"",D10&lt;&gt;0),IF(COUNTIF($B$2:B10,B10)=1,1,0),0)</f>
        <v>0</v>
      </c>
    </row>
    <row r="11" spans="1:7" x14ac:dyDescent="0.25">
      <c r="A11" s="76" t="s">
        <v>1106</v>
      </c>
      <c r="B11" s="76" t="str">
        <f>IF((IFERROR(INDEX(Supports!$M$4:$M$23,MATCH(RIA!$D$10,Supports!$B$4:$B$23,0)),""))="","",IF(IFERROR(INDEX(Supports!$M$4:$M$23,MATCH(RIA!$D$10,Supports!$B$4:$B$23,0)),"")="ETRIER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vérifier"),IF(IFERROR(INDEX(Supports!$M$4:$M$23,MATCH(RIA!$D$10,Supports!$B$4:$B$23,0)),"")="COLLIER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vérifier"),IF(IFERROR(INDEX(Supports!$M$4:$M$23,MATCH(RIA!$D$10,Supports!$B$4:$B$23,0)),"")="COLLIER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vérifier"),IFERROR(INDEX(Catalogue!$A$4:$A$454,MATCH(IFERROR(INDEX(Supports!$M$4:$M$23,MATCH(RIA!$D$10,Supports!$B$4:$B$23,0)),""),Catalogue!$B$4:$B$454,0)),"")))))</f>
        <v/>
      </c>
      <c r="C11" s="76" t="str">
        <f>IF((IFERROR(INDEX(Supports!$M$4:$M$23,MATCH(RIA!$D$10,Supports!$B$4:$B$23,0)),""))="","",IF(IFERROR(INDEX(Supports!$M$4:$M$23,MATCH(RIA!$D$10,Supports!$B$4:$B$23,0)),"")="ETRIER RALLONGE (DN automatique = DN du tube)",IFERROR(INDEX(Catalogue!$B$4:$B$454,SUMPRODUCT(((Catalogue!$C$4:$C$454="ETRIER")*(Catalogue!$E$4:$E$454=(RIA!$D$5+0)))*ROW(Catalogue!$C$4:$C$454))-3),""),IF(IFERROR(INDEX(Supports!$M$4:$M$23,MATCH(RIA!$D$10,Supports!$B$4:$B$23,0)),"")="COLLIER INDUSTRIEL (DN automatique = DN du tube)",IFERROR(INDEX(Catalogue!$B$4:$B$454,SUMPRODUCT(((Catalogue!$C$4:$C$454="COLLIERINDUS")*(Catalogue!$E$4:$E$454=(RIA!$D$5+0)))*ROW(Catalogue!$C$4:$C$454))-3),""),IF(IFERROR(INDEX(Supports!$M$4:$M$23,MATCH(RIA!$D$10,Supports!$B$4:$B$23,0)),"")="COLLIER POIRE (DN automatique = DN du tube)",IFERROR(INDEX(Catalogue!$B$4:$B$454,SUMPRODUCT(((Catalogue!$C$4:$C$454="COLLIERPOIRE")*(Catalogue!$E$4:$E$454=(RIA!$D$5+0)))*ROW(Catalogue!$C$4:$C$454))-3),""),IFERROR(INDEX(Supports!$M$4:$M$23,MATCH(RIA!$D$10,Supports!$B$4:$B$23,0)),"")))))</f>
        <v/>
      </c>
      <c r="D11" s="76" t="str">
        <f>IF((IFERROR(INDEX(Supports!$M$4:$M$23,MATCH(RIA!$D$10,Supports!$B$4:$B$23,0)),""))="","",(IFERROR(INDEX(Supports!$N$4:$N$23,MATCH(RIA!$D$10,Supports!$B$4:$B$23,0)),0))*RIA!$D$11)</f>
        <v/>
      </c>
      <c r="E11" s="76" t="s">
        <v>1036</v>
      </c>
      <c r="F11" s="76" t="str">
        <f t="shared" si="0"/>
        <v/>
      </c>
      <c r="G11" s="76">
        <f>IF(AND(B11&lt;&gt;"",B11&lt;&gt;"Non trouvé - vérifier",D11&lt;&gt;"",D11&lt;&gt;0),IF(COUNTIF($B$2:B11,B11)=1,1,0),0)</f>
        <v>0</v>
      </c>
    </row>
    <row r="12" spans="1:7" x14ac:dyDescent="0.25">
      <c r="A12" s="76" t="s">
        <v>1107</v>
      </c>
      <c r="B12" s="76" t="str">
        <f>IF((IFERROR(INDEX(Supports!$C$4:$C$23,MATCH(RIA!$D$12,Supports!$B$4:$B$23,0)),""))="","",IF(IFERROR(INDEX(Supports!$C$4:$C$23,MATCH(RIA!$D$12,Supports!$B$4:$B$23,0)),"")="ETRIER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vérifier"),IF(IFERROR(INDEX(Supports!$C$4:$C$23,MATCH(RIA!$D$12,Supports!$B$4:$B$23,0)),"")="COLLIER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vérifier"),IF(IFERROR(INDEX(Supports!$C$4:$C$23,MATCH(RIA!$D$12,Supports!$B$4:$B$23,0)),"")="COLLIER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vérifier"),IFERROR(INDEX(Catalogue!$A$4:$A$454,MATCH(IFERROR(INDEX(Supports!$C$4:$C$23,MATCH(RIA!$D$12,Supports!$B$4:$B$23,0)),""),Catalogue!$B$4:$B$454,0)),"")))))</f>
        <v/>
      </c>
      <c r="C12" s="76" t="str">
        <f>IF((IFERROR(INDEX(Supports!$C$4:$C$23,MATCH(RIA!$D$12,Supports!$B$4:$B$23,0)),""))="","",IF(IFERROR(INDEX(Supports!$C$4:$C$23,MATCH(RIA!$D$12,Supports!$B$4:$B$23,0)),"")="ETRIER RALLONGE (DN automatique = DN du tube)",IFERROR(INDEX(Catalogue!$B$4:$B$454,SUMPRODUCT(((Catalogue!$C$4:$C$454="ETRIER")*(Catalogue!$E$4:$E$454=(RIA!$D$5+0)))*ROW(Catalogue!$C$4:$C$454))-3),""),IF(IFERROR(INDEX(Supports!$C$4:$C$23,MATCH(RIA!$D$12,Supports!$B$4:$B$23,0)),"")="COLLIER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tube)",IFERROR(INDEX(Catalogue!$B$4:$B$454,SUMPRODUCT(((Catalogue!$C$4:$C$454="COLLIERINDUS")*(Catalogue!$E$4:$E$454=(RIA!$D$5+0)))*ROW(Catalogue!$C$4:$C$454))-3),""),IF(IFERROR(INDEX(Supports!$C$4:$C$23,MATCH(RIA!$D$12,Supports!$B$4:$B$23,0)),"")="COLLIER POIRE (DN automatique = DN du tube)",IFERROR(INDEX(Catalogue!$B$4:$B$454,SUMPRODUCT(((Catalogue!$C$4:$C$454="COLLIERPOIRE")*(Catalogue!$E$4:$E$454=(RIA!$D$5+0)))*ROW(Catalogue!$C$4:$C$454))-3),""),IFERROR(INDEX(Supports!$C$4:$C$23,MATCH(RIA!$D$12,Supports!$B$4:$B$23,0)),"")))))</f>
        <v/>
      </c>
      <c r="D12" s="76" t="str">
        <f>IF((IFERROR(INDEX(Supports!$C$4:$C$23,MATCH(RIA!$D$12,Supports!$B$4:$B$23,0)),""))="","",(IFERROR(INDEX(Supports!$D$4:$D$23,MATCH(RIA!$D$12,Supports!$B$4:$B$23,0)),0))*RIA!$D$13)</f>
        <v/>
      </c>
      <c r="E12" s="76" t="s">
        <v>1036</v>
      </c>
      <c r="F12" s="76" t="str">
        <f t="shared" si="0"/>
        <v/>
      </c>
      <c r="G12" s="76">
        <f>IF(AND(B12&lt;&gt;"",B12&lt;&gt;"Non trouvé - vérifier",D12&lt;&gt;"",D12&lt;&gt;0),IF(COUNTIF($B$2:B12,B12)=1,1,0),0)</f>
        <v>0</v>
      </c>
    </row>
    <row r="13" spans="1:7" x14ac:dyDescent="0.25">
      <c r="A13" s="76" t="s">
        <v>1107</v>
      </c>
      <c r="B13" s="76" t="str">
        <f>IF((IFERROR(INDEX(Supports!$E$4:$E$23,MATCH(RIA!$D$12,Supports!$B$4:$B$23,0)),""))="","",IF(IFERROR(INDEX(Supports!$E$4:$E$23,MATCH(RIA!$D$12,Supports!$B$4:$B$23,0)),"")="ETRIER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vérifier"),IF(IFERROR(INDEX(Supports!$E$4:$E$23,MATCH(RIA!$D$12,Supports!$B$4:$B$23,0)),"")="COLLIER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vérifier"),IF(IFERROR(INDEX(Supports!$E$4:$E$23,MATCH(RIA!$D$12,Supports!$B$4:$B$23,0)),"")="COLLIER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vérifier"),IFERROR(INDEX(Catalogue!$A$4:$A$454,MATCH(IFERROR(INDEX(Supports!$E$4:$E$23,MATCH(RIA!$D$12,Supports!$B$4:$B$23,0)),""),Catalogue!$B$4:$B$454,0)),"")))))</f>
        <v/>
      </c>
      <c r="C13" s="76" t="str">
        <f>IF((IFERROR(INDEX(Supports!$E$4:$E$23,MATCH(RIA!$D$12,Supports!$B$4:$B$23,0)),""))="","",IF(IFERROR(INDEX(Supports!$E$4:$E$23,MATCH(RIA!$D$12,Supports!$B$4:$B$23,0)),"")="ETRIER RALLONGE (DN automatique = DN du tube)",IFERROR(INDEX(Catalogue!$B$4:$B$454,SUMPRODUCT(((Catalogue!$C$4:$C$454="ETRIER")*(Catalogue!$E$4:$E$454=(RIA!$D$5+0)))*ROW(Catalogue!$C$4:$C$454))-3),""),IF(IFERROR(INDEX(Supports!$E$4:$E$23,MATCH(RIA!$D$12,Supports!$B$4:$B$23,0)),"")="COLLIER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tube)",IFERROR(INDEX(Catalogue!$B$4:$B$454,SUMPRODUCT(((Catalogue!$C$4:$C$454="COLLIERINDUS")*(Catalogue!$E$4:$E$454=(RIA!$D$5+0)))*ROW(Catalogue!$C$4:$C$454))-3),""),IF(IFERROR(INDEX(Supports!$E$4:$E$23,MATCH(RIA!$D$12,Supports!$B$4:$B$23,0)),"")="COLLIER POIRE (DN automatique = DN du tube)",IFERROR(INDEX(Catalogue!$B$4:$B$454,SUMPRODUCT(((Catalogue!$C$4:$C$454="COLLIERPOIRE")*(Catalogue!$E$4:$E$454=(RIA!$D$5+0)))*ROW(Catalogue!$C$4:$C$454))-3),""),IFERROR(INDEX(Supports!$E$4:$E$23,MATCH(RIA!$D$12,Supports!$B$4:$B$23,0)),"")))))</f>
        <v/>
      </c>
      <c r="D13" s="76" t="str">
        <f>IF((IFERROR(INDEX(Supports!$E$4:$E$23,MATCH(RIA!$D$12,Supports!$B$4:$B$23,0)),""))="","",(IFERROR(INDEX(Supports!$F$4:$F$23,MATCH(RIA!$D$12,Supports!$B$4:$B$23,0)),0))*RIA!$D$13)</f>
        <v/>
      </c>
      <c r="E13" s="76" t="s">
        <v>1036</v>
      </c>
      <c r="F13" s="76" t="str">
        <f t="shared" si="0"/>
        <v/>
      </c>
      <c r="G13" s="76">
        <f>IF(AND(B13&lt;&gt;"",B13&lt;&gt;"Non trouvé - vérifier",D13&lt;&gt;"",D13&lt;&gt;0),IF(COUNTIF($B$2:B13,B13)=1,1,0),0)</f>
        <v>0</v>
      </c>
    </row>
    <row r="14" spans="1:7" x14ac:dyDescent="0.25">
      <c r="A14" s="76" t="s">
        <v>1107</v>
      </c>
      <c r="B14" s="76" t="str">
        <f>IF((IFERROR(INDEX(Supports!$G$4:$G$23,MATCH(RIA!$D$12,Supports!$B$4:$B$23,0)),""))="","",IF(IFERROR(INDEX(Supports!$G$4:$G$23,MATCH(RIA!$D$12,Supports!$B$4:$B$23,0)),"")="ETRIER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vérifier"),IF(IFERROR(INDEX(Supports!$G$4:$G$23,MATCH(RIA!$D$12,Supports!$B$4:$B$23,0)),"")="COLLIER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vérifier"),IF(IFERROR(INDEX(Supports!$G$4:$G$23,MATCH(RIA!$D$12,Supports!$B$4:$B$23,0)),"")="COLLIER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vérifier"),IFERROR(INDEX(Catalogue!$A$4:$A$454,MATCH(IFERROR(INDEX(Supports!$G$4:$G$23,MATCH(RIA!$D$12,Supports!$B$4:$B$23,0)),""),Catalogue!$B$4:$B$454,0)),"")))))</f>
        <v/>
      </c>
      <c r="C14" s="76" t="str">
        <f>IF((IFERROR(INDEX(Supports!$G$4:$G$23,MATCH(RIA!$D$12,Supports!$B$4:$B$23,0)),""))="","",IF(IFERROR(INDEX(Supports!$G$4:$G$23,MATCH(RIA!$D$12,Supports!$B$4:$B$23,0)),"")="ETRIER RALLONGE (DN automatique = DN du tube)",IFERROR(INDEX(Catalogue!$B$4:$B$454,SUMPRODUCT(((Catalogue!$C$4:$C$454="ETRIER")*(Catalogue!$E$4:$E$454=(RIA!$D$5+0)))*ROW(Catalogue!$C$4:$C$454))-3),""),IF(IFERROR(INDEX(Supports!$G$4:$G$23,MATCH(RIA!$D$12,Supports!$B$4:$B$23,0)),"")="COLLIER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tube)",IFERROR(INDEX(Catalogue!$B$4:$B$454,SUMPRODUCT(((Catalogue!$C$4:$C$454="COLLIERINDUS")*(Catalogue!$E$4:$E$454=(RIA!$D$5+0)))*ROW(Catalogue!$C$4:$C$454))-3),""),IF(IFERROR(INDEX(Supports!$G$4:$G$23,MATCH(RIA!$D$12,Supports!$B$4:$B$23,0)),"")="COLLIER POIRE (DN automatique = DN du tube)",IFERROR(INDEX(Catalogue!$B$4:$B$454,SUMPRODUCT(((Catalogue!$C$4:$C$454="COLLIERPOIRE")*(Catalogue!$E$4:$E$454=(RIA!$D$5+0)))*ROW(Catalogue!$C$4:$C$454))-3),""),IFERROR(INDEX(Supports!$G$4:$G$23,MATCH(RIA!$D$12,Supports!$B$4:$B$23,0)),"")))))</f>
        <v/>
      </c>
      <c r="D14" s="76" t="str">
        <f>IF((IFERROR(INDEX(Supports!$G$4:$G$23,MATCH(RIA!$D$12,Supports!$B$4:$B$23,0)),""))="","",(IFERROR(INDEX(Supports!$H$4:$H$23,MATCH(RIA!$D$12,Supports!$B$4:$B$23,0)),0))*RIA!$D$13)</f>
        <v/>
      </c>
      <c r="E14" s="76" t="s">
        <v>1036</v>
      </c>
      <c r="F14" s="76" t="str">
        <f t="shared" si="0"/>
        <v/>
      </c>
      <c r="G14" s="76">
        <f>IF(AND(B14&lt;&gt;"",B14&lt;&gt;"Non trouvé - vérifier",D14&lt;&gt;"",D14&lt;&gt;0),IF(COUNTIF($B$2:B14,B14)=1,1,0),0)</f>
        <v>0</v>
      </c>
    </row>
    <row r="15" spans="1:7" x14ac:dyDescent="0.25">
      <c r="A15" s="76" t="s">
        <v>1107</v>
      </c>
      <c r="B15" s="76" t="str">
        <f>IF((IFERROR(INDEX(Supports!$I$4:$I$23,MATCH(RIA!$D$12,Supports!$B$4:$B$23,0)),""))="","",IF(IFERROR(INDEX(Supports!$I$4:$I$23,MATCH(RIA!$D$12,Supports!$B$4:$B$23,0)),"")="ETRIER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vérifier"),IF(IFERROR(INDEX(Supports!$I$4:$I$23,MATCH(RIA!$D$12,Supports!$B$4:$B$23,0)),"")="COLLIER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vérifier"),IF(IFERROR(INDEX(Supports!$I$4:$I$23,MATCH(RIA!$D$12,Supports!$B$4:$B$23,0)),"")="COLLIER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vérifier"),IFERROR(INDEX(Catalogue!$A$4:$A$454,MATCH(IFERROR(INDEX(Supports!$I$4:$I$23,MATCH(RIA!$D$12,Supports!$B$4:$B$23,0)),""),Catalogue!$B$4:$B$454,0)),"")))))</f>
        <v/>
      </c>
      <c r="C15" s="76" t="str">
        <f>IF((IFERROR(INDEX(Supports!$I$4:$I$23,MATCH(RIA!$D$12,Supports!$B$4:$B$23,0)),""))="","",IF(IFERROR(INDEX(Supports!$I$4:$I$23,MATCH(RIA!$D$12,Supports!$B$4:$B$23,0)),"")="ETRIER RALLONGE (DN automatique = DN du tube)",IFERROR(INDEX(Catalogue!$B$4:$B$454,SUMPRODUCT(((Catalogue!$C$4:$C$454="ETRIER")*(Catalogue!$E$4:$E$454=(RIA!$D$5+0)))*ROW(Catalogue!$C$4:$C$454))-3),""),IF(IFERROR(INDEX(Supports!$I$4:$I$23,MATCH(RIA!$D$12,Supports!$B$4:$B$23,0)),"")="COLLIER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tube)",IFERROR(INDEX(Catalogue!$B$4:$B$454,SUMPRODUCT(((Catalogue!$C$4:$C$454="COLLIERINDUS")*(Catalogue!$E$4:$E$454=(RIA!$D$5+0)))*ROW(Catalogue!$C$4:$C$454))-3),""),IF(IFERROR(INDEX(Supports!$I$4:$I$23,MATCH(RIA!$D$12,Supports!$B$4:$B$23,0)),"")="COLLIER POIRE (DN automatique = DN du tube)",IFERROR(INDEX(Catalogue!$B$4:$B$454,SUMPRODUCT(((Catalogue!$C$4:$C$454="COLLIERPOIRE")*(Catalogue!$E$4:$E$454=(RIA!$D$5+0)))*ROW(Catalogue!$C$4:$C$454))-3),""),IFERROR(INDEX(Supports!$I$4:$I$23,MATCH(RIA!$D$12,Supports!$B$4:$B$23,0)),"")))))</f>
        <v/>
      </c>
      <c r="D15" s="76" t="str">
        <f>IF((IFERROR(INDEX(Supports!$I$4:$I$23,MATCH(RIA!$D$12,Supports!$B$4:$B$23,0)),""))="","",(IFERROR(INDEX(Supports!$J$4:$J$23,MATCH(RIA!$D$12,Supports!$B$4:$B$23,0)),0))*RIA!$D$13)</f>
        <v/>
      </c>
      <c r="E15" s="76" t="s">
        <v>1036</v>
      </c>
      <c r="F15" s="76" t="str">
        <f t="shared" si="0"/>
        <v/>
      </c>
      <c r="G15" s="76">
        <f>IF(AND(B15&lt;&gt;"",B15&lt;&gt;"Non trouvé - vérifier",D15&lt;&gt;"",D15&lt;&gt;0),IF(COUNTIF($B$2:B15,B15)=1,1,0),0)</f>
        <v>0</v>
      </c>
    </row>
    <row r="16" spans="1:7" x14ac:dyDescent="0.25">
      <c r="A16" s="76" t="s">
        <v>1107</v>
      </c>
      <c r="B16" s="76" t="str">
        <f>IF((IFERROR(INDEX(Supports!$K$4:$K$23,MATCH(RIA!$D$12,Supports!$B$4:$B$23,0)),""))="","",IF(IFERROR(INDEX(Supports!$K$4:$K$23,MATCH(RIA!$D$12,Supports!$B$4:$B$23,0)),"")="ETRIER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vérifier"),IF(IFERROR(INDEX(Supports!$K$4:$K$23,MATCH(RIA!$D$12,Supports!$B$4:$B$23,0)),"")="COLLIER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vérifier"),IF(IFERROR(INDEX(Supports!$K$4:$K$23,MATCH(RIA!$D$12,Supports!$B$4:$B$23,0)),"")="COLLIER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vérifier"),IFERROR(INDEX(Catalogue!$A$4:$A$454,MATCH(IFERROR(INDEX(Supports!$K$4:$K$23,MATCH(RIA!$D$12,Supports!$B$4:$B$23,0)),""),Catalogue!$B$4:$B$454,0)),"")))))</f>
        <v/>
      </c>
      <c r="C16" s="76" t="str">
        <f>IF((IFERROR(INDEX(Supports!$K$4:$K$23,MATCH(RIA!$D$12,Supports!$B$4:$B$23,0)),""))="","",IF(IFERROR(INDEX(Supports!$K$4:$K$23,MATCH(RIA!$D$12,Supports!$B$4:$B$23,0)),"")="ETRIER RALLONGE (DN automatique = DN du tube)",IFERROR(INDEX(Catalogue!$B$4:$B$454,SUMPRODUCT(((Catalogue!$C$4:$C$454="ETRIER")*(Catalogue!$E$4:$E$454=(RIA!$D$5+0)))*ROW(Catalogue!$C$4:$C$454))-3),""),IF(IFERROR(INDEX(Supports!$K$4:$K$23,MATCH(RIA!$D$12,Supports!$B$4:$B$23,0)),"")="COLLIER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tube)",IFERROR(INDEX(Catalogue!$B$4:$B$454,SUMPRODUCT(((Catalogue!$C$4:$C$454="COLLIERINDUS")*(Catalogue!$E$4:$E$454=(RIA!$D$5+0)))*ROW(Catalogue!$C$4:$C$454))-3),""),IF(IFERROR(INDEX(Supports!$K$4:$K$23,MATCH(RIA!$D$12,Supports!$B$4:$B$23,0)),"")="COLLIER POIRE (DN automatique = DN du tube)",IFERROR(INDEX(Catalogue!$B$4:$B$454,SUMPRODUCT(((Catalogue!$C$4:$C$454="COLLIERPOIRE")*(Catalogue!$E$4:$E$454=(RIA!$D$5+0)))*ROW(Catalogue!$C$4:$C$454))-3),""),IFERROR(INDEX(Supports!$K$4:$K$23,MATCH(RIA!$D$12,Supports!$B$4:$B$23,0)),"")))))</f>
        <v/>
      </c>
      <c r="D16" s="76" t="str">
        <f>IF((IFERROR(INDEX(Supports!$K$4:$K$23,MATCH(RIA!$D$12,Supports!$B$4:$B$23,0)),""))="","",(IFERROR(INDEX(Supports!$L$4:$L$23,MATCH(RIA!$D$12,Supports!$B$4:$B$23,0)),0))*RIA!$D$13)</f>
        <v/>
      </c>
      <c r="E16" s="76" t="s">
        <v>1036</v>
      </c>
      <c r="F16" s="76" t="str">
        <f t="shared" si="0"/>
        <v/>
      </c>
      <c r="G16" s="76">
        <f>IF(AND(B16&lt;&gt;"",B16&lt;&gt;"Non trouvé - vérifier",D16&lt;&gt;"",D16&lt;&gt;0),IF(COUNTIF($B$2:B16,B16)=1,1,0),0)</f>
        <v>0</v>
      </c>
    </row>
    <row r="17" spans="1:7" x14ac:dyDescent="0.25">
      <c r="A17" s="76" t="s">
        <v>1107</v>
      </c>
      <c r="B17" s="76" t="str">
        <f>IF((IFERROR(INDEX(Supports!$M$4:$M$23,MATCH(RIA!$D$12,Supports!$B$4:$B$23,0)),""))="","",IF(IFERROR(INDEX(Supports!$M$4:$M$23,MATCH(RIA!$D$12,Supports!$B$4:$B$23,0)),"")="ETRIER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vérifier"),IF(IFERROR(INDEX(Supports!$M$4:$M$23,MATCH(RIA!$D$12,Supports!$B$4:$B$23,0)),"")="COLLIER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vérifier"),IF(IFERROR(INDEX(Supports!$M$4:$M$23,MATCH(RIA!$D$12,Supports!$B$4:$B$23,0)),"")="COLLIER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vérifier"),IFERROR(INDEX(Catalogue!$A$4:$A$454,MATCH(IFERROR(INDEX(Supports!$M$4:$M$23,MATCH(RIA!$D$12,Supports!$B$4:$B$23,0)),""),Catalogue!$B$4:$B$454,0)),"")))))</f>
        <v/>
      </c>
      <c r="C17" s="76" t="str">
        <f>IF((IFERROR(INDEX(Supports!$M$4:$M$23,MATCH(RIA!$D$12,Supports!$B$4:$B$23,0)),""))="","",IF(IFERROR(INDEX(Supports!$M$4:$M$23,MATCH(RIA!$D$12,Supports!$B$4:$B$23,0)),"")="ETRIER RALLONGE (DN automatique = DN du tube)",IFERROR(INDEX(Catalogue!$B$4:$B$454,SUMPRODUCT(((Catalogue!$C$4:$C$454="ETRIER")*(Catalogue!$E$4:$E$454=(RIA!$D$5+0)))*ROW(Catalogue!$C$4:$C$454))-3),""),IF(IFERROR(INDEX(Supports!$M$4:$M$23,MATCH(RIA!$D$12,Supports!$B$4:$B$23,0)),"")="COLLIER INDUSTRIEL (DN automatique = DN du tube)",IFERROR(INDEX(Catalogue!$B$4:$B$454,SUMPRODUCT(((Catalogue!$C$4:$C$454="COLLIERINDUS")*(Catalogue!$E$4:$E$454=(RIA!$D$5+0)))*ROW(Catalogue!$C$4:$C$454))-3),""),IF(IFERROR(INDEX(Supports!$M$4:$M$23,MATCH(RIA!$D$12,Supports!$B$4:$B$23,0)),"")="COLLIER POIRE (DN automatique = DN du tube)",IFERROR(INDEX(Catalogue!$B$4:$B$454,SUMPRODUCT(((Catalogue!$C$4:$C$454="COLLIERPOIRE")*(Catalogue!$E$4:$E$454=(RIA!$D$5+0)))*ROW(Catalogue!$C$4:$C$454))-3),""),IFERROR(INDEX(Supports!$M$4:$M$23,MATCH(RIA!$D$12,Supports!$B$4:$B$23,0)),"")))))</f>
        <v/>
      </c>
      <c r="D17" s="76" t="str">
        <f>IF((IFERROR(INDEX(Supports!$M$4:$M$23,MATCH(RIA!$D$12,Supports!$B$4:$B$23,0)),""))="","",(IFERROR(INDEX(Supports!$N$4:$N$23,MATCH(RIA!$D$12,Supports!$B$4:$B$23,0)),0))*RIA!$D$13)</f>
        <v/>
      </c>
      <c r="E17" s="76" t="s">
        <v>1036</v>
      </c>
      <c r="F17" s="76" t="str">
        <f t="shared" si="0"/>
        <v/>
      </c>
      <c r="G17" s="76">
        <f>IF(AND(B17&lt;&gt;"",B17&lt;&gt;"Non trouvé - vérifier",D17&lt;&gt;"",D17&lt;&gt;0),IF(COUNTIF($B$2:B17,B17)=1,1,0),0)</f>
        <v>0</v>
      </c>
    </row>
    <row r="18" spans="1:7" x14ac:dyDescent="0.25">
      <c r="A18" s="76" t="s">
        <v>1108</v>
      </c>
      <c r="B18" s="76" t="str">
        <f>IF((IFERROR(INDEX(Supports!$C$4:$C$23,MATCH(RIA!$D$14,Supports!$B$4:$B$23,0)),""))="","",IF(IFERROR(INDEX(Supports!$C$4:$C$23,MATCH(RIA!$D$14,Supports!$B$4:$B$23,0)),"")="ETRIER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vérifier"),IF(IFERROR(INDEX(Supports!$C$4:$C$23,MATCH(RIA!$D$14,Supports!$B$4:$B$23,0)),"")="COLLIER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vérifier"),IF(IFERROR(INDEX(Supports!$C$4:$C$23,MATCH(RIA!$D$14,Supports!$B$4:$B$23,0)),"")="COLLIER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vérifier"),IFERROR(INDEX(Catalogue!$A$4:$A$454,MATCH(IFERROR(INDEX(Supports!$C$4:$C$23,MATCH(RIA!$D$14,Supports!$B$4:$B$23,0)),""),Catalogue!$B$4:$B$454,0)),"")))))</f>
        <v/>
      </c>
      <c r="C18" s="76" t="str">
        <f>IF((IFERROR(INDEX(Supports!$C$4:$C$23,MATCH(RIA!$D$14,Supports!$B$4:$B$23,0)),""))="","",IF(IFERROR(INDEX(Supports!$C$4:$C$23,MATCH(RIA!$D$14,Supports!$B$4:$B$23,0)),"")="ETRIER RALLONGE (DN automatique = DN du tube)",IFERROR(INDEX(Catalogue!$B$4:$B$454,SUMPRODUCT(((Catalogue!$C$4:$C$454="ETRIER")*(Catalogue!$E$4:$E$454=(RIA!$D$5+0)))*ROW(Catalogue!$C$4:$C$454))-3),""),IF(IFERROR(INDEX(Supports!$C$4:$C$23,MATCH(RIA!$D$14,Supports!$B$4:$B$23,0)),"")="COLLIER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tube)",IFERROR(INDEX(Catalogue!$B$4:$B$454,SUMPRODUCT(((Catalogue!$C$4:$C$454="COLLIERINDUS")*(Catalogue!$E$4:$E$454=(RIA!$D$5+0)))*ROW(Catalogue!$C$4:$C$454))-3),""),IF(IFERROR(INDEX(Supports!$C$4:$C$23,MATCH(RIA!$D$14,Supports!$B$4:$B$23,0)),"")="COLLIER POIRE (DN automatique = DN du tube)",IFERROR(INDEX(Catalogue!$B$4:$B$454,SUMPRODUCT(((Catalogue!$C$4:$C$454="COLLIERPOIRE")*(Catalogue!$E$4:$E$454=(RIA!$D$5+0)))*ROW(Catalogue!$C$4:$C$454))-3),""),IFERROR(INDEX(Supports!$C$4:$C$23,MATCH(RIA!$D$14,Supports!$B$4:$B$23,0)),"")))))</f>
        <v/>
      </c>
      <c r="D18" s="76" t="str">
        <f>IF((IFERROR(INDEX(Supports!$C$4:$C$23,MATCH(RIA!$D$14,Supports!$B$4:$B$23,0)),""))="","",(IFERROR(INDEX(Supports!$D$4:$D$23,MATCH(RIA!$D$14,Supports!$B$4:$B$23,0)),0))*RIA!$D$15)</f>
        <v/>
      </c>
      <c r="E18" s="76" t="s">
        <v>1036</v>
      </c>
      <c r="F18" s="76" t="str">
        <f t="shared" si="0"/>
        <v/>
      </c>
      <c r="G18" s="76">
        <f>IF(AND(B18&lt;&gt;"",B18&lt;&gt;"Non trouvé - vérifier",D18&lt;&gt;"",D18&lt;&gt;0),IF(COUNTIF($B$2:B18,B18)=1,1,0),0)</f>
        <v>0</v>
      </c>
    </row>
    <row r="19" spans="1:7" x14ac:dyDescent="0.25">
      <c r="A19" s="76" t="s">
        <v>1108</v>
      </c>
      <c r="B19" s="76" t="str">
        <f>IF((IFERROR(INDEX(Supports!$E$4:$E$23,MATCH(RIA!$D$14,Supports!$B$4:$B$23,0)),""))="","",IF(IFERROR(INDEX(Supports!$E$4:$E$23,MATCH(RIA!$D$14,Supports!$B$4:$B$23,0)),"")="ETRIER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vérifier"),IF(IFERROR(INDEX(Supports!$E$4:$E$23,MATCH(RIA!$D$14,Supports!$B$4:$B$23,0)),"")="COLLIER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vérifier"),IF(IFERROR(INDEX(Supports!$E$4:$E$23,MATCH(RIA!$D$14,Supports!$B$4:$B$23,0)),"")="COLLIER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vérifier"),IFERROR(INDEX(Catalogue!$A$4:$A$454,MATCH(IFERROR(INDEX(Supports!$E$4:$E$23,MATCH(RIA!$D$14,Supports!$B$4:$B$23,0)),""),Catalogue!$B$4:$B$454,0)),"")))))</f>
        <v/>
      </c>
      <c r="C19" s="76" t="str">
        <f>IF((IFERROR(INDEX(Supports!$E$4:$E$23,MATCH(RIA!$D$14,Supports!$B$4:$B$23,0)),""))="","",IF(IFERROR(INDEX(Supports!$E$4:$E$23,MATCH(RIA!$D$14,Supports!$B$4:$B$23,0)),"")="ETRIER RALLONGE (DN automatique = DN du tube)",IFERROR(INDEX(Catalogue!$B$4:$B$454,SUMPRODUCT(((Catalogue!$C$4:$C$454="ETRIER")*(Catalogue!$E$4:$E$454=(RIA!$D$5+0)))*ROW(Catalogue!$C$4:$C$454))-3),""),IF(IFERROR(INDEX(Supports!$E$4:$E$23,MATCH(RIA!$D$14,Supports!$B$4:$B$23,0)),"")="COLLIER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tube)",IFERROR(INDEX(Catalogue!$B$4:$B$454,SUMPRODUCT(((Catalogue!$C$4:$C$454="COLLIERINDUS")*(Catalogue!$E$4:$E$454=(RIA!$D$5+0)))*ROW(Catalogue!$C$4:$C$454))-3),""),IF(IFERROR(INDEX(Supports!$E$4:$E$23,MATCH(RIA!$D$14,Supports!$B$4:$B$23,0)),"")="COLLIER POIRE (DN automatique = DN du tube)",IFERROR(INDEX(Catalogue!$B$4:$B$454,SUMPRODUCT(((Catalogue!$C$4:$C$454="COLLIERPOIRE")*(Catalogue!$E$4:$E$454=(RIA!$D$5+0)))*ROW(Catalogue!$C$4:$C$454))-3),""),IFERROR(INDEX(Supports!$E$4:$E$23,MATCH(RIA!$D$14,Supports!$B$4:$B$23,0)),"")))))</f>
        <v/>
      </c>
      <c r="D19" s="76" t="str">
        <f>IF((IFERROR(INDEX(Supports!$E$4:$E$23,MATCH(RIA!$D$14,Supports!$B$4:$B$23,0)),""))="","",(IFERROR(INDEX(Supports!$F$4:$F$23,MATCH(RIA!$D$14,Supports!$B$4:$B$23,0)),0))*RIA!$D$15)</f>
        <v/>
      </c>
      <c r="E19" s="76" t="s">
        <v>1036</v>
      </c>
      <c r="F19" s="76" t="str">
        <f t="shared" si="0"/>
        <v/>
      </c>
      <c r="G19" s="76">
        <f>IF(AND(B19&lt;&gt;"",B19&lt;&gt;"Non trouvé - vérifier",D19&lt;&gt;"",D19&lt;&gt;0),IF(COUNTIF($B$2:B19,B19)=1,1,0),0)</f>
        <v>0</v>
      </c>
    </row>
    <row r="20" spans="1:7" x14ac:dyDescent="0.25">
      <c r="A20" s="76" t="s">
        <v>1108</v>
      </c>
      <c r="B20" s="76" t="str">
        <f>IF((IFERROR(INDEX(Supports!$G$4:$G$23,MATCH(RIA!$D$14,Supports!$B$4:$B$23,0)),""))="","",IF(IFERROR(INDEX(Supports!$G$4:$G$23,MATCH(RIA!$D$14,Supports!$B$4:$B$23,0)),"")="ETRIER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vérifier"),IF(IFERROR(INDEX(Supports!$G$4:$G$23,MATCH(RIA!$D$14,Supports!$B$4:$B$23,0)),"")="COLLIER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vérifier"),IF(IFERROR(INDEX(Supports!$G$4:$G$23,MATCH(RIA!$D$14,Supports!$B$4:$B$23,0)),"")="COLLIER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vérifier"),IFERROR(INDEX(Catalogue!$A$4:$A$454,MATCH(IFERROR(INDEX(Supports!$G$4:$G$23,MATCH(RIA!$D$14,Supports!$B$4:$B$23,0)),""),Catalogue!$B$4:$B$454,0)),"")))))</f>
        <v/>
      </c>
      <c r="C20" s="76" t="str">
        <f>IF((IFERROR(INDEX(Supports!$G$4:$G$23,MATCH(RIA!$D$14,Supports!$B$4:$B$23,0)),""))="","",IF(IFERROR(INDEX(Supports!$G$4:$G$23,MATCH(RIA!$D$14,Supports!$B$4:$B$23,0)),"")="ETRIER RALLONGE (DN automatique = DN du tube)",IFERROR(INDEX(Catalogue!$B$4:$B$454,SUMPRODUCT(((Catalogue!$C$4:$C$454="ETRIER")*(Catalogue!$E$4:$E$454=(RIA!$D$5+0)))*ROW(Catalogue!$C$4:$C$454))-3),""),IF(IFERROR(INDEX(Supports!$G$4:$G$23,MATCH(RIA!$D$14,Supports!$B$4:$B$23,0)),"")="COLLIER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tube)",IFERROR(INDEX(Catalogue!$B$4:$B$454,SUMPRODUCT(((Catalogue!$C$4:$C$454="COLLIERINDUS")*(Catalogue!$E$4:$E$454=(RIA!$D$5+0)))*ROW(Catalogue!$C$4:$C$454))-3),""),IF(IFERROR(INDEX(Supports!$G$4:$G$23,MATCH(RIA!$D$14,Supports!$B$4:$B$23,0)),"")="COLLIER POIRE (DN automatique = DN du tube)",IFERROR(INDEX(Catalogue!$B$4:$B$454,SUMPRODUCT(((Catalogue!$C$4:$C$454="COLLIERPOIRE")*(Catalogue!$E$4:$E$454=(RIA!$D$5+0)))*ROW(Catalogue!$C$4:$C$454))-3),""),IFERROR(INDEX(Supports!$G$4:$G$23,MATCH(RIA!$D$14,Supports!$B$4:$B$23,0)),"")))))</f>
        <v/>
      </c>
      <c r="D20" s="76" t="str">
        <f>IF((IFERROR(INDEX(Supports!$G$4:$G$23,MATCH(RIA!$D$14,Supports!$B$4:$B$23,0)),""))="","",(IFERROR(INDEX(Supports!$H$4:$H$23,MATCH(RIA!$D$14,Supports!$B$4:$B$23,0)),0))*RIA!$D$15)</f>
        <v/>
      </c>
      <c r="E20" s="76" t="s">
        <v>1036</v>
      </c>
      <c r="F20" s="76" t="str">
        <f t="shared" si="0"/>
        <v/>
      </c>
      <c r="G20" s="76">
        <f>IF(AND(B20&lt;&gt;"",B20&lt;&gt;"Non trouvé - vérifier",D20&lt;&gt;"",D20&lt;&gt;0),IF(COUNTIF($B$2:B20,B20)=1,1,0),0)</f>
        <v>0</v>
      </c>
    </row>
    <row r="21" spans="1:7" x14ac:dyDescent="0.25">
      <c r="A21" s="76" t="s">
        <v>1108</v>
      </c>
      <c r="B21" s="76" t="str">
        <f>IF((IFERROR(INDEX(Supports!$I$4:$I$23,MATCH(RIA!$D$14,Supports!$B$4:$B$23,0)),""))="","",IF(IFERROR(INDEX(Supports!$I$4:$I$23,MATCH(RIA!$D$14,Supports!$B$4:$B$23,0)),"")="ETRIER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vérifier"),IF(IFERROR(INDEX(Supports!$I$4:$I$23,MATCH(RIA!$D$14,Supports!$B$4:$B$23,0)),"")="COLLIER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vérifier"),IF(IFERROR(INDEX(Supports!$I$4:$I$23,MATCH(RIA!$D$14,Supports!$B$4:$B$23,0)),"")="COLLIER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vérifier"),IFERROR(INDEX(Catalogue!$A$4:$A$454,MATCH(IFERROR(INDEX(Supports!$I$4:$I$23,MATCH(RIA!$D$14,Supports!$B$4:$B$23,0)),""),Catalogue!$B$4:$B$454,0)),"")))))</f>
        <v/>
      </c>
      <c r="C21" s="76" t="str">
        <f>IF((IFERROR(INDEX(Supports!$I$4:$I$23,MATCH(RIA!$D$14,Supports!$B$4:$B$23,0)),""))="","",IF(IFERROR(INDEX(Supports!$I$4:$I$23,MATCH(RIA!$D$14,Supports!$B$4:$B$23,0)),"")="ETRIER RALLONGE (DN automatique = DN du tube)",IFERROR(INDEX(Catalogue!$B$4:$B$454,SUMPRODUCT(((Catalogue!$C$4:$C$454="ETRIER")*(Catalogue!$E$4:$E$454=(RIA!$D$5+0)))*ROW(Catalogue!$C$4:$C$454))-3),""),IF(IFERROR(INDEX(Supports!$I$4:$I$23,MATCH(RIA!$D$14,Supports!$B$4:$B$23,0)),"")="COLLIER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tube)",IFERROR(INDEX(Catalogue!$B$4:$B$454,SUMPRODUCT(((Catalogue!$C$4:$C$454="COLLIERINDUS")*(Catalogue!$E$4:$E$454=(RIA!$D$5+0)))*ROW(Catalogue!$C$4:$C$454))-3),""),IF(IFERROR(INDEX(Supports!$I$4:$I$23,MATCH(RIA!$D$14,Supports!$B$4:$B$23,0)),"")="COLLIER POIRE (DN automatique = DN du tube)",IFERROR(INDEX(Catalogue!$B$4:$B$454,SUMPRODUCT(((Catalogue!$C$4:$C$454="COLLIERPOIRE")*(Catalogue!$E$4:$E$454=(RIA!$D$5+0)))*ROW(Catalogue!$C$4:$C$454))-3),""),IFERROR(INDEX(Supports!$I$4:$I$23,MATCH(RIA!$D$14,Supports!$B$4:$B$23,0)),"")))))</f>
        <v/>
      </c>
      <c r="D21" s="76" t="str">
        <f>IF((IFERROR(INDEX(Supports!$I$4:$I$23,MATCH(RIA!$D$14,Supports!$B$4:$B$23,0)),""))="","",(IFERROR(INDEX(Supports!$J$4:$J$23,MATCH(RIA!$D$14,Supports!$B$4:$B$23,0)),0))*RIA!$D$15)</f>
        <v/>
      </c>
      <c r="E21" s="76" t="s">
        <v>1036</v>
      </c>
      <c r="F21" s="76" t="str">
        <f t="shared" si="0"/>
        <v/>
      </c>
      <c r="G21" s="76">
        <f>IF(AND(B21&lt;&gt;"",B21&lt;&gt;"Non trouvé - vérifier",D21&lt;&gt;"",D21&lt;&gt;0),IF(COUNTIF($B$2:B21,B21)=1,1,0),0)</f>
        <v>0</v>
      </c>
    </row>
    <row r="22" spans="1:7" x14ac:dyDescent="0.25">
      <c r="A22" s="76" t="s">
        <v>1108</v>
      </c>
      <c r="B22" s="76" t="str">
        <f>IF((IFERROR(INDEX(Supports!$K$4:$K$23,MATCH(RIA!$D$14,Supports!$B$4:$B$23,0)),""))="","",IF(IFERROR(INDEX(Supports!$K$4:$K$23,MATCH(RIA!$D$14,Supports!$B$4:$B$23,0)),"")="ETRIER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vérifier"),IF(IFERROR(INDEX(Supports!$K$4:$K$23,MATCH(RIA!$D$14,Supports!$B$4:$B$23,0)),"")="COLLIER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vérifier"),IF(IFERROR(INDEX(Supports!$K$4:$K$23,MATCH(RIA!$D$14,Supports!$B$4:$B$23,0)),"")="COLLIER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vérifier"),IFERROR(INDEX(Catalogue!$A$4:$A$454,MATCH(IFERROR(INDEX(Supports!$K$4:$K$23,MATCH(RIA!$D$14,Supports!$B$4:$B$23,0)),""),Catalogue!$B$4:$B$454,0)),"")))))</f>
        <v/>
      </c>
      <c r="C22" s="76" t="str">
        <f>IF((IFERROR(INDEX(Supports!$K$4:$K$23,MATCH(RIA!$D$14,Supports!$B$4:$B$23,0)),""))="","",IF(IFERROR(INDEX(Supports!$K$4:$K$23,MATCH(RIA!$D$14,Supports!$B$4:$B$23,0)),"")="ETRIER RALLONGE (DN automatique = DN du tube)",IFERROR(INDEX(Catalogue!$B$4:$B$454,SUMPRODUCT(((Catalogue!$C$4:$C$454="ETRIER")*(Catalogue!$E$4:$E$454=(RIA!$D$5+0)))*ROW(Catalogue!$C$4:$C$454))-3),""),IF(IFERROR(INDEX(Supports!$K$4:$K$23,MATCH(RIA!$D$14,Supports!$B$4:$B$23,0)),"")="COLLIER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tube)",IFERROR(INDEX(Catalogue!$B$4:$B$454,SUMPRODUCT(((Catalogue!$C$4:$C$454="COLLIERINDUS")*(Catalogue!$E$4:$E$454=(RIA!$D$5+0)))*ROW(Catalogue!$C$4:$C$454))-3),""),IF(IFERROR(INDEX(Supports!$K$4:$K$23,MATCH(RIA!$D$14,Supports!$B$4:$B$23,0)),"")="COLLIER POIRE (DN automatique = DN du tube)",IFERROR(INDEX(Catalogue!$B$4:$B$454,SUMPRODUCT(((Catalogue!$C$4:$C$454="COLLIERPOIRE")*(Catalogue!$E$4:$E$454=(RIA!$D$5+0)))*ROW(Catalogue!$C$4:$C$454))-3),""),IFERROR(INDEX(Supports!$K$4:$K$23,MATCH(RIA!$D$14,Supports!$B$4:$B$23,0)),"")))))</f>
        <v/>
      </c>
      <c r="D22" s="76" t="str">
        <f>IF((IFERROR(INDEX(Supports!$K$4:$K$23,MATCH(RIA!$D$14,Supports!$B$4:$B$23,0)),""))="","",(IFERROR(INDEX(Supports!$L$4:$L$23,MATCH(RIA!$D$14,Supports!$B$4:$B$23,0)),0))*RIA!$D$15)</f>
        <v/>
      </c>
      <c r="E22" s="76" t="s">
        <v>1036</v>
      </c>
      <c r="F22" s="76" t="str">
        <f t="shared" si="0"/>
        <v/>
      </c>
      <c r="G22" s="76">
        <f>IF(AND(B22&lt;&gt;"",B22&lt;&gt;"Non trouvé - vérifier",D22&lt;&gt;"",D22&lt;&gt;0),IF(COUNTIF($B$2:B22,B22)=1,1,0),0)</f>
        <v>0</v>
      </c>
    </row>
    <row r="23" spans="1:7" x14ac:dyDescent="0.25">
      <c r="A23" s="76" t="s">
        <v>1108</v>
      </c>
      <c r="B23" s="76" t="str">
        <f>IF((IFERROR(INDEX(Supports!$M$4:$M$23,MATCH(RIA!$D$14,Supports!$B$4:$B$23,0)),""))="","",IF(IFERROR(INDEX(Supports!$M$4:$M$23,MATCH(RIA!$D$14,Supports!$B$4:$B$23,0)),"")="ETRIER RALLONGE (DN automatique = DN du tube)",IFERROR(INDEX(Catalogue!$A$4:$A$454,SUMPRODUCT(((Catalogue!$C$4:$C$454="ETRIER")*(Catalogue!$E$4:$E$454=(RIA!$D$5+0)))*ROW(Catalogue!$C$4:$C$454))-3),"Non trouvé - vérifier"),IF(IFERROR(INDEX(Supports!$M$4:$M$23,MATCH(RIA!$D$14,Supports!$B$4:$B$23,0)),"")="COLLIER INDUSTRIEL (DN automatique = DN du tube)",IFERROR(INDEX(Catalogue!$A$4:$A$454,SUMPRODUCT(((Catalogue!$C$4:$C$454="COLLIERINDUS")*(Catalogue!$E$4:$E$454=(RIA!$D$5+0)))*ROW(Catalogue!$C$4:$C$454))-3),"Non trouvé - vérifier"),IF(IFERROR(INDEX(Supports!$M$4:$M$23,MATCH(RIA!$D$14,Supports!$B$4:$B$23,0)),"")="COLLIER POIRE (DN automatique = DN du tube)",IFERROR(INDEX(Catalogue!$A$4:$A$454,SUMPRODUCT(((Catalogue!$C$4:$C$454="COLLIERPOIRE")*(Catalogue!$E$4:$E$454=(RIA!$D$5+0)))*ROW(Catalogue!$C$4:$C$454))-3),"Non trouvé - vérifier"),IFERROR(INDEX(Catalogue!$A$4:$A$454,MATCH(IFERROR(INDEX(Supports!$M$4:$M$23,MATCH(RIA!$D$14,Supports!$B$4:$B$23,0)),""),Catalogue!$B$4:$B$454,0)),"")))))</f>
        <v/>
      </c>
      <c r="C23" s="76" t="str">
        <f>IF((IFERROR(INDEX(Supports!$M$4:$M$23,MATCH(RIA!$D$14,Supports!$B$4:$B$23,0)),""))="","",IF(IFERROR(INDEX(Supports!$M$4:$M$23,MATCH(RIA!$D$14,Supports!$B$4:$B$23,0)),"")="ETRIER RALLONGE (DN automatique = DN du tube)",IFERROR(INDEX(Catalogue!$B$4:$B$454,SUMPRODUCT(((Catalogue!$C$4:$C$454="ETRIER")*(Catalogue!$E$4:$E$454=(RIA!$D$5+0)))*ROW(Catalogue!$C$4:$C$454))-3),""),IF(IFERROR(INDEX(Supports!$M$4:$M$23,MATCH(RIA!$D$14,Supports!$B$4:$B$23,0)),"")="COLLIER INDUSTRIEL (DN automatique = DN du tube)",IFERROR(INDEX(Catalogue!$B$4:$B$454,SUMPRODUCT(((Catalogue!$C$4:$C$454="COLLIERINDUS")*(Catalogue!$E$4:$E$454=(RIA!$D$5+0)))*ROW(Catalogue!$C$4:$C$454))-3),""),IF(IFERROR(INDEX(Supports!$M$4:$M$23,MATCH(RIA!$D$14,Supports!$B$4:$B$23,0)),"")="COLLIER POIRE (DN automatique = DN du tube)",IFERROR(INDEX(Catalogue!$B$4:$B$454,SUMPRODUCT(((Catalogue!$C$4:$C$454="COLLIERPOIRE")*(Catalogue!$E$4:$E$454=(RIA!$D$5+0)))*ROW(Catalogue!$C$4:$C$454))-3),""),IFERROR(INDEX(Supports!$M$4:$M$23,MATCH(RIA!$D$14,Supports!$B$4:$B$23,0)),"")))))</f>
        <v/>
      </c>
      <c r="D23" s="76" t="str">
        <f>IF((IFERROR(INDEX(Supports!$M$4:$M$23,MATCH(RIA!$D$14,Supports!$B$4:$B$23,0)),""))="","",(IFERROR(INDEX(Supports!$N$4:$N$23,MATCH(RIA!$D$14,Supports!$B$4:$B$23,0)),0))*RIA!$D$15)</f>
        <v/>
      </c>
      <c r="E23" s="76" t="s">
        <v>1036</v>
      </c>
      <c r="F23" s="76" t="str">
        <f t="shared" si="0"/>
        <v/>
      </c>
      <c r="G23" s="76">
        <f>IF(AND(B23&lt;&gt;"",B23&lt;&gt;"Non trouvé - vérifier",D23&lt;&gt;"",D23&lt;&gt;0),IF(COUNTIF($B$2:B23,B23)=1,1,0),0)</f>
        <v>0</v>
      </c>
    </row>
    <row r="24" spans="1:7" x14ac:dyDescent="0.25">
      <c r="A24" s="76" t="s">
        <v>1109</v>
      </c>
      <c r="B24" s="76" t="str">
        <f>IFERROR(INDEX(Catalogue!$A$4:$A$454,SUMPRODUCT(((Catalogue!$C$4:$C$454="TUBE")*(Catalogue!$G$4:$G$454&lt;&gt;"TSS")*(Catalogue!$D$4:$D$454="GALVA")*(Catalogue!$E$4:$E$454=(RIA!$F$5+0)))*ROW(Catalogue!$C$4:$C$454))-3),"Non trouvé - vérifier")</f>
        <v>Non trouvé - vérifier</v>
      </c>
      <c r="C24" s="76" t="str">
        <f>IFERROR(INDEX(Catalogue!$B$4:$B$454,SUMPRODUCT(((Catalogue!$C$4:$C$454="TUBE")*(Catalogue!$G$4:$G$454&lt;&gt;"TSS")*(Catalogue!$D$4:$D$454="GALVA")*(Catalogue!$E$4:$E$454=(RIA!$F$5+0)))*ROW(Catalogue!$C$4:$C$454))-3),"")</f>
        <v/>
      </c>
      <c r="D24" s="76">
        <f>CEILING((RIA!$F$6),6)</f>
        <v>0</v>
      </c>
      <c r="E24" s="76" t="s">
        <v>1033</v>
      </c>
      <c r="F24" s="76" t="str">
        <f t="shared" si="0"/>
        <v/>
      </c>
      <c r="G24" s="76">
        <f>IF(AND(B24&lt;&gt;"",B24&lt;&gt;"Non trouvé - vérifier",D24&lt;&gt;"",D24&lt;&gt;0),IF(COUNTIF($B$2:B24,B24)=1,1,0),0)</f>
        <v>0</v>
      </c>
    </row>
    <row r="25" spans="1:7" x14ac:dyDescent="0.25">
      <c r="A25" s="76" t="s">
        <v>1109</v>
      </c>
      <c r="B25" s="76" t="str">
        <f>IFERROR(INDEX(Catalogue!$A$4:$A$454,SUMPRODUCT(((Catalogue!$C$4:$C$454="COUDE90")*(Catalogue!$D$4:$D$454="GALVA")*(Catalogue!$E$4:$E$454=(RIA!$F$5+0)))*ROW(Catalogue!$C$4:$C$454))-3),"Non trouvé - vérifier")</f>
        <v>Non trouvé - vérifier</v>
      </c>
      <c r="C25" s="76" t="str">
        <f>IFERROR(INDEX(Catalogue!$B$4:$B$454,SUMPRODUCT(((Catalogue!$C$4:$C$454="COUDE90")*(Catalogue!$D$4:$D$454="GALVA")*(Catalogue!$E$4:$E$454=(RIA!$F$5+0)))*ROW(Catalogue!$C$4:$C$454))-3),"")</f>
        <v/>
      </c>
      <c r="D25" s="76">
        <f>RIA!$F$7</f>
        <v>0</v>
      </c>
      <c r="E25" s="76" t="s">
        <v>1034</v>
      </c>
      <c r="F25" s="76" t="str">
        <f t="shared" si="0"/>
        <v/>
      </c>
      <c r="G25" s="76">
        <f>IF(AND(B25&lt;&gt;"",B25&lt;&gt;"Non trouvé - vérifier",D25&lt;&gt;"",D25&lt;&gt;0),IF(COUNTIF($B$2:B25,B25)=1,1,0),0)</f>
        <v>0</v>
      </c>
    </row>
    <row r="26" spans="1:7" x14ac:dyDescent="0.25">
      <c r="A26" s="76" t="s">
        <v>1109</v>
      </c>
      <c r="B26" s="76" t="str">
        <f>IFERROR(INDEX(Catalogue!$A$4:$A$454,SUMPRODUCT(((Catalogue!$C$4:$C$454="TES")*(Catalogue!$D$4:$D$454="GALVA")*(Catalogue!$E$4:$E$454=(RIA!$F$5+0))*(Catalogue!$G$4:$G$454="RAINURE"))*ROW(Catalogue!$C$4:$C$454))-3),"Non trouvé - vérifier")</f>
        <v>Non trouvé - vérifier</v>
      </c>
      <c r="C26" s="76" t="str">
        <f>IFERROR(INDEX(Catalogue!$B$4:$B$454,SUMPRODUCT(((Catalogue!$C$4:$C$454="TES")*(Catalogue!$D$4:$D$454="GALVA")*(Catalogue!$E$4:$E$454=(RIA!$F$5+0))*(Catalogue!$G$4:$G$454="RAINURE"))*ROW(Catalogue!$C$4:$C$454))-3),"")</f>
        <v/>
      </c>
      <c r="D26" s="76">
        <f>RIA!$F$8</f>
        <v>0</v>
      </c>
      <c r="E26" s="76" t="s">
        <v>1034</v>
      </c>
      <c r="F26" s="76" t="str">
        <f t="shared" si="0"/>
        <v/>
      </c>
      <c r="G26" s="76">
        <f>IF(AND(B26&lt;&gt;"",B26&lt;&gt;"Non trouvé - vérifier",D26&lt;&gt;"",D26&lt;&gt;0),IF(COUNTIF($B$2:B26,B26)=1,1,0),0)</f>
        <v>0</v>
      </c>
    </row>
    <row r="27" spans="1:7" x14ac:dyDescent="0.25">
      <c r="A27" s="76" t="s">
        <v>1109</v>
      </c>
      <c r="B27" s="76" t="str">
        <f>IFERROR(INDEX(Catalogue!$A$4:$A$454,SUMPRODUCT(((Catalogue!$C$4:$C$454="RACCORD")*(Catalogue!$D$4:$D$454="GALVA")*(Catalogue!$E$4:$E$454=(RIA!$F$5+0)))*ROW(Catalogue!$C$4:$C$454))-3),"Non trouvé - vérifier")</f>
        <v>Non trouvé - vérifier</v>
      </c>
      <c r="C27" s="76" t="str">
        <f>IFERROR(INDEX(Catalogue!$B$4:$B$454,SUMPRODUCT(((Catalogue!$C$4:$C$454="RACCORD")*(Catalogue!$D$4:$D$454="GALVA")*(Catalogue!$E$4:$E$454=(RIA!$F$5+0)))*ROW(Catalogue!$C$4:$C$454))-3),"")</f>
        <v/>
      </c>
      <c r="D27" s="76">
        <f>ROUNDUP(((RIA!$F$6/6)+(RIA!$F$7*2)+(RIA!$F$8*3))*1.1,0)</f>
        <v>0</v>
      </c>
      <c r="E27" s="76" t="s">
        <v>1034</v>
      </c>
      <c r="F27" s="76" t="str">
        <f t="shared" si="0"/>
        <v/>
      </c>
      <c r="G27" s="76">
        <f>IF(AND(B27&lt;&gt;"",B27&lt;&gt;"Non trouvé - vérifier",D27&lt;&gt;"",D27&lt;&gt;0),IF(COUNTIF($B$2:B27,B27)=1,1,0),0)</f>
        <v>0</v>
      </c>
    </row>
    <row r="28" spans="1:7" x14ac:dyDescent="0.25">
      <c r="A28" s="76" t="s">
        <v>1110</v>
      </c>
      <c r="B28" s="76" t="str">
        <f>IFERROR(INDEX(Catalogue!$A$4:$A$454,SUMPRODUCT(((Catalogue!$C$4:$C$454="REDUC")*(Catalogue!$D$4:$D$454="GALVA")*(Catalogue!$E$4:$E$454=(RIA!$D$5+0))*(Catalogue!$F$4:$F$454=(RIA!$F$5+0))*(Catalogue!$G$4:$G$454="RAINURE"))*ROW(Catalogue!$C$4:$C$454))-3),"Non trouvé - vérifier")</f>
        <v>Non trouvé - vérifier</v>
      </c>
      <c r="C28" s="76" t="str">
        <f>IFERROR(INDEX(Catalogue!$B$4:$B$454,SUMPRODUCT(((Catalogue!$C$4:$C$454="REDUC")*(Catalogue!$D$4:$D$454="GALVA")*(Catalogue!$E$4:$E$454=(RIA!$D$5+0))*(Catalogue!$F$4:$F$454=(RIA!$F$5+0))*(Catalogue!$G$4:$G$454="RAINURE"))*ROW(Catalogue!$C$4:$C$454))-3),"")</f>
        <v/>
      </c>
      <c r="D28" s="76">
        <f>RIA!$F$9</f>
        <v>0</v>
      </c>
      <c r="E28" s="76" t="s">
        <v>1034</v>
      </c>
      <c r="F28" s="76" t="str">
        <f t="shared" si="0"/>
        <v/>
      </c>
      <c r="G28" s="76">
        <f>IF(AND(B28&lt;&gt;"",B28&lt;&gt;"Non trouvé - vérifier",D28&lt;&gt;"",D28&lt;&gt;0),IF(COUNTIF($B$2:B28,B28)=1,1,0),0)</f>
        <v>0</v>
      </c>
    </row>
    <row r="29" spans="1:7" x14ac:dyDescent="0.25">
      <c r="A29" s="76" t="s">
        <v>1111</v>
      </c>
      <c r="B29" s="76" t="str">
        <f>IF((IFERROR(INDEX(Supports!$C$4:$C$23,MATCH(RIA!$F$10,Supports!$B$4:$B$23,0)),""))="","",IF(IFERROR(INDEX(Supports!$C$4:$C$23,MATCH(RIA!$F$10,Supports!$B$4:$B$23,0)),"")="ETRIER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vérifier"),IF(IFERROR(INDEX(Supports!$C$4:$C$23,MATCH(RIA!$F$10,Supports!$B$4:$B$23,0)),"")="COLLIER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vérifier"),IF(IFERROR(INDEX(Supports!$C$4:$C$23,MATCH(RIA!$F$10,Supports!$B$4:$B$23,0)),"")="COLLIER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vérifier"),IFERROR(INDEX(Catalogue!$A$4:$A$454,MATCH(IFERROR(INDEX(Supports!$C$4:$C$23,MATCH(RIA!$F$10,Supports!$B$4:$B$23,0)),""),Catalogue!$B$4:$B$454,0)),"")))))</f>
        <v/>
      </c>
      <c r="C29" s="76" t="str">
        <f>IF((IFERROR(INDEX(Supports!$C$4:$C$23,MATCH(RIA!$F$10,Supports!$B$4:$B$23,0)),""))="","",IF(IFERROR(INDEX(Supports!$C$4:$C$23,MATCH(RIA!$F$10,Supports!$B$4:$B$23,0)),"")="ETRIER RALLONGE (DN automatique = DN du tube)",IFERROR(INDEX(Catalogue!$B$4:$B$454,SUMPRODUCT(((Catalogue!$C$4:$C$454="ETRIER")*(Catalogue!$E$4:$E$454=(RIA!$F$5+0)))*ROW(Catalogue!$C$4:$C$454))-3),""),IF(IFERROR(INDEX(Supports!$C$4:$C$23,MATCH(RIA!$F$10,Supports!$B$4:$B$23,0)),"")="COLLIER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tube)",IFERROR(INDEX(Catalogue!$B$4:$B$454,SUMPRODUCT(((Catalogue!$C$4:$C$454="COLLIERINDUS")*(Catalogue!$E$4:$E$454=(RIA!$F$5+0)))*ROW(Catalogue!$C$4:$C$454))-3),""),IF(IFERROR(INDEX(Supports!$C$4:$C$23,MATCH(RIA!$F$10,Supports!$B$4:$B$23,0)),"")="COLLIER POIRE (DN automatique = DN du tube)",IFERROR(INDEX(Catalogue!$B$4:$B$454,SUMPRODUCT(((Catalogue!$C$4:$C$454="COLLIERPOIRE")*(Catalogue!$E$4:$E$454=(RIA!$F$5+0)))*ROW(Catalogue!$C$4:$C$454))-3),""),IFERROR(INDEX(Supports!$C$4:$C$23,MATCH(RIA!$F$10,Supports!$B$4:$B$23,0)),"")))))</f>
        <v/>
      </c>
      <c r="D29" s="76" t="str">
        <f>IF((IFERROR(INDEX(Supports!$C$4:$C$23,MATCH(RIA!$F$10,Supports!$B$4:$B$23,0)),""))="","",(IFERROR(INDEX(Supports!$D$4:$D$23,MATCH(RIA!$F$10,Supports!$B$4:$B$23,0)),0))*RIA!$F$11)</f>
        <v/>
      </c>
      <c r="E29" s="76" t="s">
        <v>1036</v>
      </c>
      <c r="F29" s="76" t="str">
        <f t="shared" si="0"/>
        <v/>
      </c>
      <c r="G29" s="76">
        <f>IF(AND(B29&lt;&gt;"",B29&lt;&gt;"Non trouvé - vérifier",D29&lt;&gt;"",D29&lt;&gt;0),IF(COUNTIF($B$2:B29,B29)=1,1,0),0)</f>
        <v>0</v>
      </c>
    </row>
    <row r="30" spans="1:7" x14ac:dyDescent="0.25">
      <c r="A30" s="76" t="s">
        <v>1111</v>
      </c>
      <c r="B30" s="76" t="str">
        <f>IF((IFERROR(INDEX(Supports!$E$4:$E$23,MATCH(RIA!$F$10,Supports!$B$4:$B$23,0)),""))="","",IF(IFERROR(INDEX(Supports!$E$4:$E$23,MATCH(RIA!$F$10,Supports!$B$4:$B$23,0)),"")="ETRIER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vérifier"),IF(IFERROR(INDEX(Supports!$E$4:$E$23,MATCH(RIA!$F$10,Supports!$B$4:$B$23,0)),"")="COLLIER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vérifier"),IF(IFERROR(INDEX(Supports!$E$4:$E$23,MATCH(RIA!$F$10,Supports!$B$4:$B$23,0)),"")="COLLIER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vérifier"),IFERROR(INDEX(Catalogue!$A$4:$A$454,MATCH(IFERROR(INDEX(Supports!$E$4:$E$23,MATCH(RIA!$F$10,Supports!$B$4:$B$23,0)),""),Catalogue!$B$4:$B$454,0)),"")))))</f>
        <v/>
      </c>
      <c r="C30" s="76" t="str">
        <f>IF((IFERROR(INDEX(Supports!$E$4:$E$23,MATCH(RIA!$F$10,Supports!$B$4:$B$23,0)),""))="","",IF(IFERROR(INDEX(Supports!$E$4:$E$23,MATCH(RIA!$F$10,Supports!$B$4:$B$23,0)),"")="ETRIER RALLONGE (DN automatique = DN du tube)",IFERROR(INDEX(Catalogue!$B$4:$B$454,SUMPRODUCT(((Catalogue!$C$4:$C$454="ETRIER")*(Catalogue!$E$4:$E$454=(RIA!$F$5+0)))*ROW(Catalogue!$C$4:$C$454))-3),""),IF(IFERROR(INDEX(Supports!$E$4:$E$23,MATCH(RIA!$F$10,Supports!$B$4:$B$23,0)),"")="COLLIER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tube)",IFERROR(INDEX(Catalogue!$B$4:$B$454,SUMPRODUCT(((Catalogue!$C$4:$C$454="COLLIERINDUS")*(Catalogue!$E$4:$E$454=(RIA!$F$5+0)))*ROW(Catalogue!$C$4:$C$454))-3),""),IF(IFERROR(INDEX(Supports!$E$4:$E$23,MATCH(RIA!$F$10,Supports!$B$4:$B$23,0)),"")="COLLIER POIRE (DN automatique = DN du tube)",IFERROR(INDEX(Catalogue!$B$4:$B$454,SUMPRODUCT(((Catalogue!$C$4:$C$454="COLLIERPOIRE")*(Catalogue!$E$4:$E$454=(RIA!$F$5+0)))*ROW(Catalogue!$C$4:$C$454))-3),""),IFERROR(INDEX(Supports!$E$4:$E$23,MATCH(RIA!$F$10,Supports!$B$4:$B$23,0)),"")))))</f>
        <v/>
      </c>
      <c r="D30" s="76" t="str">
        <f>IF((IFERROR(INDEX(Supports!$E$4:$E$23,MATCH(RIA!$F$10,Supports!$B$4:$B$23,0)),""))="","",(IFERROR(INDEX(Supports!$F$4:$F$23,MATCH(RIA!$F$10,Supports!$B$4:$B$23,0)),0))*RIA!$F$11)</f>
        <v/>
      </c>
      <c r="E30" s="76" t="s">
        <v>1036</v>
      </c>
      <c r="F30" s="76" t="str">
        <f t="shared" si="0"/>
        <v/>
      </c>
      <c r="G30" s="76">
        <f>IF(AND(B30&lt;&gt;"",B30&lt;&gt;"Non trouvé - vérifier",D30&lt;&gt;"",D30&lt;&gt;0),IF(COUNTIF($B$2:B30,B30)=1,1,0),0)</f>
        <v>0</v>
      </c>
    </row>
    <row r="31" spans="1:7" x14ac:dyDescent="0.25">
      <c r="A31" s="76" t="s">
        <v>1111</v>
      </c>
      <c r="B31" s="76" t="str">
        <f>IF((IFERROR(INDEX(Supports!$G$4:$G$23,MATCH(RIA!$F$10,Supports!$B$4:$B$23,0)),""))="","",IF(IFERROR(INDEX(Supports!$G$4:$G$23,MATCH(RIA!$F$10,Supports!$B$4:$B$23,0)),"")="ETRIER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vérifier"),IF(IFERROR(INDEX(Supports!$G$4:$G$23,MATCH(RIA!$F$10,Supports!$B$4:$B$23,0)),"")="COLLIER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vérifier"),IF(IFERROR(INDEX(Supports!$G$4:$G$23,MATCH(RIA!$F$10,Supports!$B$4:$B$23,0)),"")="COLLIER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vérifier"),IFERROR(INDEX(Catalogue!$A$4:$A$454,MATCH(IFERROR(INDEX(Supports!$G$4:$G$23,MATCH(RIA!$F$10,Supports!$B$4:$B$23,0)),""),Catalogue!$B$4:$B$454,0)),"")))))</f>
        <v/>
      </c>
      <c r="C31" s="76" t="str">
        <f>IF((IFERROR(INDEX(Supports!$G$4:$G$23,MATCH(RIA!$F$10,Supports!$B$4:$B$23,0)),""))="","",IF(IFERROR(INDEX(Supports!$G$4:$G$23,MATCH(RIA!$F$10,Supports!$B$4:$B$23,0)),"")="ETRIER RALLONGE (DN automatique = DN du tube)",IFERROR(INDEX(Catalogue!$B$4:$B$454,SUMPRODUCT(((Catalogue!$C$4:$C$454="ETRIER")*(Catalogue!$E$4:$E$454=(RIA!$F$5+0)))*ROW(Catalogue!$C$4:$C$454))-3),""),IF(IFERROR(INDEX(Supports!$G$4:$G$23,MATCH(RIA!$F$10,Supports!$B$4:$B$23,0)),"")="COLLIER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tube)",IFERROR(INDEX(Catalogue!$B$4:$B$454,SUMPRODUCT(((Catalogue!$C$4:$C$454="COLLIERINDUS")*(Catalogue!$E$4:$E$454=(RIA!$F$5+0)))*ROW(Catalogue!$C$4:$C$454))-3),""),IF(IFERROR(INDEX(Supports!$G$4:$G$23,MATCH(RIA!$F$10,Supports!$B$4:$B$23,0)),"")="COLLIER POIRE (DN automatique = DN du tube)",IFERROR(INDEX(Catalogue!$B$4:$B$454,SUMPRODUCT(((Catalogue!$C$4:$C$454="COLLIERPOIRE")*(Catalogue!$E$4:$E$454=(RIA!$F$5+0)))*ROW(Catalogue!$C$4:$C$454))-3),""),IFERROR(INDEX(Supports!$G$4:$G$23,MATCH(RIA!$F$10,Supports!$B$4:$B$23,0)),"")))))</f>
        <v/>
      </c>
      <c r="D31" s="76" t="str">
        <f>IF((IFERROR(INDEX(Supports!$G$4:$G$23,MATCH(RIA!$F$10,Supports!$B$4:$B$23,0)),""))="","",(IFERROR(INDEX(Supports!$H$4:$H$23,MATCH(RIA!$F$10,Supports!$B$4:$B$23,0)),0))*RIA!$F$11)</f>
        <v/>
      </c>
      <c r="E31" s="76" t="s">
        <v>1036</v>
      </c>
      <c r="F31" s="76" t="str">
        <f t="shared" si="0"/>
        <v/>
      </c>
      <c r="G31" s="76">
        <f>IF(AND(B31&lt;&gt;"",B31&lt;&gt;"Non trouvé - vérifier",D31&lt;&gt;"",D31&lt;&gt;0),IF(COUNTIF($B$2:B31,B31)=1,1,0),0)</f>
        <v>0</v>
      </c>
    </row>
    <row r="32" spans="1:7" x14ac:dyDescent="0.25">
      <c r="A32" s="76" t="s">
        <v>1111</v>
      </c>
      <c r="B32" s="76" t="str">
        <f>IF((IFERROR(INDEX(Supports!$I$4:$I$23,MATCH(RIA!$F$10,Supports!$B$4:$B$23,0)),""))="","",IF(IFERROR(INDEX(Supports!$I$4:$I$23,MATCH(RIA!$F$10,Supports!$B$4:$B$23,0)),"")="ETRIER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vérifier"),IF(IFERROR(INDEX(Supports!$I$4:$I$23,MATCH(RIA!$F$10,Supports!$B$4:$B$23,0)),"")="COLLIER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vérifier"),IF(IFERROR(INDEX(Supports!$I$4:$I$23,MATCH(RIA!$F$10,Supports!$B$4:$B$23,0)),"")="COLLIER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vérifier"),IFERROR(INDEX(Catalogue!$A$4:$A$454,MATCH(IFERROR(INDEX(Supports!$I$4:$I$23,MATCH(RIA!$F$10,Supports!$B$4:$B$23,0)),""),Catalogue!$B$4:$B$454,0)),"")))))</f>
        <v/>
      </c>
      <c r="C32" s="76" t="str">
        <f>IF((IFERROR(INDEX(Supports!$I$4:$I$23,MATCH(RIA!$F$10,Supports!$B$4:$B$23,0)),""))="","",IF(IFERROR(INDEX(Supports!$I$4:$I$23,MATCH(RIA!$F$10,Supports!$B$4:$B$23,0)),"")="ETRIER RALLONGE (DN automatique = DN du tube)",IFERROR(INDEX(Catalogue!$B$4:$B$454,SUMPRODUCT(((Catalogue!$C$4:$C$454="ETRIER")*(Catalogue!$E$4:$E$454=(RIA!$F$5+0)))*ROW(Catalogue!$C$4:$C$454))-3),""),IF(IFERROR(INDEX(Supports!$I$4:$I$23,MATCH(RIA!$F$10,Supports!$B$4:$B$23,0)),"")="COLLIER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tube)",IFERROR(INDEX(Catalogue!$B$4:$B$454,SUMPRODUCT(((Catalogue!$C$4:$C$454="COLLIERINDUS")*(Catalogue!$E$4:$E$454=(RIA!$F$5+0)))*ROW(Catalogue!$C$4:$C$454))-3),""),IF(IFERROR(INDEX(Supports!$I$4:$I$23,MATCH(RIA!$F$10,Supports!$B$4:$B$23,0)),"")="COLLIER POIRE (DN automatique = DN du tube)",IFERROR(INDEX(Catalogue!$B$4:$B$454,SUMPRODUCT(((Catalogue!$C$4:$C$454="COLLIERPOIRE")*(Catalogue!$E$4:$E$454=(RIA!$F$5+0)))*ROW(Catalogue!$C$4:$C$454))-3),""),IFERROR(INDEX(Supports!$I$4:$I$23,MATCH(RIA!$F$10,Supports!$B$4:$B$23,0)),"")))))</f>
        <v/>
      </c>
      <c r="D32" s="76" t="str">
        <f>IF((IFERROR(INDEX(Supports!$I$4:$I$23,MATCH(RIA!$F$10,Supports!$B$4:$B$23,0)),""))="","",(IFERROR(INDEX(Supports!$J$4:$J$23,MATCH(RIA!$F$10,Supports!$B$4:$B$23,0)),0))*RIA!$F$11)</f>
        <v/>
      </c>
      <c r="E32" s="76" t="s">
        <v>1036</v>
      </c>
      <c r="F32" s="76" t="str">
        <f t="shared" si="0"/>
        <v/>
      </c>
      <c r="G32" s="76">
        <f>IF(AND(B32&lt;&gt;"",B32&lt;&gt;"Non trouvé - vérifier",D32&lt;&gt;"",D32&lt;&gt;0),IF(COUNTIF($B$2:B32,B32)=1,1,0),0)</f>
        <v>0</v>
      </c>
    </row>
    <row r="33" spans="1:7" x14ac:dyDescent="0.25">
      <c r="A33" s="76" t="s">
        <v>1111</v>
      </c>
      <c r="B33" s="76" t="str">
        <f>IF((IFERROR(INDEX(Supports!$K$4:$K$23,MATCH(RIA!$F$10,Supports!$B$4:$B$23,0)),""))="","",IF(IFERROR(INDEX(Supports!$K$4:$K$23,MATCH(RIA!$F$10,Supports!$B$4:$B$23,0)),"")="ETRIER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vérifier"),IF(IFERROR(INDEX(Supports!$K$4:$K$23,MATCH(RIA!$F$10,Supports!$B$4:$B$23,0)),"")="COLLIER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vérifier"),IF(IFERROR(INDEX(Supports!$K$4:$K$23,MATCH(RIA!$F$10,Supports!$B$4:$B$23,0)),"")="COLLIER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vérifier"),IFERROR(INDEX(Catalogue!$A$4:$A$454,MATCH(IFERROR(INDEX(Supports!$K$4:$K$23,MATCH(RIA!$F$10,Supports!$B$4:$B$23,0)),""),Catalogue!$B$4:$B$454,0)),"")))))</f>
        <v/>
      </c>
      <c r="C33" s="76" t="str">
        <f>IF((IFERROR(INDEX(Supports!$K$4:$K$23,MATCH(RIA!$F$10,Supports!$B$4:$B$23,0)),""))="","",IF(IFERROR(INDEX(Supports!$K$4:$K$23,MATCH(RIA!$F$10,Supports!$B$4:$B$23,0)),"")="ETRIER RALLONGE (DN automatique = DN du tube)",IFERROR(INDEX(Catalogue!$B$4:$B$454,SUMPRODUCT(((Catalogue!$C$4:$C$454="ETRIER")*(Catalogue!$E$4:$E$454=(RIA!$F$5+0)))*ROW(Catalogue!$C$4:$C$454))-3),""),IF(IFERROR(INDEX(Supports!$K$4:$K$23,MATCH(RIA!$F$10,Supports!$B$4:$B$23,0)),"")="COLLIER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tube)",IFERROR(INDEX(Catalogue!$B$4:$B$454,SUMPRODUCT(((Catalogue!$C$4:$C$454="COLLIERINDUS")*(Catalogue!$E$4:$E$454=(RIA!$F$5+0)))*ROW(Catalogue!$C$4:$C$454))-3),""),IF(IFERROR(INDEX(Supports!$K$4:$K$23,MATCH(RIA!$F$10,Supports!$B$4:$B$23,0)),"")="COLLIER POIRE (DN automatique = DN du tube)",IFERROR(INDEX(Catalogue!$B$4:$B$454,SUMPRODUCT(((Catalogue!$C$4:$C$454="COLLIERPOIRE")*(Catalogue!$E$4:$E$454=(RIA!$F$5+0)))*ROW(Catalogue!$C$4:$C$454))-3),""),IFERROR(INDEX(Supports!$K$4:$K$23,MATCH(RIA!$F$10,Supports!$B$4:$B$23,0)),"")))))</f>
        <v/>
      </c>
      <c r="D33" s="76" t="str">
        <f>IF((IFERROR(INDEX(Supports!$K$4:$K$23,MATCH(RIA!$F$10,Supports!$B$4:$B$23,0)),""))="","",(IFERROR(INDEX(Supports!$L$4:$L$23,MATCH(RIA!$F$10,Supports!$B$4:$B$23,0)),0))*RIA!$F$11)</f>
        <v/>
      </c>
      <c r="E33" s="76" t="s">
        <v>1036</v>
      </c>
      <c r="F33" s="76" t="str">
        <f t="shared" si="0"/>
        <v/>
      </c>
      <c r="G33" s="76">
        <f>IF(AND(B33&lt;&gt;"",B33&lt;&gt;"Non trouvé - vérifier",D33&lt;&gt;"",D33&lt;&gt;0),IF(COUNTIF($B$2:B33,B33)=1,1,0),0)</f>
        <v>0</v>
      </c>
    </row>
    <row r="34" spans="1:7" x14ac:dyDescent="0.25">
      <c r="A34" s="76" t="s">
        <v>1111</v>
      </c>
      <c r="B34" s="76" t="str">
        <f>IF((IFERROR(INDEX(Supports!$M$4:$M$23,MATCH(RIA!$F$10,Supports!$B$4:$B$23,0)),""))="","",IF(IFERROR(INDEX(Supports!$M$4:$M$23,MATCH(RIA!$F$10,Supports!$B$4:$B$23,0)),"")="ETRIER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vérifier"),IF(IFERROR(INDEX(Supports!$M$4:$M$23,MATCH(RIA!$F$10,Supports!$B$4:$B$23,0)),"")="COLLIER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vérifier"),IF(IFERROR(INDEX(Supports!$M$4:$M$23,MATCH(RIA!$F$10,Supports!$B$4:$B$23,0)),"")="COLLIER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vérifier"),IFERROR(INDEX(Catalogue!$A$4:$A$454,MATCH(IFERROR(INDEX(Supports!$M$4:$M$23,MATCH(RIA!$F$10,Supports!$B$4:$B$23,0)),""),Catalogue!$B$4:$B$454,0)),"")))))</f>
        <v/>
      </c>
      <c r="C34" s="76" t="str">
        <f>IF((IFERROR(INDEX(Supports!$M$4:$M$23,MATCH(RIA!$F$10,Supports!$B$4:$B$23,0)),""))="","",IF(IFERROR(INDEX(Supports!$M$4:$M$23,MATCH(RIA!$F$10,Supports!$B$4:$B$23,0)),"")="ETRIER RALLONGE (DN automatique = DN du tube)",IFERROR(INDEX(Catalogue!$B$4:$B$454,SUMPRODUCT(((Catalogue!$C$4:$C$454="ETRIER")*(Catalogue!$E$4:$E$454=(RIA!$F$5+0)))*ROW(Catalogue!$C$4:$C$454))-3),""),IF(IFERROR(INDEX(Supports!$M$4:$M$23,MATCH(RIA!$F$10,Supports!$B$4:$B$23,0)),"")="COLLIER INDUSTRIEL (DN automatique = DN du tube)",IFERROR(INDEX(Catalogue!$B$4:$B$454,SUMPRODUCT(((Catalogue!$C$4:$C$454="COLLIERINDUS")*(Catalogue!$E$4:$E$454=(RIA!$F$5+0)))*ROW(Catalogue!$C$4:$C$454))-3),""),IF(IFERROR(INDEX(Supports!$M$4:$M$23,MATCH(RIA!$F$10,Supports!$B$4:$B$23,0)),"")="COLLIER POIRE (DN automatique = DN du tube)",IFERROR(INDEX(Catalogue!$B$4:$B$454,SUMPRODUCT(((Catalogue!$C$4:$C$454="COLLIERPOIRE")*(Catalogue!$E$4:$E$454=(RIA!$F$5+0)))*ROW(Catalogue!$C$4:$C$454))-3),""),IFERROR(INDEX(Supports!$M$4:$M$23,MATCH(RIA!$F$10,Supports!$B$4:$B$23,0)),"")))))</f>
        <v/>
      </c>
      <c r="D34" s="76" t="str">
        <f>IF((IFERROR(INDEX(Supports!$M$4:$M$23,MATCH(RIA!$F$10,Supports!$B$4:$B$23,0)),""))="","",(IFERROR(INDEX(Supports!$N$4:$N$23,MATCH(RIA!$F$10,Supports!$B$4:$B$23,0)),0))*RIA!$F$11)</f>
        <v/>
      </c>
      <c r="E34" s="76" t="s">
        <v>1036</v>
      </c>
      <c r="F34" s="76" t="str">
        <f t="shared" ref="F34:F65" si="1">IF(AND(B34&lt;&gt;"",B34&lt;&gt;"Non trouvé - vérifier",D34&lt;&gt;"",D34&lt;&gt;0),SUMIF($B$2:$B$183,B34,$D$2:$D$183),"")</f>
        <v/>
      </c>
      <c r="G34" s="76">
        <f>IF(AND(B34&lt;&gt;"",B34&lt;&gt;"Non trouvé - vérifier",D34&lt;&gt;"",D34&lt;&gt;0),IF(COUNTIF($B$2:B34,B34)=1,1,0),0)</f>
        <v>0</v>
      </c>
    </row>
    <row r="35" spans="1:7" x14ac:dyDescent="0.25">
      <c r="A35" s="76" t="s">
        <v>1112</v>
      </c>
      <c r="B35" s="76" t="str">
        <f>IF((IFERROR(INDEX(Supports!$C$4:$C$23,MATCH(RIA!$F$12,Supports!$B$4:$B$23,0)),""))="","",IF(IFERROR(INDEX(Supports!$C$4:$C$23,MATCH(RIA!$F$12,Supports!$B$4:$B$23,0)),"")="ETRIER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vérifier"),IF(IFERROR(INDEX(Supports!$C$4:$C$23,MATCH(RIA!$F$12,Supports!$B$4:$B$23,0)),"")="COLLIER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vérifier"),IF(IFERROR(INDEX(Supports!$C$4:$C$23,MATCH(RIA!$F$12,Supports!$B$4:$B$23,0)),"")="COLLIER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vérifier"),IFERROR(INDEX(Catalogue!$A$4:$A$454,MATCH(IFERROR(INDEX(Supports!$C$4:$C$23,MATCH(RIA!$F$12,Supports!$B$4:$B$23,0)),""),Catalogue!$B$4:$B$454,0)),"")))))</f>
        <v/>
      </c>
      <c r="C35" s="76" t="str">
        <f>IF((IFERROR(INDEX(Supports!$C$4:$C$23,MATCH(RIA!$F$12,Supports!$B$4:$B$23,0)),""))="","",IF(IFERROR(INDEX(Supports!$C$4:$C$23,MATCH(RIA!$F$12,Supports!$B$4:$B$23,0)),"")="ETRIER RALLONGE (DN automatique = DN du tube)",IFERROR(INDEX(Catalogue!$B$4:$B$454,SUMPRODUCT(((Catalogue!$C$4:$C$454="ETRIER")*(Catalogue!$E$4:$E$454=(RIA!$F$5+0)))*ROW(Catalogue!$C$4:$C$454))-3),""),IF(IFERROR(INDEX(Supports!$C$4:$C$23,MATCH(RIA!$F$12,Supports!$B$4:$B$23,0)),"")="COLLIER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tube)",IFERROR(INDEX(Catalogue!$B$4:$B$454,SUMPRODUCT(((Catalogue!$C$4:$C$454="COLLIERINDUS")*(Catalogue!$E$4:$E$454=(RIA!$F$5+0)))*ROW(Catalogue!$C$4:$C$454))-3),""),IF(IFERROR(INDEX(Supports!$C$4:$C$23,MATCH(RIA!$F$12,Supports!$B$4:$B$23,0)),"")="COLLIER POIRE (DN automatique = DN du tube)",IFERROR(INDEX(Catalogue!$B$4:$B$454,SUMPRODUCT(((Catalogue!$C$4:$C$454="COLLIERPOIRE")*(Catalogue!$E$4:$E$454=(RIA!$F$5+0)))*ROW(Catalogue!$C$4:$C$454))-3),""),IFERROR(INDEX(Supports!$C$4:$C$23,MATCH(RIA!$F$12,Supports!$B$4:$B$23,0)),"")))))</f>
        <v/>
      </c>
      <c r="D35" s="76" t="str">
        <f>IF((IFERROR(INDEX(Supports!$C$4:$C$23,MATCH(RIA!$F$12,Supports!$B$4:$B$23,0)),""))="","",(IFERROR(INDEX(Supports!$D$4:$D$23,MATCH(RIA!$F$12,Supports!$B$4:$B$23,0)),0))*RIA!$F$13)</f>
        <v/>
      </c>
      <c r="E35" s="76" t="s">
        <v>1036</v>
      </c>
      <c r="F35" s="76" t="str">
        <f t="shared" si="1"/>
        <v/>
      </c>
      <c r="G35" s="76">
        <f>IF(AND(B35&lt;&gt;"",B35&lt;&gt;"Non trouvé - vérifier",D35&lt;&gt;"",D35&lt;&gt;0),IF(COUNTIF($B$2:B35,B35)=1,1,0),0)</f>
        <v>0</v>
      </c>
    </row>
    <row r="36" spans="1:7" x14ac:dyDescent="0.25">
      <c r="A36" s="76" t="s">
        <v>1112</v>
      </c>
      <c r="B36" s="76" t="str">
        <f>IF((IFERROR(INDEX(Supports!$E$4:$E$23,MATCH(RIA!$F$12,Supports!$B$4:$B$23,0)),""))="","",IF(IFERROR(INDEX(Supports!$E$4:$E$23,MATCH(RIA!$F$12,Supports!$B$4:$B$23,0)),"")="ETRIER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vérifier"),IF(IFERROR(INDEX(Supports!$E$4:$E$23,MATCH(RIA!$F$12,Supports!$B$4:$B$23,0)),"")="COLLIER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vérifier"),IF(IFERROR(INDEX(Supports!$E$4:$E$23,MATCH(RIA!$F$12,Supports!$B$4:$B$23,0)),"")="COLLIER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vérifier"),IFERROR(INDEX(Catalogue!$A$4:$A$454,MATCH(IFERROR(INDEX(Supports!$E$4:$E$23,MATCH(RIA!$F$12,Supports!$B$4:$B$23,0)),""),Catalogue!$B$4:$B$454,0)),"")))))</f>
        <v/>
      </c>
      <c r="C36" s="76" t="str">
        <f>IF((IFERROR(INDEX(Supports!$E$4:$E$23,MATCH(RIA!$F$12,Supports!$B$4:$B$23,0)),""))="","",IF(IFERROR(INDEX(Supports!$E$4:$E$23,MATCH(RIA!$F$12,Supports!$B$4:$B$23,0)),"")="ETRIER RALLONGE (DN automatique = DN du tube)",IFERROR(INDEX(Catalogue!$B$4:$B$454,SUMPRODUCT(((Catalogue!$C$4:$C$454="ETRIER")*(Catalogue!$E$4:$E$454=(RIA!$F$5+0)))*ROW(Catalogue!$C$4:$C$454))-3),""),IF(IFERROR(INDEX(Supports!$E$4:$E$23,MATCH(RIA!$F$12,Supports!$B$4:$B$23,0)),"")="COLLIER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tube)",IFERROR(INDEX(Catalogue!$B$4:$B$454,SUMPRODUCT(((Catalogue!$C$4:$C$454="COLLIERINDUS")*(Catalogue!$E$4:$E$454=(RIA!$F$5+0)))*ROW(Catalogue!$C$4:$C$454))-3),""),IF(IFERROR(INDEX(Supports!$E$4:$E$23,MATCH(RIA!$F$12,Supports!$B$4:$B$23,0)),"")="COLLIER POIRE (DN automatique = DN du tube)",IFERROR(INDEX(Catalogue!$B$4:$B$454,SUMPRODUCT(((Catalogue!$C$4:$C$454="COLLIERPOIRE")*(Catalogue!$E$4:$E$454=(RIA!$F$5+0)))*ROW(Catalogue!$C$4:$C$454))-3),""),IFERROR(INDEX(Supports!$E$4:$E$23,MATCH(RIA!$F$12,Supports!$B$4:$B$23,0)),"")))))</f>
        <v/>
      </c>
      <c r="D36" s="76" t="str">
        <f>IF((IFERROR(INDEX(Supports!$E$4:$E$23,MATCH(RIA!$F$12,Supports!$B$4:$B$23,0)),""))="","",(IFERROR(INDEX(Supports!$F$4:$F$23,MATCH(RIA!$F$12,Supports!$B$4:$B$23,0)),0))*RIA!$F$13)</f>
        <v/>
      </c>
      <c r="E36" s="76" t="s">
        <v>1036</v>
      </c>
      <c r="F36" s="76" t="str">
        <f t="shared" si="1"/>
        <v/>
      </c>
      <c r="G36" s="76">
        <f>IF(AND(B36&lt;&gt;"",B36&lt;&gt;"Non trouvé - vérifier",D36&lt;&gt;"",D36&lt;&gt;0),IF(COUNTIF($B$2:B36,B36)=1,1,0),0)</f>
        <v>0</v>
      </c>
    </row>
    <row r="37" spans="1:7" x14ac:dyDescent="0.25">
      <c r="A37" s="76" t="s">
        <v>1112</v>
      </c>
      <c r="B37" s="76" t="str">
        <f>IF((IFERROR(INDEX(Supports!$G$4:$G$23,MATCH(RIA!$F$12,Supports!$B$4:$B$23,0)),""))="","",IF(IFERROR(INDEX(Supports!$G$4:$G$23,MATCH(RIA!$F$12,Supports!$B$4:$B$23,0)),"")="ETRIER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vérifier"),IF(IFERROR(INDEX(Supports!$G$4:$G$23,MATCH(RIA!$F$12,Supports!$B$4:$B$23,0)),"")="COLLIER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vérifier"),IF(IFERROR(INDEX(Supports!$G$4:$G$23,MATCH(RIA!$F$12,Supports!$B$4:$B$23,0)),"")="COLLIER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vérifier"),IFERROR(INDEX(Catalogue!$A$4:$A$454,MATCH(IFERROR(INDEX(Supports!$G$4:$G$23,MATCH(RIA!$F$12,Supports!$B$4:$B$23,0)),""),Catalogue!$B$4:$B$454,0)),"")))))</f>
        <v/>
      </c>
      <c r="C37" s="76" t="str">
        <f>IF((IFERROR(INDEX(Supports!$G$4:$G$23,MATCH(RIA!$F$12,Supports!$B$4:$B$23,0)),""))="","",IF(IFERROR(INDEX(Supports!$G$4:$G$23,MATCH(RIA!$F$12,Supports!$B$4:$B$23,0)),"")="ETRIER RALLONGE (DN automatique = DN du tube)",IFERROR(INDEX(Catalogue!$B$4:$B$454,SUMPRODUCT(((Catalogue!$C$4:$C$454="ETRIER")*(Catalogue!$E$4:$E$454=(RIA!$F$5+0)))*ROW(Catalogue!$C$4:$C$454))-3),""),IF(IFERROR(INDEX(Supports!$G$4:$G$23,MATCH(RIA!$F$12,Supports!$B$4:$B$23,0)),"")="COLLIER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tube)",IFERROR(INDEX(Catalogue!$B$4:$B$454,SUMPRODUCT(((Catalogue!$C$4:$C$454="COLLIERINDUS")*(Catalogue!$E$4:$E$454=(RIA!$F$5+0)))*ROW(Catalogue!$C$4:$C$454))-3),""),IF(IFERROR(INDEX(Supports!$G$4:$G$23,MATCH(RIA!$F$12,Supports!$B$4:$B$23,0)),"")="COLLIER POIRE (DN automatique = DN du tube)",IFERROR(INDEX(Catalogue!$B$4:$B$454,SUMPRODUCT(((Catalogue!$C$4:$C$454="COLLIERPOIRE")*(Catalogue!$E$4:$E$454=(RIA!$F$5+0)))*ROW(Catalogue!$C$4:$C$454))-3),""),IFERROR(INDEX(Supports!$G$4:$G$23,MATCH(RIA!$F$12,Supports!$B$4:$B$23,0)),"")))))</f>
        <v/>
      </c>
      <c r="D37" s="76" t="str">
        <f>IF((IFERROR(INDEX(Supports!$G$4:$G$23,MATCH(RIA!$F$12,Supports!$B$4:$B$23,0)),""))="","",(IFERROR(INDEX(Supports!$H$4:$H$23,MATCH(RIA!$F$12,Supports!$B$4:$B$23,0)),0))*RIA!$F$13)</f>
        <v/>
      </c>
      <c r="E37" s="76" t="s">
        <v>1036</v>
      </c>
      <c r="F37" s="76" t="str">
        <f t="shared" si="1"/>
        <v/>
      </c>
      <c r="G37" s="76">
        <f>IF(AND(B37&lt;&gt;"",B37&lt;&gt;"Non trouvé - vérifier",D37&lt;&gt;"",D37&lt;&gt;0),IF(COUNTIF($B$2:B37,B37)=1,1,0),0)</f>
        <v>0</v>
      </c>
    </row>
    <row r="38" spans="1:7" x14ac:dyDescent="0.25">
      <c r="A38" s="76" t="s">
        <v>1112</v>
      </c>
      <c r="B38" s="76" t="str">
        <f>IF((IFERROR(INDEX(Supports!$I$4:$I$23,MATCH(RIA!$F$12,Supports!$B$4:$B$23,0)),""))="","",IF(IFERROR(INDEX(Supports!$I$4:$I$23,MATCH(RIA!$F$12,Supports!$B$4:$B$23,0)),"")="ETRIER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vérifier"),IF(IFERROR(INDEX(Supports!$I$4:$I$23,MATCH(RIA!$F$12,Supports!$B$4:$B$23,0)),"")="COLLIER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vérifier"),IF(IFERROR(INDEX(Supports!$I$4:$I$23,MATCH(RIA!$F$12,Supports!$B$4:$B$23,0)),"")="COLLIER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vérifier"),IFERROR(INDEX(Catalogue!$A$4:$A$454,MATCH(IFERROR(INDEX(Supports!$I$4:$I$23,MATCH(RIA!$F$12,Supports!$B$4:$B$23,0)),""),Catalogue!$B$4:$B$454,0)),"")))))</f>
        <v/>
      </c>
      <c r="C38" s="76" t="str">
        <f>IF((IFERROR(INDEX(Supports!$I$4:$I$23,MATCH(RIA!$F$12,Supports!$B$4:$B$23,0)),""))="","",IF(IFERROR(INDEX(Supports!$I$4:$I$23,MATCH(RIA!$F$12,Supports!$B$4:$B$23,0)),"")="ETRIER RALLONGE (DN automatique = DN du tube)",IFERROR(INDEX(Catalogue!$B$4:$B$454,SUMPRODUCT(((Catalogue!$C$4:$C$454="ETRIER")*(Catalogue!$E$4:$E$454=(RIA!$F$5+0)))*ROW(Catalogue!$C$4:$C$454))-3),""),IF(IFERROR(INDEX(Supports!$I$4:$I$23,MATCH(RIA!$F$12,Supports!$B$4:$B$23,0)),"")="COLLIER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tube)",IFERROR(INDEX(Catalogue!$B$4:$B$454,SUMPRODUCT(((Catalogue!$C$4:$C$454="COLLIERINDUS")*(Catalogue!$E$4:$E$454=(RIA!$F$5+0)))*ROW(Catalogue!$C$4:$C$454))-3),""),IF(IFERROR(INDEX(Supports!$I$4:$I$23,MATCH(RIA!$F$12,Supports!$B$4:$B$23,0)),"")="COLLIER POIRE (DN automatique = DN du tube)",IFERROR(INDEX(Catalogue!$B$4:$B$454,SUMPRODUCT(((Catalogue!$C$4:$C$454="COLLIERPOIRE")*(Catalogue!$E$4:$E$454=(RIA!$F$5+0)))*ROW(Catalogue!$C$4:$C$454))-3),""),IFERROR(INDEX(Supports!$I$4:$I$23,MATCH(RIA!$F$12,Supports!$B$4:$B$23,0)),"")))))</f>
        <v/>
      </c>
      <c r="D38" s="76" t="str">
        <f>IF((IFERROR(INDEX(Supports!$I$4:$I$23,MATCH(RIA!$F$12,Supports!$B$4:$B$23,0)),""))="","",(IFERROR(INDEX(Supports!$J$4:$J$23,MATCH(RIA!$F$12,Supports!$B$4:$B$23,0)),0))*RIA!$F$13)</f>
        <v/>
      </c>
      <c r="E38" s="76" t="s">
        <v>1036</v>
      </c>
      <c r="F38" s="76" t="str">
        <f t="shared" si="1"/>
        <v/>
      </c>
      <c r="G38" s="76">
        <f>IF(AND(B38&lt;&gt;"",B38&lt;&gt;"Non trouvé - vérifier",D38&lt;&gt;"",D38&lt;&gt;0),IF(COUNTIF($B$2:B38,B38)=1,1,0),0)</f>
        <v>0</v>
      </c>
    </row>
    <row r="39" spans="1:7" x14ac:dyDescent="0.25">
      <c r="A39" s="76" t="s">
        <v>1112</v>
      </c>
      <c r="B39" s="76" t="str">
        <f>IF((IFERROR(INDEX(Supports!$K$4:$K$23,MATCH(RIA!$F$12,Supports!$B$4:$B$23,0)),""))="","",IF(IFERROR(INDEX(Supports!$K$4:$K$23,MATCH(RIA!$F$12,Supports!$B$4:$B$23,0)),"")="ETRIER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vérifier"),IF(IFERROR(INDEX(Supports!$K$4:$K$23,MATCH(RIA!$F$12,Supports!$B$4:$B$23,0)),"")="COLLIER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vérifier"),IF(IFERROR(INDEX(Supports!$K$4:$K$23,MATCH(RIA!$F$12,Supports!$B$4:$B$23,0)),"")="COLLIER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vérifier"),IFERROR(INDEX(Catalogue!$A$4:$A$454,MATCH(IFERROR(INDEX(Supports!$K$4:$K$23,MATCH(RIA!$F$12,Supports!$B$4:$B$23,0)),""),Catalogue!$B$4:$B$454,0)),"")))))</f>
        <v/>
      </c>
      <c r="C39" s="76" t="str">
        <f>IF((IFERROR(INDEX(Supports!$K$4:$K$23,MATCH(RIA!$F$12,Supports!$B$4:$B$23,0)),""))="","",IF(IFERROR(INDEX(Supports!$K$4:$K$23,MATCH(RIA!$F$12,Supports!$B$4:$B$23,0)),"")="ETRIER RALLONGE (DN automatique = DN du tube)",IFERROR(INDEX(Catalogue!$B$4:$B$454,SUMPRODUCT(((Catalogue!$C$4:$C$454="ETRIER")*(Catalogue!$E$4:$E$454=(RIA!$F$5+0)))*ROW(Catalogue!$C$4:$C$454))-3),""),IF(IFERROR(INDEX(Supports!$K$4:$K$23,MATCH(RIA!$F$12,Supports!$B$4:$B$23,0)),"")="COLLIER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tube)",IFERROR(INDEX(Catalogue!$B$4:$B$454,SUMPRODUCT(((Catalogue!$C$4:$C$454="COLLIERINDUS")*(Catalogue!$E$4:$E$454=(RIA!$F$5+0)))*ROW(Catalogue!$C$4:$C$454))-3),""),IF(IFERROR(INDEX(Supports!$K$4:$K$23,MATCH(RIA!$F$12,Supports!$B$4:$B$23,0)),"")="COLLIER POIRE (DN automatique = DN du tube)",IFERROR(INDEX(Catalogue!$B$4:$B$454,SUMPRODUCT(((Catalogue!$C$4:$C$454="COLLIERPOIRE")*(Catalogue!$E$4:$E$454=(RIA!$F$5+0)))*ROW(Catalogue!$C$4:$C$454))-3),""),IFERROR(INDEX(Supports!$K$4:$K$23,MATCH(RIA!$F$12,Supports!$B$4:$B$23,0)),"")))))</f>
        <v/>
      </c>
      <c r="D39" s="76" t="str">
        <f>IF((IFERROR(INDEX(Supports!$K$4:$K$23,MATCH(RIA!$F$12,Supports!$B$4:$B$23,0)),""))="","",(IFERROR(INDEX(Supports!$L$4:$L$23,MATCH(RIA!$F$12,Supports!$B$4:$B$23,0)),0))*RIA!$F$13)</f>
        <v/>
      </c>
      <c r="E39" s="76" t="s">
        <v>1036</v>
      </c>
      <c r="F39" s="76" t="str">
        <f t="shared" si="1"/>
        <v/>
      </c>
      <c r="G39" s="76">
        <f>IF(AND(B39&lt;&gt;"",B39&lt;&gt;"Non trouvé - vérifier",D39&lt;&gt;"",D39&lt;&gt;0),IF(COUNTIF($B$2:B39,B39)=1,1,0),0)</f>
        <v>0</v>
      </c>
    </row>
    <row r="40" spans="1:7" x14ac:dyDescent="0.25">
      <c r="A40" s="76" t="s">
        <v>1112</v>
      </c>
      <c r="B40" s="76" t="str">
        <f>IF((IFERROR(INDEX(Supports!$M$4:$M$23,MATCH(RIA!$F$12,Supports!$B$4:$B$23,0)),""))="","",IF(IFERROR(INDEX(Supports!$M$4:$M$23,MATCH(RIA!$F$12,Supports!$B$4:$B$23,0)),"")="ETRIER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vérifier"),IF(IFERROR(INDEX(Supports!$M$4:$M$23,MATCH(RIA!$F$12,Supports!$B$4:$B$23,0)),"")="COLLIER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vérifier"),IF(IFERROR(INDEX(Supports!$M$4:$M$23,MATCH(RIA!$F$12,Supports!$B$4:$B$23,0)),"")="COLLIER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vérifier"),IFERROR(INDEX(Catalogue!$A$4:$A$454,MATCH(IFERROR(INDEX(Supports!$M$4:$M$23,MATCH(RIA!$F$12,Supports!$B$4:$B$23,0)),""),Catalogue!$B$4:$B$454,0)),"")))))</f>
        <v/>
      </c>
      <c r="C40" s="76" t="str">
        <f>IF((IFERROR(INDEX(Supports!$M$4:$M$23,MATCH(RIA!$F$12,Supports!$B$4:$B$23,0)),""))="","",IF(IFERROR(INDEX(Supports!$M$4:$M$23,MATCH(RIA!$F$12,Supports!$B$4:$B$23,0)),"")="ETRIER RALLONGE (DN automatique = DN du tube)",IFERROR(INDEX(Catalogue!$B$4:$B$454,SUMPRODUCT(((Catalogue!$C$4:$C$454="ETRIER")*(Catalogue!$E$4:$E$454=(RIA!$F$5+0)))*ROW(Catalogue!$C$4:$C$454))-3),""),IF(IFERROR(INDEX(Supports!$M$4:$M$23,MATCH(RIA!$F$12,Supports!$B$4:$B$23,0)),"")="COLLIER INDUSTRIEL (DN automatique = DN du tube)",IFERROR(INDEX(Catalogue!$B$4:$B$454,SUMPRODUCT(((Catalogue!$C$4:$C$454="COLLIERINDUS")*(Catalogue!$E$4:$E$454=(RIA!$F$5+0)))*ROW(Catalogue!$C$4:$C$454))-3),""),IF(IFERROR(INDEX(Supports!$M$4:$M$23,MATCH(RIA!$F$12,Supports!$B$4:$B$23,0)),"")="COLLIER POIRE (DN automatique = DN du tube)",IFERROR(INDEX(Catalogue!$B$4:$B$454,SUMPRODUCT(((Catalogue!$C$4:$C$454="COLLIERPOIRE")*(Catalogue!$E$4:$E$454=(RIA!$F$5+0)))*ROW(Catalogue!$C$4:$C$454))-3),""),IFERROR(INDEX(Supports!$M$4:$M$23,MATCH(RIA!$F$12,Supports!$B$4:$B$23,0)),"")))))</f>
        <v/>
      </c>
      <c r="D40" s="76" t="str">
        <f>IF((IFERROR(INDEX(Supports!$M$4:$M$23,MATCH(RIA!$F$12,Supports!$B$4:$B$23,0)),""))="","",(IFERROR(INDEX(Supports!$N$4:$N$23,MATCH(RIA!$F$12,Supports!$B$4:$B$23,0)),0))*RIA!$F$13)</f>
        <v/>
      </c>
      <c r="E40" s="76" t="s">
        <v>1036</v>
      </c>
      <c r="F40" s="76" t="str">
        <f t="shared" si="1"/>
        <v/>
      </c>
      <c r="G40" s="76">
        <f>IF(AND(B40&lt;&gt;"",B40&lt;&gt;"Non trouvé - vérifier",D40&lt;&gt;"",D40&lt;&gt;0),IF(COUNTIF($B$2:B40,B40)=1,1,0),0)</f>
        <v>0</v>
      </c>
    </row>
    <row r="41" spans="1:7" x14ac:dyDescent="0.25">
      <c r="A41" s="76" t="s">
        <v>1113</v>
      </c>
      <c r="B41" s="76" t="str">
        <f>IF((IFERROR(INDEX(Supports!$C$4:$C$23,MATCH(RIA!$F$14,Supports!$B$4:$B$23,0)),""))="","",IF(IFERROR(INDEX(Supports!$C$4:$C$23,MATCH(RIA!$F$14,Supports!$B$4:$B$23,0)),"")="ETRIER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vérifier"),IF(IFERROR(INDEX(Supports!$C$4:$C$23,MATCH(RIA!$F$14,Supports!$B$4:$B$23,0)),"")="COLLIER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vérifier"),IF(IFERROR(INDEX(Supports!$C$4:$C$23,MATCH(RIA!$F$14,Supports!$B$4:$B$23,0)),"")="COLLIER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vérifier"),IFERROR(INDEX(Catalogue!$A$4:$A$454,MATCH(IFERROR(INDEX(Supports!$C$4:$C$23,MATCH(RIA!$F$14,Supports!$B$4:$B$23,0)),""),Catalogue!$B$4:$B$454,0)),"")))))</f>
        <v/>
      </c>
      <c r="C41" s="76" t="str">
        <f>IF((IFERROR(INDEX(Supports!$C$4:$C$23,MATCH(RIA!$F$14,Supports!$B$4:$B$23,0)),""))="","",IF(IFERROR(INDEX(Supports!$C$4:$C$23,MATCH(RIA!$F$14,Supports!$B$4:$B$23,0)),"")="ETRIER RALLONGE (DN automatique = DN du tube)",IFERROR(INDEX(Catalogue!$B$4:$B$454,SUMPRODUCT(((Catalogue!$C$4:$C$454="ETRIER")*(Catalogue!$E$4:$E$454=(RIA!$F$5+0)))*ROW(Catalogue!$C$4:$C$454))-3),""),IF(IFERROR(INDEX(Supports!$C$4:$C$23,MATCH(RIA!$F$14,Supports!$B$4:$B$23,0)),"")="COLLIER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tube)",IFERROR(INDEX(Catalogue!$B$4:$B$454,SUMPRODUCT(((Catalogue!$C$4:$C$454="COLLIERINDUS")*(Catalogue!$E$4:$E$454=(RIA!$F$5+0)))*ROW(Catalogue!$C$4:$C$454))-3),""),IF(IFERROR(INDEX(Supports!$C$4:$C$23,MATCH(RIA!$F$14,Supports!$B$4:$B$23,0)),"")="COLLIER POIRE (DN automatique = DN du tube)",IFERROR(INDEX(Catalogue!$B$4:$B$454,SUMPRODUCT(((Catalogue!$C$4:$C$454="COLLIERPOIRE")*(Catalogue!$E$4:$E$454=(RIA!$F$5+0)))*ROW(Catalogue!$C$4:$C$454))-3),""),IFERROR(INDEX(Supports!$C$4:$C$23,MATCH(RIA!$F$14,Supports!$B$4:$B$23,0)),"")))))</f>
        <v/>
      </c>
      <c r="D41" s="76" t="str">
        <f>IF((IFERROR(INDEX(Supports!$C$4:$C$23,MATCH(RIA!$F$14,Supports!$B$4:$B$23,0)),""))="","",(IFERROR(INDEX(Supports!$D$4:$D$23,MATCH(RIA!$F$14,Supports!$B$4:$B$23,0)),0))*RIA!$F$15)</f>
        <v/>
      </c>
      <c r="E41" s="76" t="s">
        <v>1036</v>
      </c>
      <c r="F41" s="76" t="str">
        <f t="shared" si="1"/>
        <v/>
      </c>
      <c r="G41" s="76">
        <f>IF(AND(B41&lt;&gt;"",B41&lt;&gt;"Non trouvé - vérifier",D41&lt;&gt;"",D41&lt;&gt;0),IF(COUNTIF($B$2:B41,B41)=1,1,0),0)</f>
        <v>0</v>
      </c>
    </row>
    <row r="42" spans="1:7" x14ac:dyDescent="0.25">
      <c r="A42" s="76" t="s">
        <v>1113</v>
      </c>
      <c r="B42" s="76" t="str">
        <f>IF((IFERROR(INDEX(Supports!$E$4:$E$23,MATCH(RIA!$F$14,Supports!$B$4:$B$23,0)),""))="","",IF(IFERROR(INDEX(Supports!$E$4:$E$23,MATCH(RIA!$F$14,Supports!$B$4:$B$23,0)),"")="ETRIER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vérifier"),IF(IFERROR(INDEX(Supports!$E$4:$E$23,MATCH(RIA!$F$14,Supports!$B$4:$B$23,0)),"")="COLLIER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vérifier"),IF(IFERROR(INDEX(Supports!$E$4:$E$23,MATCH(RIA!$F$14,Supports!$B$4:$B$23,0)),"")="COLLIER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vérifier"),IFERROR(INDEX(Catalogue!$A$4:$A$454,MATCH(IFERROR(INDEX(Supports!$E$4:$E$23,MATCH(RIA!$F$14,Supports!$B$4:$B$23,0)),""),Catalogue!$B$4:$B$454,0)),"")))))</f>
        <v/>
      </c>
      <c r="C42" s="76" t="str">
        <f>IF((IFERROR(INDEX(Supports!$E$4:$E$23,MATCH(RIA!$F$14,Supports!$B$4:$B$23,0)),""))="","",IF(IFERROR(INDEX(Supports!$E$4:$E$23,MATCH(RIA!$F$14,Supports!$B$4:$B$23,0)),"")="ETRIER RALLONGE (DN automatique = DN du tube)",IFERROR(INDEX(Catalogue!$B$4:$B$454,SUMPRODUCT(((Catalogue!$C$4:$C$454="ETRIER")*(Catalogue!$E$4:$E$454=(RIA!$F$5+0)))*ROW(Catalogue!$C$4:$C$454))-3),""),IF(IFERROR(INDEX(Supports!$E$4:$E$23,MATCH(RIA!$F$14,Supports!$B$4:$B$23,0)),"")="COLLIER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tube)",IFERROR(INDEX(Catalogue!$B$4:$B$454,SUMPRODUCT(((Catalogue!$C$4:$C$454="COLLIERINDUS")*(Catalogue!$E$4:$E$454=(RIA!$F$5+0)))*ROW(Catalogue!$C$4:$C$454))-3),""),IF(IFERROR(INDEX(Supports!$E$4:$E$23,MATCH(RIA!$F$14,Supports!$B$4:$B$23,0)),"")="COLLIER POIRE (DN automatique = DN du tube)",IFERROR(INDEX(Catalogue!$B$4:$B$454,SUMPRODUCT(((Catalogue!$C$4:$C$454="COLLIERPOIRE")*(Catalogue!$E$4:$E$454=(RIA!$F$5+0)))*ROW(Catalogue!$C$4:$C$454))-3),""),IFERROR(INDEX(Supports!$E$4:$E$23,MATCH(RIA!$F$14,Supports!$B$4:$B$23,0)),"")))))</f>
        <v/>
      </c>
      <c r="D42" s="76" t="str">
        <f>IF((IFERROR(INDEX(Supports!$E$4:$E$23,MATCH(RIA!$F$14,Supports!$B$4:$B$23,0)),""))="","",(IFERROR(INDEX(Supports!$F$4:$F$23,MATCH(RIA!$F$14,Supports!$B$4:$B$23,0)),0))*RIA!$F$15)</f>
        <v/>
      </c>
      <c r="E42" s="76" t="s">
        <v>1036</v>
      </c>
      <c r="F42" s="76" t="str">
        <f t="shared" si="1"/>
        <v/>
      </c>
      <c r="G42" s="76">
        <f>IF(AND(B42&lt;&gt;"",B42&lt;&gt;"Non trouvé - vérifier",D42&lt;&gt;"",D42&lt;&gt;0),IF(COUNTIF($B$2:B42,B42)=1,1,0),0)</f>
        <v>0</v>
      </c>
    </row>
    <row r="43" spans="1:7" x14ac:dyDescent="0.25">
      <c r="A43" s="76" t="s">
        <v>1113</v>
      </c>
      <c r="B43" s="76" t="str">
        <f>IF((IFERROR(INDEX(Supports!$G$4:$G$23,MATCH(RIA!$F$14,Supports!$B$4:$B$23,0)),""))="","",IF(IFERROR(INDEX(Supports!$G$4:$G$23,MATCH(RIA!$F$14,Supports!$B$4:$B$23,0)),"")="ETRIER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vérifier"),IF(IFERROR(INDEX(Supports!$G$4:$G$23,MATCH(RIA!$F$14,Supports!$B$4:$B$23,0)),"")="COLLIER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vérifier"),IF(IFERROR(INDEX(Supports!$G$4:$G$23,MATCH(RIA!$F$14,Supports!$B$4:$B$23,0)),"")="COLLIER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vérifier"),IFERROR(INDEX(Catalogue!$A$4:$A$454,MATCH(IFERROR(INDEX(Supports!$G$4:$G$23,MATCH(RIA!$F$14,Supports!$B$4:$B$23,0)),""),Catalogue!$B$4:$B$454,0)),"")))))</f>
        <v/>
      </c>
      <c r="C43" s="76" t="str">
        <f>IF((IFERROR(INDEX(Supports!$G$4:$G$23,MATCH(RIA!$F$14,Supports!$B$4:$B$23,0)),""))="","",IF(IFERROR(INDEX(Supports!$G$4:$G$23,MATCH(RIA!$F$14,Supports!$B$4:$B$23,0)),"")="ETRIER RALLONGE (DN automatique = DN du tube)",IFERROR(INDEX(Catalogue!$B$4:$B$454,SUMPRODUCT(((Catalogue!$C$4:$C$454="ETRIER")*(Catalogue!$E$4:$E$454=(RIA!$F$5+0)))*ROW(Catalogue!$C$4:$C$454))-3),""),IF(IFERROR(INDEX(Supports!$G$4:$G$23,MATCH(RIA!$F$14,Supports!$B$4:$B$23,0)),"")="COLLIER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tube)",IFERROR(INDEX(Catalogue!$B$4:$B$454,SUMPRODUCT(((Catalogue!$C$4:$C$454="COLLIERINDUS")*(Catalogue!$E$4:$E$454=(RIA!$F$5+0)))*ROW(Catalogue!$C$4:$C$454))-3),""),IF(IFERROR(INDEX(Supports!$G$4:$G$23,MATCH(RIA!$F$14,Supports!$B$4:$B$23,0)),"")="COLLIER POIRE (DN automatique = DN du tube)",IFERROR(INDEX(Catalogue!$B$4:$B$454,SUMPRODUCT(((Catalogue!$C$4:$C$454="COLLIERPOIRE")*(Catalogue!$E$4:$E$454=(RIA!$F$5+0)))*ROW(Catalogue!$C$4:$C$454))-3),""),IFERROR(INDEX(Supports!$G$4:$G$23,MATCH(RIA!$F$14,Supports!$B$4:$B$23,0)),"")))))</f>
        <v/>
      </c>
      <c r="D43" s="76" t="str">
        <f>IF((IFERROR(INDEX(Supports!$G$4:$G$23,MATCH(RIA!$F$14,Supports!$B$4:$B$23,0)),""))="","",(IFERROR(INDEX(Supports!$H$4:$H$23,MATCH(RIA!$F$14,Supports!$B$4:$B$23,0)),0))*RIA!$F$15)</f>
        <v/>
      </c>
      <c r="E43" s="76" t="s">
        <v>1036</v>
      </c>
      <c r="F43" s="76" t="str">
        <f t="shared" si="1"/>
        <v/>
      </c>
      <c r="G43" s="76">
        <f>IF(AND(B43&lt;&gt;"",B43&lt;&gt;"Non trouvé - vérifier",D43&lt;&gt;"",D43&lt;&gt;0),IF(COUNTIF($B$2:B43,B43)=1,1,0),0)</f>
        <v>0</v>
      </c>
    </row>
    <row r="44" spans="1:7" x14ac:dyDescent="0.25">
      <c r="A44" s="76" t="s">
        <v>1113</v>
      </c>
      <c r="B44" s="76" t="str">
        <f>IF((IFERROR(INDEX(Supports!$I$4:$I$23,MATCH(RIA!$F$14,Supports!$B$4:$B$23,0)),""))="","",IF(IFERROR(INDEX(Supports!$I$4:$I$23,MATCH(RIA!$F$14,Supports!$B$4:$B$23,0)),"")="ETRIER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vérifier"),IF(IFERROR(INDEX(Supports!$I$4:$I$23,MATCH(RIA!$F$14,Supports!$B$4:$B$23,0)),"")="COLLIER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vérifier"),IF(IFERROR(INDEX(Supports!$I$4:$I$23,MATCH(RIA!$F$14,Supports!$B$4:$B$23,0)),"")="COLLIER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vérifier"),IFERROR(INDEX(Catalogue!$A$4:$A$454,MATCH(IFERROR(INDEX(Supports!$I$4:$I$23,MATCH(RIA!$F$14,Supports!$B$4:$B$23,0)),""),Catalogue!$B$4:$B$454,0)),"")))))</f>
        <v/>
      </c>
      <c r="C44" s="76" t="str">
        <f>IF((IFERROR(INDEX(Supports!$I$4:$I$23,MATCH(RIA!$F$14,Supports!$B$4:$B$23,0)),""))="","",IF(IFERROR(INDEX(Supports!$I$4:$I$23,MATCH(RIA!$F$14,Supports!$B$4:$B$23,0)),"")="ETRIER RALLONGE (DN automatique = DN du tube)",IFERROR(INDEX(Catalogue!$B$4:$B$454,SUMPRODUCT(((Catalogue!$C$4:$C$454="ETRIER")*(Catalogue!$E$4:$E$454=(RIA!$F$5+0)))*ROW(Catalogue!$C$4:$C$454))-3),""),IF(IFERROR(INDEX(Supports!$I$4:$I$23,MATCH(RIA!$F$14,Supports!$B$4:$B$23,0)),"")="COLLIER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tube)",IFERROR(INDEX(Catalogue!$B$4:$B$454,SUMPRODUCT(((Catalogue!$C$4:$C$454="COLLIERINDUS")*(Catalogue!$E$4:$E$454=(RIA!$F$5+0)))*ROW(Catalogue!$C$4:$C$454))-3),""),IF(IFERROR(INDEX(Supports!$I$4:$I$23,MATCH(RIA!$F$14,Supports!$B$4:$B$23,0)),"")="COLLIER POIRE (DN automatique = DN du tube)",IFERROR(INDEX(Catalogue!$B$4:$B$454,SUMPRODUCT(((Catalogue!$C$4:$C$454="COLLIERPOIRE")*(Catalogue!$E$4:$E$454=(RIA!$F$5+0)))*ROW(Catalogue!$C$4:$C$454))-3),""),IFERROR(INDEX(Supports!$I$4:$I$23,MATCH(RIA!$F$14,Supports!$B$4:$B$23,0)),"")))))</f>
        <v/>
      </c>
      <c r="D44" s="76" t="str">
        <f>IF((IFERROR(INDEX(Supports!$I$4:$I$23,MATCH(RIA!$F$14,Supports!$B$4:$B$23,0)),""))="","",(IFERROR(INDEX(Supports!$J$4:$J$23,MATCH(RIA!$F$14,Supports!$B$4:$B$23,0)),0))*RIA!$F$15)</f>
        <v/>
      </c>
      <c r="E44" s="76" t="s">
        <v>1036</v>
      </c>
      <c r="F44" s="76" t="str">
        <f t="shared" si="1"/>
        <v/>
      </c>
      <c r="G44" s="76">
        <f>IF(AND(B44&lt;&gt;"",B44&lt;&gt;"Non trouvé - vérifier",D44&lt;&gt;"",D44&lt;&gt;0),IF(COUNTIF($B$2:B44,B44)=1,1,0),0)</f>
        <v>0</v>
      </c>
    </row>
    <row r="45" spans="1:7" x14ac:dyDescent="0.25">
      <c r="A45" s="76" t="s">
        <v>1113</v>
      </c>
      <c r="B45" s="76" t="str">
        <f>IF((IFERROR(INDEX(Supports!$K$4:$K$23,MATCH(RIA!$F$14,Supports!$B$4:$B$23,0)),""))="","",IF(IFERROR(INDEX(Supports!$K$4:$K$23,MATCH(RIA!$F$14,Supports!$B$4:$B$23,0)),"")="ETRIER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vérifier"),IF(IFERROR(INDEX(Supports!$K$4:$K$23,MATCH(RIA!$F$14,Supports!$B$4:$B$23,0)),"")="COLLIER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vérifier"),IF(IFERROR(INDEX(Supports!$K$4:$K$23,MATCH(RIA!$F$14,Supports!$B$4:$B$23,0)),"")="COLLIER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vérifier"),IFERROR(INDEX(Catalogue!$A$4:$A$454,MATCH(IFERROR(INDEX(Supports!$K$4:$K$23,MATCH(RIA!$F$14,Supports!$B$4:$B$23,0)),""),Catalogue!$B$4:$B$454,0)),"")))))</f>
        <v/>
      </c>
      <c r="C45" s="76" t="str">
        <f>IF((IFERROR(INDEX(Supports!$K$4:$K$23,MATCH(RIA!$F$14,Supports!$B$4:$B$23,0)),""))="","",IF(IFERROR(INDEX(Supports!$K$4:$K$23,MATCH(RIA!$F$14,Supports!$B$4:$B$23,0)),"")="ETRIER RALLONGE (DN automatique = DN du tube)",IFERROR(INDEX(Catalogue!$B$4:$B$454,SUMPRODUCT(((Catalogue!$C$4:$C$454="ETRIER")*(Catalogue!$E$4:$E$454=(RIA!$F$5+0)))*ROW(Catalogue!$C$4:$C$454))-3),""),IF(IFERROR(INDEX(Supports!$K$4:$K$23,MATCH(RIA!$F$14,Supports!$B$4:$B$23,0)),"")="COLLIER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tube)",IFERROR(INDEX(Catalogue!$B$4:$B$454,SUMPRODUCT(((Catalogue!$C$4:$C$454="COLLIERINDUS")*(Catalogue!$E$4:$E$454=(RIA!$F$5+0)))*ROW(Catalogue!$C$4:$C$454))-3),""),IF(IFERROR(INDEX(Supports!$K$4:$K$23,MATCH(RIA!$F$14,Supports!$B$4:$B$23,0)),"")="COLLIER POIRE (DN automatique = DN du tube)",IFERROR(INDEX(Catalogue!$B$4:$B$454,SUMPRODUCT(((Catalogue!$C$4:$C$454="COLLIERPOIRE")*(Catalogue!$E$4:$E$454=(RIA!$F$5+0)))*ROW(Catalogue!$C$4:$C$454))-3),""),IFERROR(INDEX(Supports!$K$4:$K$23,MATCH(RIA!$F$14,Supports!$B$4:$B$23,0)),"")))))</f>
        <v/>
      </c>
      <c r="D45" s="76" t="str">
        <f>IF((IFERROR(INDEX(Supports!$K$4:$K$23,MATCH(RIA!$F$14,Supports!$B$4:$B$23,0)),""))="","",(IFERROR(INDEX(Supports!$L$4:$L$23,MATCH(RIA!$F$14,Supports!$B$4:$B$23,0)),0))*RIA!$F$15)</f>
        <v/>
      </c>
      <c r="E45" s="76" t="s">
        <v>1036</v>
      </c>
      <c r="F45" s="76" t="str">
        <f t="shared" si="1"/>
        <v/>
      </c>
      <c r="G45" s="76">
        <f>IF(AND(B45&lt;&gt;"",B45&lt;&gt;"Non trouvé - vérifier",D45&lt;&gt;"",D45&lt;&gt;0),IF(COUNTIF($B$2:B45,B45)=1,1,0),0)</f>
        <v>0</v>
      </c>
    </row>
    <row r="46" spans="1:7" x14ac:dyDescent="0.25">
      <c r="A46" s="76" t="s">
        <v>1113</v>
      </c>
      <c r="B46" s="76" t="str">
        <f>IF((IFERROR(INDEX(Supports!$M$4:$M$23,MATCH(RIA!$F$14,Supports!$B$4:$B$23,0)),""))="","",IF(IFERROR(INDEX(Supports!$M$4:$M$23,MATCH(RIA!$F$14,Supports!$B$4:$B$23,0)),"")="ETRIER RALLONGE (DN automatique = DN du tube)",IFERROR(INDEX(Catalogue!$A$4:$A$454,SUMPRODUCT(((Catalogue!$C$4:$C$454="ETRIER")*(Catalogue!$E$4:$E$454=(RIA!$F$5+0)))*ROW(Catalogue!$C$4:$C$454))-3),"Non trouvé - vérifier"),IF(IFERROR(INDEX(Supports!$M$4:$M$23,MATCH(RIA!$F$14,Supports!$B$4:$B$23,0)),"")="COLLIER INDUSTRIEL (DN automatique = DN du tube)",IFERROR(INDEX(Catalogue!$A$4:$A$454,SUMPRODUCT(((Catalogue!$C$4:$C$454="COLLIERINDUS")*(Catalogue!$E$4:$E$454=(RIA!$F$5+0)))*ROW(Catalogue!$C$4:$C$454))-3),"Non trouvé - vérifier"),IF(IFERROR(INDEX(Supports!$M$4:$M$23,MATCH(RIA!$F$14,Supports!$B$4:$B$23,0)),"")="COLLIER POIRE (DN automatique = DN du tube)",IFERROR(INDEX(Catalogue!$A$4:$A$454,SUMPRODUCT(((Catalogue!$C$4:$C$454="COLLIERPOIRE")*(Catalogue!$E$4:$E$454=(RIA!$F$5+0)))*ROW(Catalogue!$C$4:$C$454))-3),"Non trouvé - vérifier"),IFERROR(INDEX(Catalogue!$A$4:$A$454,MATCH(IFERROR(INDEX(Supports!$M$4:$M$23,MATCH(RIA!$F$14,Supports!$B$4:$B$23,0)),""),Catalogue!$B$4:$B$454,0)),"")))))</f>
        <v/>
      </c>
      <c r="C46" s="76" t="str">
        <f>IF((IFERROR(INDEX(Supports!$M$4:$M$23,MATCH(RIA!$F$14,Supports!$B$4:$B$23,0)),""))="","",IF(IFERROR(INDEX(Supports!$M$4:$M$23,MATCH(RIA!$F$14,Supports!$B$4:$B$23,0)),"")="ETRIER RALLONGE (DN automatique = DN du tube)",IFERROR(INDEX(Catalogue!$B$4:$B$454,SUMPRODUCT(((Catalogue!$C$4:$C$454="ETRIER")*(Catalogue!$E$4:$E$454=(RIA!$F$5+0)))*ROW(Catalogue!$C$4:$C$454))-3),""),IF(IFERROR(INDEX(Supports!$M$4:$M$23,MATCH(RIA!$F$14,Supports!$B$4:$B$23,0)),"")="COLLIER INDUSTRIEL (DN automatique = DN du tube)",IFERROR(INDEX(Catalogue!$B$4:$B$454,SUMPRODUCT(((Catalogue!$C$4:$C$454="COLLIERINDUS")*(Catalogue!$E$4:$E$454=(RIA!$F$5+0)))*ROW(Catalogue!$C$4:$C$454))-3),""),IF(IFERROR(INDEX(Supports!$M$4:$M$23,MATCH(RIA!$F$14,Supports!$B$4:$B$23,0)),"")="COLLIER POIRE (DN automatique = DN du tube)",IFERROR(INDEX(Catalogue!$B$4:$B$454,SUMPRODUCT(((Catalogue!$C$4:$C$454="COLLIERPOIRE")*(Catalogue!$E$4:$E$454=(RIA!$F$5+0)))*ROW(Catalogue!$C$4:$C$454))-3),""),IFERROR(INDEX(Supports!$M$4:$M$23,MATCH(RIA!$F$14,Supports!$B$4:$B$23,0)),"")))))</f>
        <v/>
      </c>
      <c r="D46" s="76" t="str">
        <f>IF((IFERROR(INDEX(Supports!$M$4:$M$23,MATCH(RIA!$F$14,Supports!$B$4:$B$23,0)),""))="","",(IFERROR(INDEX(Supports!$N$4:$N$23,MATCH(RIA!$F$14,Supports!$B$4:$B$23,0)),0))*RIA!$F$15)</f>
        <v/>
      </c>
      <c r="E46" s="76" t="s">
        <v>1036</v>
      </c>
      <c r="F46" s="76" t="str">
        <f t="shared" si="1"/>
        <v/>
      </c>
      <c r="G46" s="76">
        <f>IF(AND(B46&lt;&gt;"",B46&lt;&gt;"Non trouvé - vérifier",D46&lt;&gt;"",D46&lt;&gt;0),IF(COUNTIF($B$2:B46,B46)=1,1,0),0)</f>
        <v>0</v>
      </c>
    </row>
    <row r="47" spans="1:7" x14ac:dyDescent="0.25">
      <c r="A47" s="76" t="s">
        <v>1114</v>
      </c>
      <c r="B47" s="76" t="str">
        <f>IFERROR(INDEX(Catalogue!$A$4:$A$454,SUMPRODUCT(((Catalogue!$C$4:$C$454="TUBE")*(Catalogue!$G$4:$G$454&lt;&gt;"TSS")*(Catalogue!$D$4:$D$454="GALVA")*(Catalogue!$E$4:$E$454=(RIA!$H$5+0)))*ROW(Catalogue!$C$4:$C$454))-3),"Non trouvé - vérifier")</f>
        <v>Non trouvé - vérifier</v>
      </c>
      <c r="C47" s="76" t="str">
        <f>IFERROR(INDEX(Catalogue!$B$4:$B$454,SUMPRODUCT(((Catalogue!$C$4:$C$454="TUBE")*(Catalogue!$G$4:$G$454&lt;&gt;"TSS")*(Catalogue!$D$4:$D$454="GALVA")*(Catalogue!$E$4:$E$454=(RIA!$H$5+0)))*ROW(Catalogue!$C$4:$C$454))-3),"")</f>
        <v/>
      </c>
      <c r="D47" s="76">
        <f>CEILING((RIA!$H$6),6)</f>
        <v>0</v>
      </c>
      <c r="E47" s="76" t="s">
        <v>1033</v>
      </c>
      <c r="F47" s="76" t="str">
        <f t="shared" si="1"/>
        <v/>
      </c>
      <c r="G47" s="76">
        <f>IF(AND(B47&lt;&gt;"",B47&lt;&gt;"Non trouvé - vérifier",D47&lt;&gt;"",D47&lt;&gt;0),IF(COUNTIF($B$2:B47,B47)=1,1,0),0)</f>
        <v>0</v>
      </c>
    </row>
    <row r="48" spans="1:7" x14ac:dyDescent="0.25">
      <c r="A48" s="76" t="s">
        <v>1114</v>
      </c>
      <c r="B48" s="76" t="str">
        <f>IFERROR(INDEX(Catalogue!$A$4:$A$454,SUMPRODUCT(((Catalogue!$C$4:$C$454="COUDE90")*(Catalogue!$D$4:$D$454="GALVA")*(Catalogue!$E$4:$E$454=(RIA!$H$5+0)))*ROW(Catalogue!$C$4:$C$454))-3),"Non trouvé - vérifier")</f>
        <v>Non trouvé - vérifier</v>
      </c>
      <c r="C48" s="76" t="str">
        <f>IFERROR(INDEX(Catalogue!$B$4:$B$454,SUMPRODUCT(((Catalogue!$C$4:$C$454="COUDE90")*(Catalogue!$D$4:$D$454="GALVA")*(Catalogue!$E$4:$E$454=(RIA!$H$5+0)))*ROW(Catalogue!$C$4:$C$454))-3),"")</f>
        <v/>
      </c>
      <c r="D48" s="76">
        <f>RIA!$H$7</f>
        <v>0</v>
      </c>
      <c r="E48" s="76" t="s">
        <v>1034</v>
      </c>
      <c r="F48" s="76" t="str">
        <f t="shared" si="1"/>
        <v/>
      </c>
      <c r="G48" s="76">
        <f>IF(AND(B48&lt;&gt;"",B48&lt;&gt;"Non trouvé - vérifier",D48&lt;&gt;"",D48&lt;&gt;0),IF(COUNTIF($B$2:B48,B48)=1,1,0),0)</f>
        <v>0</v>
      </c>
    </row>
    <row r="49" spans="1:7" x14ac:dyDescent="0.25">
      <c r="A49" s="76" t="s">
        <v>1114</v>
      </c>
      <c r="B49" s="76" t="str">
        <f>IFERROR(INDEX(Catalogue!$A$4:$A$454,SUMPRODUCT(((Catalogue!$C$4:$C$454="TES")*(Catalogue!$D$4:$D$454="GALVA")*(Catalogue!$E$4:$E$454=(RIA!$H$5+0))*(Catalogue!$G$4:$G$454="RAINURE"))*ROW(Catalogue!$C$4:$C$454))-3),"Non trouvé - vérifier")</f>
        <v>Non trouvé - vérifier</v>
      </c>
      <c r="C49" s="76" t="str">
        <f>IFERROR(INDEX(Catalogue!$B$4:$B$454,SUMPRODUCT(((Catalogue!$C$4:$C$454="TES")*(Catalogue!$D$4:$D$454="GALVA")*(Catalogue!$E$4:$E$454=(RIA!$H$5+0))*(Catalogue!$G$4:$G$454="RAINURE"))*ROW(Catalogue!$C$4:$C$454))-3),"")</f>
        <v/>
      </c>
      <c r="D49" s="76">
        <f>RIA!$H$8</f>
        <v>0</v>
      </c>
      <c r="E49" s="76" t="s">
        <v>1034</v>
      </c>
      <c r="F49" s="76" t="str">
        <f t="shared" si="1"/>
        <v/>
      </c>
      <c r="G49" s="76">
        <f>IF(AND(B49&lt;&gt;"",B49&lt;&gt;"Non trouvé - vérifier",D49&lt;&gt;"",D49&lt;&gt;0),IF(COUNTIF($B$2:B49,B49)=1,1,0),0)</f>
        <v>0</v>
      </c>
    </row>
    <row r="50" spans="1:7" x14ac:dyDescent="0.25">
      <c r="A50" s="76" t="s">
        <v>1114</v>
      </c>
      <c r="B50" s="76" t="str">
        <f>IFERROR(INDEX(Catalogue!$A$4:$A$454,SUMPRODUCT(((Catalogue!$C$4:$C$454="RACCORD")*(Catalogue!$D$4:$D$454="GALVA")*(Catalogue!$E$4:$E$454=(RIA!$H$5+0)))*ROW(Catalogue!$C$4:$C$454))-3),"Non trouvé - vérifier")</f>
        <v>Non trouvé - vérifier</v>
      </c>
      <c r="C50" s="76" t="str">
        <f>IFERROR(INDEX(Catalogue!$B$4:$B$454,SUMPRODUCT(((Catalogue!$C$4:$C$454="RACCORD")*(Catalogue!$D$4:$D$454="GALVA")*(Catalogue!$E$4:$E$454=(RIA!$H$5+0)))*ROW(Catalogue!$C$4:$C$454))-3),"")</f>
        <v/>
      </c>
      <c r="D50" s="76">
        <f>ROUNDUP(((RIA!$H$6/6)+(RIA!$H$7*2)+(RIA!$H$8*3))*1.1,0)</f>
        <v>0</v>
      </c>
      <c r="E50" s="76" t="s">
        <v>1034</v>
      </c>
      <c r="F50" s="76" t="str">
        <f t="shared" si="1"/>
        <v/>
      </c>
      <c r="G50" s="76">
        <f>IF(AND(B50&lt;&gt;"",B50&lt;&gt;"Non trouvé - vérifier",D50&lt;&gt;"",D50&lt;&gt;0),IF(COUNTIF($B$2:B50,B50)=1,1,0),0)</f>
        <v>0</v>
      </c>
    </row>
    <row r="51" spans="1:7" x14ac:dyDescent="0.25">
      <c r="A51" s="76" t="s">
        <v>1115</v>
      </c>
      <c r="B51" s="76" t="str">
        <f>IFERROR(INDEX(Catalogue!$A$4:$A$454,SUMPRODUCT(((Catalogue!$C$4:$C$454="REDUC")*(Catalogue!$D$4:$D$454="GALVA")*(Catalogue!$E$4:$E$454=(RIA!$F$5+0))*(Catalogue!$F$4:$F$454=(RIA!$H$5+0))*(Catalogue!$G$4:$G$454="RAINURE"))*ROW(Catalogue!$C$4:$C$454))-3),"Non trouvé - vérifier")</f>
        <v>Non trouvé - vérifier</v>
      </c>
      <c r="C51" s="76" t="str">
        <f>IFERROR(INDEX(Catalogue!$B$4:$B$454,SUMPRODUCT(((Catalogue!$C$4:$C$454="REDUC")*(Catalogue!$D$4:$D$454="GALVA")*(Catalogue!$E$4:$E$454=(RIA!$F$5+0))*(Catalogue!$F$4:$F$454=(RIA!$H$5+0))*(Catalogue!$G$4:$G$454="RAINURE"))*ROW(Catalogue!$C$4:$C$454))-3),"")</f>
        <v/>
      </c>
      <c r="D51" s="76">
        <f>RIA!$H$9</f>
        <v>0</v>
      </c>
      <c r="E51" s="76" t="s">
        <v>1034</v>
      </c>
      <c r="F51" s="76" t="str">
        <f t="shared" si="1"/>
        <v/>
      </c>
      <c r="G51" s="76">
        <f>IF(AND(B51&lt;&gt;"",B51&lt;&gt;"Non trouvé - vérifier",D51&lt;&gt;"",D51&lt;&gt;0),IF(COUNTIF($B$2:B51,B51)=1,1,0),0)</f>
        <v>0</v>
      </c>
    </row>
    <row r="52" spans="1:7" x14ac:dyDescent="0.25">
      <c r="A52" s="76" t="s">
        <v>1116</v>
      </c>
      <c r="B52" s="76" t="str">
        <f>IF((IFERROR(INDEX(Supports!$C$4:$C$23,MATCH(RIA!$H$10,Supports!$B$4:$B$23,0)),""))="","",IF(IFERROR(INDEX(Supports!$C$4:$C$23,MATCH(RIA!$H$10,Supports!$B$4:$B$23,0)),"")="ETRIER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vérifier"),IF(IFERROR(INDEX(Supports!$C$4:$C$23,MATCH(RIA!$H$10,Supports!$B$4:$B$23,0)),"")="COLLIER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vérifier"),IF(IFERROR(INDEX(Supports!$C$4:$C$23,MATCH(RIA!$H$10,Supports!$B$4:$B$23,0)),"")="COLLIER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vérifier"),IFERROR(INDEX(Catalogue!$A$4:$A$454,MATCH(IFERROR(INDEX(Supports!$C$4:$C$23,MATCH(RIA!$H$10,Supports!$B$4:$B$23,0)),""),Catalogue!$B$4:$B$454,0)),"")))))</f>
        <v/>
      </c>
      <c r="C52" s="76" t="str">
        <f>IF((IFERROR(INDEX(Supports!$C$4:$C$23,MATCH(RIA!$H$10,Supports!$B$4:$B$23,0)),""))="","",IF(IFERROR(INDEX(Supports!$C$4:$C$23,MATCH(RIA!$H$10,Supports!$B$4:$B$23,0)),"")="ETRIER RALLONGE (DN automatique = DN du tube)",IFERROR(INDEX(Catalogue!$B$4:$B$454,SUMPRODUCT(((Catalogue!$C$4:$C$454="ETRIER")*(Catalogue!$E$4:$E$454=(RIA!$H$5+0)))*ROW(Catalogue!$C$4:$C$454))-3),""),IF(IFERROR(INDEX(Supports!$C$4:$C$23,MATCH(RIA!$H$10,Supports!$B$4:$B$23,0)),"")="COLLIER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tube)",IFERROR(INDEX(Catalogue!$B$4:$B$454,SUMPRODUCT(((Catalogue!$C$4:$C$454="COLLIERINDUS")*(Catalogue!$E$4:$E$454=(RIA!$H$5+0)))*ROW(Catalogue!$C$4:$C$454))-3),""),IF(IFERROR(INDEX(Supports!$C$4:$C$23,MATCH(RIA!$H$10,Supports!$B$4:$B$23,0)),"")="COLLIER POIRE (DN automatique = DN du tube)",IFERROR(INDEX(Catalogue!$B$4:$B$454,SUMPRODUCT(((Catalogue!$C$4:$C$454="COLLIERPOIRE")*(Catalogue!$E$4:$E$454=(RIA!$H$5+0)))*ROW(Catalogue!$C$4:$C$454))-3),""),IFERROR(INDEX(Supports!$C$4:$C$23,MATCH(RIA!$H$10,Supports!$B$4:$B$23,0)),"")))))</f>
        <v/>
      </c>
      <c r="D52" s="76" t="str">
        <f>IF((IFERROR(INDEX(Supports!$C$4:$C$23,MATCH(RIA!$H$10,Supports!$B$4:$B$23,0)),""))="","",(IFERROR(INDEX(Supports!$D$4:$D$23,MATCH(RIA!$H$10,Supports!$B$4:$B$23,0)),0))*RIA!$H$11)</f>
        <v/>
      </c>
      <c r="E52" s="76" t="s">
        <v>1036</v>
      </c>
      <c r="F52" s="76" t="str">
        <f t="shared" si="1"/>
        <v/>
      </c>
      <c r="G52" s="76">
        <f>IF(AND(B52&lt;&gt;"",B52&lt;&gt;"Non trouvé - vérifier",D52&lt;&gt;"",D52&lt;&gt;0),IF(COUNTIF($B$2:B52,B52)=1,1,0),0)</f>
        <v>0</v>
      </c>
    </row>
    <row r="53" spans="1:7" x14ac:dyDescent="0.25">
      <c r="A53" s="76" t="s">
        <v>1116</v>
      </c>
      <c r="B53" s="76" t="str">
        <f>IF((IFERROR(INDEX(Supports!$E$4:$E$23,MATCH(RIA!$H$10,Supports!$B$4:$B$23,0)),""))="","",IF(IFERROR(INDEX(Supports!$E$4:$E$23,MATCH(RIA!$H$10,Supports!$B$4:$B$23,0)),"")="ETRIER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vérifier"),IF(IFERROR(INDEX(Supports!$E$4:$E$23,MATCH(RIA!$H$10,Supports!$B$4:$B$23,0)),"")="COLLIER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vérifier"),IF(IFERROR(INDEX(Supports!$E$4:$E$23,MATCH(RIA!$H$10,Supports!$B$4:$B$23,0)),"")="COLLIER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vérifier"),IFERROR(INDEX(Catalogue!$A$4:$A$454,MATCH(IFERROR(INDEX(Supports!$E$4:$E$23,MATCH(RIA!$H$10,Supports!$B$4:$B$23,0)),""),Catalogue!$B$4:$B$454,0)),"")))))</f>
        <v/>
      </c>
      <c r="C53" s="76" t="str">
        <f>IF((IFERROR(INDEX(Supports!$E$4:$E$23,MATCH(RIA!$H$10,Supports!$B$4:$B$23,0)),""))="","",IF(IFERROR(INDEX(Supports!$E$4:$E$23,MATCH(RIA!$H$10,Supports!$B$4:$B$23,0)),"")="ETRIER RALLONGE (DN automatique = DN du tube)",IFERROR(INDEX(Catalogue!$B$4:$B$454,SUMPRODUCT(((Catalogue!$C$4:$C$454="ETRIER")*(Catalogue!$E$4:$E$454=(RIA!$H$5+0)))*ROW(Catalogue!$C$4:$C$454))-3),""),IF(IFERROR(INDEX(Supports!$E$4:$E$23,MATCH(RIA!$H$10,Supports!$B$4:$B$23,0)),"")="COLLIER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tube)",IFERROR(INDEX(Catalogue!$B$4:$B$454,SUMPRODUCT(((Catalogue!$C$4:$C$454="COLLIERINDUS")*(Catalogue!$E$4:$E$454=(RIA!$H$5+0)))*ROW(Catalogue!$C$4:$C$454))-3),""),IF(IFERROR(INDEX(Supports!$E$4:$E$23,MATCH(RIA!$H$10,Supports!$B$4:$B$23,0)),"")="COLLIER POIRE (DN automatique = DN du tube)",IFERROR(INDEX(Catalogue!$B$4:$B$454,SUMPRODUCT(((Catalogue!$C$4:$C$454="COLLIERPOIRE")*(Catalogue!$E$4:$E$454=(RIA!$H$5+0)))*ROW(Catalogue!$C$4:$C$454))-3),""),IFERROR(INDEX(Supports!$E$4:$E$23,MATCH(RIA!$H$10,Supports!$B$4:$B$23,0)),"")))))</f>
        <v/>
      </c>
      <c r="D53" s="76" t="str">
        <f>IF((IFERROR(INDEX(Supports!$E$4:$E$23,MATCH(RIA!$H$10,Supports!$B$4:$B$23,0)),""))="","",(IFERROR(INDEX(Supports!$F$4:$F$23,MATCH(RIA!$H$10,Supports!$B$4:$B$23,0)),0))*RIA!$H$11)</f>
        <v/>
      </c>
      <c r="E53" s="76" t="s">
        <v>1036</v>
      </c>
      <c r="F53" s="76" t="str">
        <f t="shared" si="1"/>
        <v/>
      </c>
      <c r="G53" s="76">
        <f>IF(AND(B53&lt;&gt;"",B53&lt;&gt;"Non trouvé - vérifier",D53&lt;&gt;"",D53&lt;&gt;0),IF(COUNTIF($B$2:B53,B53)=1,1,0),0)</f>
        <v>0</v>
      </c>
    </row>
    <row r="54" spans="1:7" x14ac:dyDescent="0.25">
      <c r="A54" s="76" t="s">
        <v>1116</v>
      </c>
      <c r="B54" s="76" t="str">
        <f>IF((IFERROR(INDEX(Supports!$G$4:$G$23,MATCH(RIA!$H$10,Supports!$B$4:$B$23,0)),""))="","",IF(IFERROR(INDEX(Supports!$G$4:$G$23,MATCH(RIA!$H$10,Supports!$B$4:$B$23,0)),"")="ETRIER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vérifier"),IF(IFERROR(INDEX(Supports!$G$4:$G$23,MATCH(RIA!$H$10,Supports!$B$4:$B$23,0)),"")="COLLIER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vérifier"),IF(IFERROR(INDEX(Supports!$G$4:$G$23,MATCH(RIA!$H$10,Supports!$B$4:$B$23,0)),"")="COLLIER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vérifier"),IFERROR(INDEX(Catalogue!$A$4:$A$454,MATCH(IFERROR(INDEX(Supports!$G$4:$G$23,MATCH(RIA!$H$10,Supports!$B$4:$B$23,0)),""),Catalogue!$B$4:$B$454,0)),"")))))</f>
        <v/>
      </c>
      <c r="C54" s="76" t="str">
        <f>IF((IFERROR(INDEX(Supports!$G$4:$G$23,MATCH(RIA!$H$10,Supports!$B$4:$B$23,0)),""))="","",IF(IFERROR(INDEX(Supports!$G$4:$G$23,MATCH(RIA!$H$10,Supports!$B$4:$B$23,0)),"")="ETRIER RALLONGE (DN automatique = DN du tube)",IFERROR(INDEX(Catalogue!$B$4:$B$454,SUMPRODUCT(((Catalogue!$C$4:$C$454="ETRIER")*(Catalogue!$E$4:$E$454=(RIA!$H$5+0)))*ROW(Catalogue!$C$4:$C$454))-3),""),IF(IFERROR(INDEX(Supports!$G$4:$G$23,MATCH(RIA!$H$10,Supports!$B$4:$B$23,0)),"")="COLLIER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tube)",IFERROR(INDEX(Catalogue!$B$4:$B$454,SUMPRODUCT(((Catalogue!$C$4:$C$454="COLLIERINDUS")*(Catalogue!$E$4:$E$454=(RIA!$H$5+0)))*ROW(Catalogue!$C$4:$C$454))-3),""),IF(IFERROR(INDEX(Supports!$G$4:$G$23,MATCH(RIA!$H$10,Supports!$B$4:$B$23,0)),"")="COLLIER POIRE (DN automatique = DN du tube)",IFERROR(INDEX(Catalogue!$B$4:$B$454,SUMPRODUCT(((Catalogue!$C$4:$C$454="COLLIERPOIRE")*(Catalogue!$E$4:$E$454=(RIA!$H$5+0)))*ROW(Catalogue!$C$4:$C$454))-3),""),IFERROR(INDEX(Supports!$G$4:$G$23,MATCH(RIA!$H$10,Supports!$B$4:$B$23,0)),"")))))</f>
        <v/>
      </c>
      <c r="D54" s="76" t="str">
        <f>IF((IFERROR(INDEX(Supports!$G$4:$G$23,MATCH(RIA!$H$10,Supports!$B$4:$B$23,0)),""))="","",(IFERROR(INDEX(Supports!$H$4:$H$23,MATCH(RIA!$H$10,Supports!$B$4:$B$23,0)),0))*RIA!$H$11)</f>
        <v/>
      </c>
      <c r="E54" s="76" t="s">
        <v>1036</v>
      </c>
      <c r="F54" s="76" t="str">
        <f t="shared" si="1"/>
        <v/>
      </c>
      <c r="G54" s="76">
        <f>IF(AND(B54&lt;&gt;"",B54&lt;&gt;"Non trouvé - vérifier",D54&lt;&gt;"",D54&lt;&gt;0),IF(COUNTIF($B$2:B54,B54)=1,1,0),0)</f>
        <v>0</v>
      </c>
    </row>
    <row r="55" spans="1:7" x14ac:dyDescent="0.25">
      <c r="A55" s="76" t="s">
        <v>1116</v>
      </c>
      <c r="B55" s="76" t="str">
        <f>IF((IFERROR(INDEX(Supports!$I$4:$I$23,MATCH(RIA!$H$10,Supports!$B$4:$B$23,0)),""))="","",IF(IFERROR(INDEX(Supports!$I$4:$I$23,MATCH(RIA!$H$10,Supports!$B$4:$B$23,0)),"")="ETRIER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vérifier"),IF(IFERROR(INDEX(Supports!$I$4:$I$23,MATCH(RIA!$H$10,Supports!$B$4:$B$23,0)),"")="COLLIER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vérifier"),IF(IFERROR(INDEX(Supports!$I$4:$I$23,MATCH(RIA!$H$10,Supports!$B$4:$B$23,0)),"")="COLLIER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vérifier"),IFERROR(INDEX(Catalogue!$A$4:$A$454,MATCH(IFERROR(INDEX(Supports!$I$4:$I$23,MATCH(RIA!$H$10,Supports!$B$4:$B$23,0)),""),Catalogue!$B$4:$B$454,0)),"")))))</f>
        <v/>
      </c>
      <c r="C55" s="76" t="str">
        <f>IF((IFERROR(INDEX(Supports!$I$4:$I$23,MATCH(RIA!$H$10,Supports!$B$4:$B$23,0)),""))="","",IF(IFERROR(INDEX(Supports!$I$4:$I$23,MATCH(RIA!$H$10,Supports!$B$4:$B$23,0)),"")="ETRIER RALLONGE (DN automatique = DN du tube)",IFERROR(INDEX(Catalogue!$B$4:$B$454,SUMPRODUCT(((Catalogue!$C$4:$C$454="ETRIER")*(Catalogue!$E$4:$E$454=(RIA!$H$5+0)))*ROW(Catalogue!$C$4:$C$454))-3),""),IF(IFERROR(INDEX(Supports!$I$4:$I$23,MATCH(RIA!$H$10,Supports!$B$4:$B$23,0)),"")="COLLIER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tube)",IFERROR(INDEX(Catalogue!$B$4:$B$454,SUMPRODUCT(((Catalogue!$C$4:$C$454="COLLIERINDUS")*(Catalogue!$E$4:$E$454=(RIA!$H$5+0)))*ROW(Catalogue!$C$4:$C$454))-3),""),IF(IFERROR(INDEX(Supports!$I$4:$I$23,MATCH(RIA!$H$10,Supports!$B$4:$B$23,0)),"")="COLLIER POIRE (DN automatique = DN du tube)",IFERROR(INDEX(Catalogue!$B$4:$B$454,SUMPRODUCT(((Catalogue!$C$4:$C$454="COLLIERPOIRE")*(Catalogue!$E$4:$E$454=(RIA!$H$5+0)))*ROW(Catalogue!$C$4:$C$454))-3),""),IFERROR(INDEX(Supports!$I$4:$I$23,MATCH(RIA!$H$10,Supports!$B$4:$B$23,0)),"")))))</f>
        <v/>
      </c>
      <c r="D55" s="76" t="str">
        <f>IF((IFERROR(INDEX(Supports!$I$4:$I$23,MATCH(RIA!$H$10,Supports!$B$4:$B$23,0)),""))="","",(IFERROR(INDEX(Supports!$J$4:$J$23,MATCH(RIA!$H$10,Supports!$B$4:$B$23,0)),0))*RIA!$H$11)</f>
        <v/>
      </c>
      <c r="E55" s="76" t="s">
        <v>1036</v>
      </c>
      <c r="F55" s="76" t="str">
        <f t="shared" si="1"/>
        <v/>
      </c>
      <c r="G55" s="76">
        <f>IF(AND(B55&lt;&gt;"",B55&lt;&gt;"Non trouvé - vérifier",D55&lt;&gt;"",D55&lt;&gt;0),IF(COUNTIF($B$2:B55,B55)=1,1,0),0)</f>
        <v>0</v>
      </c>
    </row>
    <row r="56" spans="1:7" x14ac:dyDescent="0.25">
      <c r="A56" s="76" t="s">
        <v>1116</v>
      </c>
      <c r="B56" s="76" t="str">
        <f>IF((IFERROR(INDEX(Supports!$K$4:$K$23,MATCH(RIA!$H$10,Supports!$B$4:$B$23,0)),""))="","",IF(IFERROR(INDEX(Supports!$K$4:$K$23,MATCH(RIA!$H$10,Supports!$B$4:$B$23,0)),"")="ETRIER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vérifier"),IF(IFERROR(INDEX(Supports!$K$4:$K$23,MATCH(RIA!$H$10,Supports!$B$4:$B$23,0)),"")="COLLIER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vérifier"),IF(IFERROR(INDEX(Supports!$K$4:$K$23,MATCH(RIA!$H$10,Supports!$B$4:$B$23,0)),"")="COLLIER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vérifier"),IFERROR(INDEX(Catalogue!$A$4:$A$454,MATCH(IFERROR(INDEX(Supports!$K$4:$K$23,MATCH(RIA!$H$10,Supports!$B$4:$B$23,0)),""),Catalogue!$B$4:$B$454,0)),"")))))</f>
        <v/>
      </c>
      <c r="C56" s="76" t="str">
        <f>IF((IFERROR(INDEX(Supports!$K$4:$K$23,MATCH(RIA!$H$10,Supports!$B$4:$B$23,0)),""))="","",IF(IFERROR(INDEX(Supports!$K$4:$K$23,MATCH(RIA!$H$10,Supports!$B$4:$B$23,0)),"")="ETRIER RALLONGE (DN automatique = DN du tube)",IFERROR(INDEX(Catalogue!$B$4:$B$454,SUMPRODUCT(((Catalogue!$C$4:$C$454="ETRIER")*(Catalogue!$E$4:$E$454=(RIA!$H$5+0)))*ROW(Catalogue!$C$4:$C$454))-3),""),IF(IFERROR(INDEX(Supports!$K$4:$K$23,MATCH(RIA!$H$10,Supports!$B$4:$B$23,0)),"")="COLLIER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tube)",IFERROR(INDEX(Catalogue!$B$4:$B$454,SUMPRODUCT(((Catalogue!$C$4:$C$454="COLLIERINDUS")*(Catalogue!$E$4:$E$454=(RIA!$H$5+0)))*ROW(Catalogue!$C$4:$C$454))-3),""),IF(IFERROR(INDEX(Supports!$K$4:$K$23,MATCH(RIA!$H$10,Supports!$B$4:$B$23,0)),"")="COLLIER POIRE (DN automatique = DN du tube)",IFERROR(INDEX(Catalogue!$B$4:$B$454,SUMPRODUCT(((Catalogue!$C$4:$C$454="COLLIERPOIRE")*(Catalogue!$E$4:$E$454=(RIA!$H$5+0)))*ROW(Catalogue!$C$4:$C$454))-3),""),IFERROR(INDEX(Supports!$K$4:$K$23,MATCH(RIA!$H$10,Supports!$B$4:$B$23,0)),"")))))</f>
        <v/>
      </c>
      <c r="D56" s="76" t="str">
        <f>IF((IFERROR(INDEX(Supports!$K$4:$K$23,MATCH(RIA!$H$10,Supports!$B$4:$B$23,0)),""))="","",(IFERROR(INDEX(Supports!$L$4:$L$23,MATCH(RIA!$H$10,Supports!$B$4:$B$23,0)),0))*RIA!$H$11)</f>
        <v/>
      </c>
      <c r="E56" s="76" t="s">
        <v>1036</v>
      </c>
      <c r="F56" s="76" t="str">
        <f t="shared" si="1"/>
        <v/>
      </c>
      <c r="G56" s="76">
        <f>IF(AND(B56&lt;&gt;"",B56&lt;&gt;"Non trouvé - vérifier",D56&lt;&gt;"",D56&lt;&gt;0),IF(COUNTIF($B$2:B56,B56)=1,1,0),0)</f>
        <v>0</v>
      </c>
    </row>
    <row r="57" spans="1:7" x14ac:dyDescent="0.25">
      <c r="A57" s="76" t="s">
        <v>1116</v>
      </c>
      <c r="B57" s="76" t="str">
        <f>IF((IFERROR(INDEX(Supports!$M$4:$M$23,MATCH(RIA!$H$10,Supports!$B$4:$B$23,0)),""))="","",IF(IFERROR(INDEX(Supports!$M$4:$M$23,MATCH(RIA!$H$10,Supports!$B$4:$B$23,0)),"")="ETRIER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vérifier"),IF(IFERROR(INDEX(Supports!$M$4:$M$23,MATCH(RIA!$H$10,Supports!$B$4:$B$23,0)),"")="COLLIER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vérifier"),IF(IFERROR(INDEX(Supports!$M$4:$M$23,MATCH(RIA!$H$10,Supports!$B$4:$B$23,0)),"")="COLLIER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vérifier"),IFERROR(INDEX(Catalogue!$A$4:$A$454,MATCH(IFERROR(INDEX(Supports!$M$4:$M$23,MATCH(RIA!$H$10,Supports!$B$4:$B$23,0)),""),Catalogue!$B$4:$B$454,0)),"")))))</f>
        <v/>
      </c>
      <c r="C57" s="76" t="str">
        <f>IF((IFERROR(INDEX(Supports!$M$4:$M$23,MATCH(RIA!$H$10,Supports!$B$4:$B$23,0)),""))="","",IF(IFERROR(INDEX(Supports!$M$4:$M$23,MATCH(RIA!$H$10,Supports!$B$4:$B$23,0)),"")="ETRIER RALLONGE (DN automatique = DN du tube)",IFERROR(INDEX(Catalogue!$B$4:$B$454,SUMPRODUCT(((Catalogue!$C$4:$C$454="ETRIER")*(Catalogue!$E$4:$E$454=(RIA!$H$5+0)))*ROW(Catalogue!$C$4:$C$454))-3),""),IF(IFERROR(INDEX(Supports!$M$4:$M$23,MATCH(RIA!$H$10,Supports!$B$4:$B$23,0)),"")="COLLIER INDUSTRIEL (DN automatique = DN du tube)",IFERROR(INDEX(Catalogue!$B$4:$B$454,SUMPRODUCT(((Catalogue!$C$4:$C$454="COLLIERINDUS")*(Catalogue!$E$4:$E$454=(RIA!$H$5+0)))*ROW(Catalogue!$C$4:$C$454))-3),""),IF(IFERROR(INDEX(Supports!$M$4:$M$23,MATCH(RIA!$H$10,Supports!$B$4:$B$23,0)),"")="COLLIER POIRE (DN automatique = DN du tube)",IFERROR(INDEX(Catalogue!$B$4:$B$454,SUMPRODUCT(((Catalogue!$C$4:$C$454="COLLIERPOIRE")*(Catalogue!$E$4:$E$454=(RIA!$H$5+0)))*ROW(Catalogue!$C$4:$C$454))-3),""),IFERROR(INDEX(Supports!$M$4:$M$23,MATCH(RIA!$H$10,Supports!$B$4:$B$23,0)),"")))))</f>
        <v/>
      </c>
      <c r="D57" s="76" t="str">
        <f>IF((IFERROR(INDEX(Supports!$M$4:$M$23,MATCH(RIA!$H$10,Supports!$B$4:$B$23,0)),""))="","",(IFERROR(INDEX(Supports!$N$4:$N$23,MATCH(RIA!$H$10,Supports!$B$4:$B$23,0)),0))*RIA!$H$11)</f>
        <v/>
      </c>
      <c r="E57" s="76" t="s">
        <v>1036</v>
      </c>
      <c r="F57" s="76" t="str">
        <f t="shared" si="1"/>
        <v/>
      </c>
      <c r="G57" s="76">
        <f>IF(AND(B57&lt;&gt;"",B57&lt;&gt;"Non trouvé - vérifier",D57&lt;&gt;"",D57&lt;&gt;0),IF(COUNTIF($B$2:B57,B57)=1,1,0),0)</f>
        <v>0</v>
      </c>
    </row>
    <row r="58" spans="1:7" x14ac:dyDescent="0.25">
      <c r="A58" s="76" t="s">
        <v>1117</v>
      </c>
      <c r="B58" s="76" t="str">
        <f>IF((IFERROR(INDEX(Supports!$C$4:$C$23,MATCH(RIA!$H$12,Supports!$B$4:$B$23,0)),""))="","",IF(IFERROR(INDEX(Supports!$C$4:$C$23,MATCH(RIA!$H$12,Supports!$B$4:$B$23,0)),"")="ETRIER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vérifier"),IF(IFERROR(INDEX(Supports!$C$4:$C$23,MATCH(RIA!$H$12,Supports!$B$4:$B$23,0)),"")="COLLIER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vérifier"),IF(IFERROR(INDEX(Supports!$C$4:$C$23,MATCH(RIA!$H$12,Supports!$B$4:$B$23,0)),"")="COLLIER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vérifier"),IFERROR(INDEX(Catalogue!$A$4:$A$454,MATCH(IFERROR(INDEX(Supports!$C$4:$C$23,MATCH(RIA!$H$12,Supports!$B$4:$B$23,0)),""),Catalogue!$B$4:$B$454,0)),"")))))</f>
        <v/>
      </c>
      <c r="C58" s="76" t="str">
        <f>IF((IFERROR(INDEX(Supports!$C$4:$C$23,MATCH(RIA!$H$12,Supports!$B$4:$B$23,0)),""))="","",IF(IFERROR(INDEX(Supports!$C$4:$C$23,MATCH(RIA!$H$12,Supports!$B$4:$B$23,0)),"")="ETRIER RALLONGE (DN automatique = DN du tube)",IFERROR(INDEX(Catalogue!$B$4:$B$454,SUMPRODUCT(((Catalogue!$C$4:$C$454="ETRIER")*(Catalogue!$E$4:$E$454=(RIA!$H$5+0)))*ROW(Catalogue!$C$4:$C$454))-3),""),IF(IFERROR(INDEX(Supports!$C$4:$C$23,MATCH(RIA!$H$12,Supports!$B$4:$B$23,0)),"")="COLLIER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tube)",IFERROR(INDEX(Catalogue!$B$4:$B$454,SUMPRODUCT(((Catalogue!$C$4:$C$454="COLLIERINDUS")*(Catalogue!$E$4:$E$454=(RIA!$H$5+0)))*ROW(Catalogue!$C$4:$C$454))-3),""),IF(IFERROR(INDEX(Supports!$C$4:$C$23,MATCH(RIA!$H$12,Supports!$B$4:$B$23,0)),"")="COLLIER POIRE (DN automatique = DN du tube)",IFERROR(INDEX(Catalogue!$B$4:$B$454,SUMPRODUCT(((Catalogue!$C$4:$C$454="COLLIERPOIRE")*(Catalogue!$E$4:$E$454=(RIA!$H$5+0)))*ROW(Catalogue!$C$4:$C$454))-3),""),IFERROR(INDEX(Supports!$C$4:$C$23,MATCH(RIA!$H$12,Supports!$B$4:$B$23,0)),"")))))</f>
        <v/>
      </c>
      <c r="D58" s="76" t="str">
        <f>IF((IFERROR(INDEX(Supports!$C$4:$C$23,MATCH(RIA!$H$12,Supports!$B$4:$B$23,0)),""))="","",(IFERROR(INDEX(Supports!$D$4:$D$23,MATCH(RIA!$H$12,Supports!$B$4:$B$23,0)),0))*RIA!$H$13)</f>
        <v/>
      </c>
      <c r="E58" s="76" t="s">
        <v>1036</v>
      </c>
      <c r="F58" s="76" t="str">
        <f t="shared" si="1"/>
        <v/>
      </c>
      <c r="G58" s="76">
        <f>IF(AND(B58&lt;&gt;"",B58&lt;&gt;"Non trouvé - vérifier",D58&lt;&gt;"",D58&lt;&gt;0),IF(COUNTIF($B$2:B58,B58)=1,1,0),0)</f>
        <v>0</v>
      </c>
    </row>
    <row r="59" spans="1:7" x14ac:dyDescent="0.25">
      <c r="A59" s="76" t="s">
        <v>1117</v>
      </c>
      <c r="B59" s="76" t="str">
        <f>IF((IFERROR(INDEX(Supports!$E$4:$E$23,MATCH(RIA!$H$12,Supports!$B$4:$B$23,0)),""))="","",IF(IFERROR(INDEX(Supports!$E$4:$E$23,MATCH(RIA!$H$12,Supports!$B$4:$B$23,0)),"")="ETRIER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vérifier"),IF(IFERROR(INDEX(Supports!$E$4:$E$23,MATCH(RIA!$H$12,Supports!$B$4:$B$23,0)),"")="COLLIER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vérifier"),IF(IFERROR(INDEX(Supports!$E$4:$E$23,MATCH(RIA!$H$12,Supports!$B$4:$B$23,0)),"")="COLLIER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vérifier"),IFERROR(INDEX(Catalogue!$A$4:$A$454,MATCH(IFERROR(INDEX(Supports!$E$4:$E$23,MATCH(RIA!$H$12,Supports!$B$4:$B$23,0)),""),Catalogue!$B$4:$B$454,0)),"")))))</f>
        <v/>
      </c>
      <c r="C59" s="76" t="str">
        <f>IF((IFERROR(INDEX(Supports!$E$4:$E$23,MATCH(RIA!$H$12,Supports!$B$4:$B$23,0)),""))="","",IF(IFERROR(INDEX(Supports!$E$4:$E$23,MATCH(RIA!$H$12,Supports!$B$4:$B$23,0)),"")="ETRIER RALLONGE (DN automatique = DN du tube)",IFERROR(INDEX(Catalogue!$B$4:$B$454,SUMPRODUCT(((Catalogue!$C$4:$C$454="ETRIER")*(Catalogue!$E$4:$E$454=(RIA!$H$5+0)))*ROW(Catalogue!$C$4:$C$454))-3),""),IF(IFERROR(INDEX(Supports!$E$4:$E$23,MATCH(RIA!$H$12,Supports!$B$4:$B$23,0)),"")="COLLIER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tube)",IFERROR(INDEX(Catalogue!$B$4:$B$454,SUMPRODUCT(((Catalogue!$C$4:$C$454="COLLIERINDUS")*(Catalogue!$E$4:$E$454=(RIA!$H$5+0)))*ROW(Catalogue!$C$4:$C$454))-3),""),IF(IFERROR(INDEX(Supports!$E$4:$E$23,MATCH(RIA!$H$12,Supports!$B$4:$B$23,0)),"")="COLLIER POIRE (DN automatique = DN du tube)",IFERROR(INDEX(Catalogue!$B$4:$B$454,SUMPRODUCT(((Catalogue!$C$4:$C$454="COLLIERPOIRE")*(Catalogue!$E$4:$E$454=(RIA!$H$5+0)))*ROW(Catalogue!$C$4:$C$454))-3),""),IFERROR(INDEX(Supports!$E$4:$E$23,MATCH(RIA!$H$12,Supports!$B$4:$B$23,0)),"")))))</f>
        <v/>
      </c>
      <c r="D59" s="76" t="str">
        <f>IF((IFERROR(INDEX(Supports!$E$4:$E$23,MATCH(RIA!$H$12,Supports!$B$4:$B$23,0)),""))="","",(IFERROR(INDEX(Supports!$F$4:$F$23,MATCH(RIA!$H$12,Supports!$B$4:$B$23,0)),0))*RIA!$H$13)</f>
        <v/>
      </c>
      <c r="E59" s="76" t="s">
        <v>1036</v>
      </c>
      <c r="F59" s="76" t="str">
        <f t="shared" si="1"/>
        <v/>
      </c>
      <c r="G59" s="76">
        <f>IF(AND(B59&lt;&gt;"",B59&lt;&gt;"Non trouvé - vérifier",D59&lt;&gt;"",D59&lt;&gt;0),IF(COUNTIF($B$2:B59,B59)=1,1,0),0)</f>
        <v>0</v>
      </c>
    </row>
    <row r="60" spans="1:7" x14ac:dyDescent="0.25">
      <c r="A60" s="76" t="s">
        <v>1117</v>
      </c>
      <c r="B60" s="76" t="str">
        <f>IF((IFERROR(INDEX(Supports!$G$4:$G$23,MATCH(RIA!$H$12,Supports!$B$4:$B$23,0)),""))="","",IF(IFERROR(INDEX(Supports!$G$4:$G$23,MATCH(RIA!$H$12,Supports!$B$4:$B$23,0)),"")="ETRIER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vérifier"),IF(IFERROR(INDEX(Supports!$G$4:$G$23,MATCH(RIA!$H$12,Supports!$B$4:$B$23,0)),"")="COLLIER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vérifier"),IF(IFERROR(INDEX(Supports!$G$4:$G$23,MATCH(RIA!$H$12,Supports!$B$4:$B$23,0)),"")="COLLIER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vérifier"),IFERROR(INDEX(Catalogue!$A$4:$A$454,MATCH(IFERROR(INDEX(Supports!$G$4:$G$23,MATCH(RIA!$H$12,Supports!$B$4:$B$23,0)),""),Catalogue!$B$4:$B$454,0)),"")))))</f>
        <v/>
      </c>
      <c r="C60" s="76" t="str">
        <f>IF((IFERROR(INDEX(Supports!$G$4:$G$23,MATCH(RIA!$H$12,Supports!$B$4:$B$23,0)),""))="","",IF(IFERROR(INDEX(Supports!$G$4:$G$23,MATCH(RIA!$H$12,Supports!$B$4:$B$23,0)),"")="ETRIER RALLONGE (DN automatique = DN du tube)",IFERROR(INDEX(Catalogue!$B$4:$B$454,SUMPRODUCT(((Catalogue!$C$4:$C$454="ETRIER")*(Catalogue!$E$4:$E$454=(RIA!$H$5+0)))*ROW(Catalogue!$C$4:$C$454))-3),""),IF(IFERROR(INDEX(Supports!$G$4:$G$23,MATCH(RIA!$H$12,Supports!$B$4:$B$23,0)),"")="COLLIER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tube)",IFERROR(INDEX(Catalogue!$B$4:$B$454,SUMPRODUCT(((Catalogue!$C$4:$C$454="COLLIERINDUS")*(Catalogue!$E$4:$E$454=(RIA!$H$5+0)))*ROW(Catalogue!$C$4:$C$454))-3),""),IF(IFERROR(INDEX(Supports!$G$4:$G$23,MATCH(RIA!$H$12,Supports!$B$4:$B$23,0)),"")="COLLIER POIRE (DN automatique = DN du tube)",IFERROR(INDEX(Catalogue!$B$4:$B$454,SUMPRODUCT(((Catalogue!$C$4:$C$454="COLLIERPOIRE")*(Catalogue!$E$4:$E$454=(RIA!$H$5+0)))*ROW(Catalogue!$C$4:$C$454))-3),""),IFERROR(INDEX(Supports!$G$4:$G$23,MATCH(RIA!$H$12,Supports!$B$4:$B$23,0)),"")))))</f>
        <v/>
      </c>
      <c r="D60" s="76" t="str">
        <f>IF((IFERROR(INDEX(Supports!$G$4:$G$23,MATCH(RIA!$H$12,Supports!$B$4:$B$23,0)),""))="","",(IFERROR(INDEX(Supports!$H$4:$H$23,MATCH(RIA!$H$12,Supports!$B$4:$B$23,0)),0))*RIA!$H$13)</f>
        <v/>
      </c>
      <c r="E60" s="76" t="s">
        <v>1036</v>
      </c>
      <c r="F60" s="76" t="str">
        <f t="shared" si="1"/>
        <v/>
      </c>
      <c r="G60" s="76">
        <f>IF(AND(B60&lt;&gt;"",B60&lt;&gt;"Non trouvé - vérifier",D60&lt;&gt;"",D60&lt;&gt;0),IF(COUNTIF($B$2:B60,B60)=1,1,0),0)</f>
        <v>0</v>
      </c>
    </row>
    <row r="61" spans="1:7" x14ac:dyDescent="0.25">
      <c r="A61" s="76" t="s">
        <v>1117</v>
      </c>
      <c r="B61" s="76" t="str">
        <f>IF((IFERROR(INDEX(Supports!$I$4:$I$23,MATCH(RIA!$H$12,Supports!$B$4:$B$23,0)),""))="","",IF(IFERROR(INDEX(Supports!$I$4:$I$23,MATCH(RIA!$H$12,Supports!$B$4:$B$23,0)),"")="ETRIER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vérifier"),IF(IFERROR(INDEX(Supports!$I$4:$I$23,MATCH(RIA!$H$12,Supports!$B$4:$B$23,0)),"")="COLLIER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vérifier"),IF(IFERROR(INDEX(Supports!$I$4:$I$23,MATCH(RIA!$H$12,Supports!$B$4:$B$23,0)),"")="COLLIER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vérifier"),IFERROR(INDEX(Catalogue!$A$4:$A$454,MATCH(IFERROR(INDEX(Supports!$I$4:$I$23,MATCH(RIA!$H$12,Supports!$B$4:$B$23,0)),""),Catalogue!$B$4:$B$454,0)),"")))))</f>
        <v/>
      </c>
      <c r="C61" s="76" t="str">
        <f>IF((IFERROR(INDEX(Supports!$I$4:$I$23,MATCH(RIA!$H$12,Supports!$B$4:$B$23,0)),""))="","",IF(IFERROR(INDEX(Supports!$I$4:$I$23,MATCH(RIA!$H$12,Supports!$B$4:$B$23,0)),"")="ETRIER RALLONGE (DN automatique = DN du tube)",IFERROR(INDEX(Catalogue!$B$4:$B$454,SUMPRODUCT(((Catalogue!$C$4:$C$454="ETRIER")*(Catalogue!$E$4:$E$454=(RIA!$H$5+0)))*ROW(Catalogue!$C$4:$C$454))-3),""),IF(IFERROR(INDEX(Supports!$I$4:$I$23,MATCH(RIA!$H$12,Supports!$B$4:$B$23,0)),"")="COLLIER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tube)",IFERROR(INDEX(Catalogue!$B$4:$B$454,SUMPRODUCT(((Catalogue!$C$4:$C$454="COLLIERINDUS")*(Catalogue!$E$4:$E$454=(RIA!$H$5+0)))*ROW(Catalogue!$C$4:$C$454))-3),""),IF(IFERROR(INDEX(Supports!$I$4:$I$23,MATCH(RIA!$H$12,Supports!$B$4:$B$23,0)),"")="COLLIER POIRE (DN automatique = DN du tube)",IFERROR(INDEX(Catalogue!$B$4:$B$454,SUMPRODUCT(((Catalogue!$C$4:$C$454="COLLIERPOIRE")*(Catalogue!$E$4:$E$454=(RIA!$H$5+0)))*ROW(Catalogue!$C$4:$C$454))-3),""),IFERROR(INDEX(Supports!$I$4:$I$23,MATCH(RIA!$H$12,Supports!$B$4:$B$23,0)),"")))))</f>
        <v/>
      </c>
      <c r="D61" s="76" t="str">
        <f>IF((IFERROR(INDEX(Supports!$I$4:$I$23,MATCH(RIA!$H$12,Supports!$B$4:$B$23,0)),""))="","",(IFERROR(INDEX(Supports!$J$4:$J$23,MATCH(RIA!$H$12,Supports!$B$4:$B$23,0)),0))*RIA!$H$13)</f>
        <v/>
      </c>
      <c r="E61" s="76" t="s">
        <v>1036</v>
      </c>
      <c r="F61" s="76" t="str">
        <f t="shared" si="1"/>
        <v/>
      </c>
      <c r="G61" s="76">
        <f>IF(AND(B61&lt;&gt;"",B61&lt;&gt;"Non trouvé - vérifier",D61&lt;&gt;"",D61&lt;&gt;0),IF(COUNTIF($B$2:B61,B61)=1,1,0),0)</f>
        <v>0</v>
      </c>
    </row>
    <row r="62" spans="1:7" x14ac:dyDescent="0.25">
      <c r="A62" s="76" t="s">
        <v>1117</v>
      </c>
      <c r="B62" s="76" t="str">
        <f>IF((IFERROR(INDEX(Supports!$K$4:$K$23,MATCH(RIA!$H$12,Supports!$B$4:$B$23,0)),""))="","",IF(IFERROR(INDEX(Supports!$K$4:$K$23,MATCH(RIA!$H$12,Supports!$B$4:$B$23,0)),"")="ETRIER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vérifier"),IF(IFERROR(INDEX(Supports!$K$4:$K$23,MATCH(RIA!$H$12,Supports!$B$4:$B$23,0)),"")="COLLIER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vérifier"),IF(IFERROR(INDEX(Supports!$K$4:$K$23,MATCH(RIA!$H$12,Supports!$B$4:$B$23,0)),"")="COLLIER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vérifier"),IFERROR(INDEX(Catalogue!$A$4:$A$454,MATCH(IFERROR(INDEX(Supports!$K$4:$K$23,MATCH(RIA!$H$12,Supports!$B$4:$B$23,0)),""),Catalogue!$B$4:$B$454,0)),"")))))</f>
        <v/>
      </c>
      <c r="C62" s="76" t="str">
        <f>IF((IFERROR(INDEX(Supports!$K$4:$K$23,MATCH(RIA!$H$12,Supports!$B$4:$B$23,0)),""))="","",IF(IFERROR(INDEX(Supports!$K$4:$K$23,MATCH(RIA!$H$12,Supports!$B$4:$B$23,0)),"")="ETRIER RALLONGE (DN automatique = DN du tube)",IFERROR(INDEX(Catalogue!$B$4:$B$454,SUMPRODUCT(((Catalogue!$C$4:$C$454="ETRIER")*(Catalogue!$E$4:$E$454=(RIA!$H$5+0)))*ROW(Catalogue!$C$4:$C$454))-3),""),IF(IFERROR(INDEX(Supports!$K$4:$K$23,MATCH(RIA!$H$12,Supports!$B$4:$B$23,0)),"")="COLLIER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tube)",IFERROR(INDEX(Catalogue!$B$4:$B$454,SUMPRODUCT(((Catalogue!$C$4:$C$454="COLLIERINDUS")*(Catalogue!$E$4:$E$454=(RIA!$H$5+0)))*ROW(Catalogue!$C$4:$C$454))-3),""),IF(IFERROR(INDEX(Supports!$K$4:$K$23,MATCH(RIA!$H$12,Supports!$B$4:$B$23,0)),"")="COLLIER POIRE (DN automatique = DN du tube)",IFERROR(INDEX(Catalogue!$B$4:$B$454,SUMPRODUCT(((Catalogue!$C$4:$C$454="COLLIERPOIRE")*(Catalogue!$E$4:$E$454=(RIA!$H$5+0)))*ROW(Catalogue!$C$4:$C$454))-3),""),IFERROR(INDEX(Supports!$K$4:$K$23,MATCH(RIA!$H$12,Supports!$B$4:$B$23,0)),"")))))</f>
        <v/>
      </c>
      <c r="D62" s="76" t="str">
        <f>IF((IFERROR(INDEX(Supports!$K$4:$K$23,MATCH(RIA!$H$12,Supports!$B$4:$B$23,0)),""))="","",(IFERROR(INDEX(Supports!$L$4:$L$23,MATCH(RIA!$H$12,Supports!$B$4:$B$23,0)),0))*RIA!$H$13)</f>
        <v/>
      </c>
      <c r="E62" s="76" t="s">
        <v>1036</v>
      </c>
      <c r="F62" s="76" t="str">
        <f t="shared" si="1"/>
        <v/>
      </c>
      <c r="G62" s="76">
        <f>IF(AND(B62&lt;&gt;"",B62&lt;&gt;"Non trouvé - vérifier",D62&lt;&gt;"",D62&lt;&gt;0),IF(COUNTIF($B$2:B62,B62)=1,1,0),0)</f>
        <v>0</v>
      </c>
    </row>
    <row r="63" spans="1:7" x14ac:dyDescent="0.25">
      <c r="A63" s="76" t="s">
        <v>1117</v>
      </c>
      <c r="B63" s="76" t="str">
        <f>IF((IFERROR(INDEX(Supports!$M$4:$M$23,MATCH(RIA!$H$12,Supports!$B$4:$B$23,0)),""))="","",IF(IFERROR(INDEX(Supports!$M$4:$M$23,MATCH(RIA!$H$12,Supports!$B$4:$B$23,0)),"")="ETRIER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vérifier"),IF(IFERROR(INDEX(Supports!$M$4:$M$23,MATCH(RIA!$H$12,Supports!$B$4:$B$23,0)),"")="COLLIER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vérifier"),IF(IFERROR(INDEX(Supports!$M$4:$M$23,MATCH(RIA!$H$12,Supports!$B$4:$B$23,0)),"")="COLLIER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vérifier"),IFERROR(INDEX(Catalogue!$A$4:$A$454,MATCH(IFERROR(INDEX(Supports!$M$4:$M$23,MATCH(RIA!$H$12,Supports!$B$4:$B$23,0)),""),Catalogue!$B$4:$B$454,0)),"")))))</f>
        <v/>
      </c>
      <c r="C63" s="76" t="str">
        <f>IF((IFERROR(INDEX(Supports!$M$4:$M$23,MATCH(RIA!$H$12,Supports!$B$4:$B$23,0)),""))="","",IF(IFERROR(INDEX(Supports!$M$4:$M$23,MATCH(RIA!$H$12,Supports!$B$4:$B$23,0)),"")="ETRIER RALLONGE (DN automatique = DN du tube)",IFERROR(INDEX(Catalogue!$B$4:$B$454,SUMPRODUCT(((Catalogue!$C$4:$C$454="ETRIER")*(Catalogue!$E$4:$E$454=(RIA!$H$5+0)))*ROW(Catalogue!$C$4:$C$454))-3),""),IF(IFERROR(INDEX(Supports!$M$4:$M$23,MATCH(RIA!$H$12,Supports!$B$4:$B$23,0)),"")="COLLIER INDUSTRIEL (DN automatique = DN du tube)",IFERROR(INDEX(Catalogue!$B$4:$B$454,SUMPRODUCT(((Catalogue!$C$4:$C$454="COLLIERINDUS")*(Catalogue!$E$4:$E$454=(RIA!$H$5+0)))*ROW(Catalogue!$C$4:$C$454))-3),""),IF(IFERROR(INDEX(Supports!$M$4:$M$23,MATCH(RIA!$H$12,Supports!$B$4:$B$23,0)),"")="COLLIER POIRE (DN automatique = DN du tube)",IFERROR(INDEX(Catalogue!$B$4:$B$454,SUMPRODUCT(((Catalogue!$C$4:$C$454="COLLIERPOIRE")*(Catalogue!$E$4:$E$454=(RIA!$H$5+0)))*ROW(Catalogue!$C$4:$C$454))-3),""),IFERROR(INDEX(Supports!$M$4:$M$23,MATCH(RIA!$H$12,Supports!$B$4:$B$23,0)),"")))))</f>
        <v/>
      </c>
      <c r="D63" s="76" t="str">
        <f>IF((IFERROR(INDEX(Supports!$M$4:$M$23,MATCH(RIA!$H$12,Supports!$B$4:$B$23,0)),""))="","",(IFERROR(INDEX(Supports!$N$4:$N$23,MATCH(RIA!$H$12,Supports!$B$4:$B$23,0)),0))*RIA!$H$13)</f>
        <v/>
      </c>
      <c r="E63" s="76" t="s">
        <v>1036</v>
      </c>
      <c r="F63" s="76" t="str">
        <f t="shared" si="1"/>
        <v/>
      </c>
      <c r="G63" s="76">
        <f>IF(AND(B63&lt;&gt;"",B63&lt;&gt;"Non trouvé - vérifier",D63&lt;&gt;"",D63&lt;&gt;0),IF(COUNTIF($B$2:B63,B63)=1,1,0),0)</f>
        <v>0</v>
      </c>
    </row>
    <row r="64" spans="1:7" x14ac:dyDescent="0.25">
      <c r="A64" s="76" t="s">
        <v>1118</v>
      </c>
      <c r="B64" s="76" t="str">
        <f>IF((IFERROR(INDEX(Supports!$C$4:$C$23,MATCH(RIA!$H$14,Supports!$B$4:$B$23,0)),""))="","",IF(IFERROR(INDEX(Supports!$C$4:$C$23,MATCH(RIA!$H$14,Supports!$B$4:$B$23,0)),"")="ETRIER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vérifier"),IF(IFERROR(INDEX(Supports!$C$4:$C$23,MATCH(RIA!$H$14,Supports!$B$4:$B$23,0)),"")="COLLIER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vérifier"),IF(IFERROR(INDEX(Supports!$C$4:$C$23,MATCH(RIA!$H$14,Supports!$B$4:$B$23,0)),"")="COLLIER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vérifier"),IFERROR(INDEX(Catalogue!$A$4:$A$454,MATCH(IFERROR(INDEX(Supports!$C$4:$C$23,MATCH(RIA!$H$14,Supports!$B$4:$B$23,0)),""),Catalogue!$B$4:$B$454,0)),"")))))</f>
        <v/>
      </c>
      <c r="C64" s="76" t="str">
        <f>IF((IFERROR(INDEX(Supports!$C$4:$C$23,MATCH(RIA!$H$14,Supports!$B$4:$B$23,0)),""))="","",IF(IFERROR(INDEX(Supports!$C$4:$C$23,MATCH(RIA!$H$14,Supports!$B$4:$B$23,0)),"")="ETRIER RALLONGE (DN automatique = DN du tube)",IFERROR(INDEX(Catalogue!$B$4:$B$454,SUMPRODUCT(((Catalogue!$C$4:$C$454="ETRIER")*(Catalogue!$E$4:$E$454=(RIA!$H$5+0)))*ROW(Catalogue!$C$4:$C$454))-3),""),IF(IFERROR(INDEX(Supports!$C$4:$C$23,MATCH(RIA!$H$14,Supports!$B$4:$B$23,0)),"")="COLLIER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tube)",IFERROR(INDEX(Catalogue!$B$4:$B$454,SUMPRODUCT(((Catalogue!$C$4:$C$454="COLLIERINDUS")*(Catalogue!$E$4:$E$454=(RIA!$H$5+0)))*ROW(Catalogue!$C$4:$C$454))-3),""),IF(IFERROR(INDEX(Supports!$C$4:$C$23,MATCH(RIA!$H$14,Supports!$B$4:$B$23,0)),"")="COLLIER POIRE (DN automatique = DN du tube)",IFERROR(INDEX(Catalogue!$B$4:$B$454,SUMPRODUCT(((Catalogue!$C$4:$C$454="COLLIERPOIRE")*(Catalogue!$E$4:$E$454=(RIA!$H$5+0)))*ROW(Catalogue!$C$4:$C$454))-3),""),IFERROR(INDEX(Supports!$C$4:$C$23,MATCH(RIA!$H$14,Supports!$B$4:$B$23,0)),"")))))</f>
        <v/>
      </c>
      <c r="D64" s="76" t="str">
        <f>IF((IFERROR(INDEX(Supports!$C$4:$C$23,MATCH(RIA!$H$14,Supports!$B$4:$B$23,0)),""))="","",(IFERROR(INDEX(Supports!$D$4:$D$23,MATCH(RIA!$H$14,Supports!$B$4:$B$23,0)),0))*RIA!$H$15)</f>
        <v/>
      </c>
      <c r="E64" s="76" t="s">
        <v>1036</v>
      </c>
      <c r="F64" s="76" t="str">
        <f t="shared" si="1"/>
        <v/>
      </c>
      <c r="G64" s="76">
        <f>IF(AND(B64&lt;&gt;"",B64&lt;&gt;"Non trouvé - vérifier",D64&lt;&gt;"",D64&lt;&gt;0),IF(COUNTIF($B$2:B64,B64)=1,1,0),0)</f>
        <v>0</v>
      </c>
    </row>
    <row r="65" spans="1:7" x14ac:dyDescent="0.25">
      <c r="A65" s="76" t="s">
        <v>1118</v>
      </c>
      <c r="B65" s="76" t="str">
        <f>IF((IFERROR(INDEX(Supports!$E$4:$E$23,MATCH(RIA!$H$14,Supports!$B$4:$B$23,0)),""))="","",IF(IFERROR(INDEX(Supports!$E$4:$E$23,MATCH(RIA!$H$14,Supports!$B$4:$B$23,0)),"")="ETRIER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vérifier"),IF(IFERROR(INDEX(Supports!$E$4:$E$23,MATCH(RIA!$H$14,Supports!$B$4:$B$23,0)),"")="COLLIER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vérifier"),IF(IFERROR(INDEX(Supports!$E$4:$E$23,MATCH(RIA!$H$14,Supports!$B$4:$B$23,0)),"")="COLLIER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vérifier"),IFERROR(INDEX(Catalogue!$A$4:$A$454,MATCH(IFERROR(INDEX(Supports!$E$4:$E$23,MATCH(RIA!$H$14,Supports!$B$4:$B$23,0)),""),Catalogue!$B$4:$B$454,0)),"")))))</f>
        <v/>
      </c>
      <c r="C65" s="76" t="str">
        <f>IF((IFERROR(INDEX(Supports!$E$4:$E$23,MATCH(RIA!$H$14,Supports!$B$4:$B$23,0)),""))="","",IF(IFERROR(INDEX(Supports!$E$4:$E$23,MATCH(RIA!$H$14,Supports!$B$4:$B$23,0)),"")="ETRIER RALLONGE (DN automatique = DN du tube)",IFERROR(INDEX(Catalogue!$B$4:$B$454,SUMPRODUCT(((Catalogue!$C$4:$C$454="ETRIER")*(Catalogue!$E$4:$E$454=(RIA!$H$5+0)))*ROW(Catalogue!$C$4:$C$454))-3),""),IF(IFERROR(INDEX(Supports!$E$4:$E$23,MATCH(RIA!$H$14,Supports!$B$4:$B$23,0)),"")="COLLIER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tube)",IFERROR(INDEX(Catalogue!$B$4:$B$454,SUMPRODUCT(((Catalogue!$C$4:$C$454="COLLIERINDUS")*(Catalogue!$E$4:$E$454=(RIA!$H$5+0)))*ROW(Catalogue!$C$4:$C$454))-3),""),IF(IFERROR(INDEX(Supports!$E$4:$E$23,MATCH(RIA!$H$14,Supports!$B$4:$B$23,0)),"")="COLLIER POIRE (DN automatique = DN du tube)",IFERROR(INDEX(Catalogue!$B$4:$B$454,SUMPRODUCT(((Catalogue!$C$4:$C$454="COLLIERPOIRE")*(Catalogue!$E$4:$E$454=(RIA!$H$5+0)))*ROW(Catalogue!$C$4:$C$454))-3),""),IFERROR(INDEX(Supports!$E$4:$E$23,MATCH(RIA!$H$14,Supports!$B$4:$B$23,0)),"")))))</f>
        <v/>
      </c>
      <c r="D65" s="76" t="str">
        <f>IF((IFERROR(INDEX(Supports!$E$4:$E$23,MATCH(RIA!$H$14,Supports!$B$4:$B$23,0)),""))="","",(IFERROR(INDEX(Supports!$F$4:$F$23,MATCH(RIA!$H$14,Supports!$B$4:$B$23,0)),0))*RIA!$H$15)</f>
        <v/>
      </c>
      <c r="E65" s="76" t="s">
        <v>1036</v>
      </c>
      <c r="F65" s="76" t="str">
        <f t="shared" si="1"/>
        <v/>
      </c>
      <c r="G65" s="76">
        <f>IF(AND(B65&lt;&gt;"",B65&lt;&gt;"Non trouvé - vérifier",D65&lt;&gt;"",D65&lt;&gt;0),IF(COUNTIF($B$2:B65,B65)=1,1,0),0)</f>
        <v>0</v>
      </c>
    </row>
    <row r="66" spans="1:7" x14ac:dyDescent="0.25">
      <c r="A66" s="76" t="s">
        <v>1118</v>
      </c>
      <c r="B66" s="76" t="str">
        <f>IF((IFERROR(INDEX(Supports!$G$4:$G$23,MATCH(RIA!$H$14,Supports!$B$4:$B$23,0)),""))="","",IF(IFERROR(INDEX(Supports!$G$4:$G$23,MATCH(RIA!$H$14,Supports!$B$4:$B$23,0)),"")="ETRIER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vérifier"),IF(IFERROR(INDEX(Supports!$G$4:$G$23,MATCH(RIA!$H$14,Supports!$B$4:$B$23,0)),"")="COLLIER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vérifier"),IF(IFERROR(INDEX(Supports!$G$4:$G$23,MATCH(RIA!$H$14,Supports!$B$4:$B$23,0)),"")="COLLIER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vérifier"),IFERROR(INDEX(Catalogue!$A$4:$A$454,MATCH(IFERROR(INDEX(Supports!$G$4:$G$23,MATCH(RIA!$H$14,Supports!$B$4:$B$23,0)),""),Catalogue!$B$4:$B$454,0)),"")))))</f>
        <v/>
      </c>
      <c r="C66" s="76" t="str">
        <f>IF((IFERROR(INDEX(Supports!$G$4:$G$23,MATCH(RIA!$H$14,Supports!$B$4:$B$23,0)),""))="","",IF(IFERROR(INDEX(Supports!$G$4:$G$23,MATCH(RIA!$H$14,Supports!$B$4:$B$23,0)),"")="ETRIER RALLONGE (DN automatique = DN du tube)",IFERROR(INDEX(Catalogue!$B$4:$B$454,SUMPRODUCT(((Catalogue!$C$4:$C$454="ETRIER")*(Catalogue!$E$4:$E$454=(RIA!$H$5+0)))*ROW(Catalogue!$C$4:$C$454))-3),""),IF(IFERROR(INDEX(Supports!$G$4:$G$23,MATCH(RIA!$H$14,Supports!$B$4:$B$23,0)),"")="COLLIER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tube)",IFERROR(INDEX(Catalogue!$B$4:$B$454,SUMPRODUCT(((Catalogue!$C$4:$C$454="COLLIERINDUS")*(Catalogue!$E$4:$E$454=(RIA!$H$5+0)))*ROW(Catalogue!$C$4:$C$454))-3),""),IF(IFERROR(INDEX(Supports!$G$4:$G$23,MATCH(RIA!$H$14,Supports!$B$4:$B$23,0)),"")="COLLIER POIRE (DN automatique = DN du tube)",IFERROR(INDEX(Catalogue!$B$4:$B$454,SUMPRODUCT(((Catalogue!$C$4:$C$454="COLLIERPOIRE")*(Catalogue!$E$4:$E$454=(RIA!$H$5+0)))*ROW(Catalogue!$C$4:$C$454))-3),""),IFERROR(INDEX(Supports!$G$4:$G$23,MATCH(RIA!$H$14,Supports!$B$4:$B$23,0)),"")))))</f>
        <v/>
      </c>
      <c r="D66" s="76" t="str">
        <f>IF((IFERROR(INDEX(Supports!$G$4:$G$23,MATCH(RIA!$H$14,Supports!$B$4:$B$23,0)),""))="","",(IFERROR(INDEX(Supports!$H$4:$H$23,MATCH(RIA!$H$14,Supports!$B$4:$B$23,0)),0))*RIA!$H$15)</f>
        <v/>
      </c>
      <c r="E66" s="76" t="s">
        <v>1036</v>
      </c>
      <c r="F66" s="76" t="str">
        <f t="shared" ref="F66:F97" si="2">IF(AND(B66&lt;&gt;"",B66&lt;&gt;"Non trouvé - vérifier",D66&lt;&gt;"",D66&lt;&gt;0),SUMIF($B$2:$B$183,B66,$D$2:$D$183),"")</f>
        <v/>
      </c>
      <c r="G66" s="76">
        <f>IF(AND(B66&lt;&gt;"",B66&lt;&gt;"Non trouvé - vérifier",D66&lt;&gt;"",D66&lt;&gt;0),IF(COUNTIF($B$2:B66,B66)=1,1,0),0)</f>
        <v>0</v>
      </c>
    </row>
    <row r="67" spans="1:7" x14ac:dyDescent="0.25">
      <c r="A67" s="76" t="s">
        <v>1118</v>
      </c>
      <c r="B67" s="76" t="str">
        <f>IF((IFERROR(INDEX(Supports!$I$4:$I$23,MATCH(RIA!$H$14,Supports!$B$4:$B$23,0)),""))="","",IF(IFERROR(INDEX(Supports!$I$4:$I$23,MATCH(RIA!$H$14,Supports!$B$4:$B$23,0)),"")="ETRIER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vérifier"),IF(IFERROR(INDEX(Supports!$I$4:$I$23,MATCH(RIA!$H$14,Supports!$B$4:$B$23,0)),"")="COLLIER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vérifier"),IF(IFERROR(INDEX(Supports!$I$4:$I$23,MATCH(RIA!$H$14,Supports!$B$4:$B$23,0)),"")="COLLIER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vérifier"),IFERROR(INDEX(Catalogue!$A$4:$A$454,MATCH(IFERROR(INDEX(Supports!$I$4:$I$23,MATCH(RIA!$H$14,Supports!$B$4:$B$23,0)),""),Catalogue!$B$4:$B$454,0)),"")))))</f>
        <v/>
      </c>
      <c r="C67" s="76" t="str">
        <f>IF((IFERROR(INDEX(Supports!$I$4:$I$23,MATCH(RIA!$H$14,Supports!$B$4:$B$23,0)),""))="","",IF(IFERROR(INDEX(Supports!$I$4:$I$23,MATCH(RIA!$H$14,Supports!$B$4:$B$23,0)),"")="ETRIER RALLONGE (DN automatique = DN du tube)",IFERROR(INDEX(Catalogue!$B$4:$B$454,SUMPRODUCT(((Catalogue!$C$4:$C$454="ETRIER")*(Catalogue!$E$4:$E$454=(RIA!$H$5+0)))*ROW(Catalogue!$C$4:$C$454))-3),""),IF(IFERROR(INDEX(Supports!$I$4:$I$23,MATCH(RIA!$H$14,Supports!$B$4:$B$23,0)),"")="COLLIER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tube)",IFERROR(INDEX(Catalogue!$B$4:$B$454,SUMPRODUCT(((Catalogue!$C$4:$C$454="COLLIERINDUS")*(Catalogue!$E$4:$E$454=(RIA!$H$5+0)))*ROW(Catalogue!$C$4:$C$454))-3),""),IF(IFERROR(INDEX(Supports!$I$4:$I$23,MATCH(RIA!$H$14,Supports!$B$4:$B$23,0)),"")="COLLIER POIRE (DN automatique = DN du tube)",IFERROR(INDEX(Catalogue!$B$4:$B$454,SUMPRODUCT(((Catalogue!$C$4:$C$454="COLLIERPOIRE")*(Catalogue!$E$4:$E$454=(RIA!$H$5+0)))*ROW(Catalogue!$C$4:$C$454))-3),""),IFERROR(INDEX(Supports!$I$4:$I$23,MATCH(RIA!$H$14,Supports!$B$4:$B$23,0)),"")))))</f>
        <v/>
      </c>
      <c r="D67" s="76" t="str">
        <f>IF((IFERROR(INDEX(Supports!$I$4:$I$23,MATCH(RIA!$H$14,Supports!$B$4:$B$23,0)),""))="","",(IFERROR(INDEX(Supports!$J$4:$J$23,MATCH(RIA!$H$14,Supports!$B$4:$B$23,0)),0))*RIA!$H$15)</f>
        <v/>
      </c>
      <c r="E67" s="76" t="s">
        <v>1036</v>
      </c>
      <c r="F67" s="76" t="str">
        <f t="shared" si="2"/>
        <v/>
      </c>
      <c r="G67" s="76">
        <f>IF(AND(B67&lt;&gt;"",B67&lt;&gt;"Non trouvé - vérifier",D67&lt;&gt;"",D67&lt;&gt;0),IF(COUNTIF($B$2:B67,B67)=1,1,0),0)</f>
        <v>0</v>
      </c>
    </row>
    <row r="68" spans="1:7" x14ac:dyDescent="0.25">
      <c r="A68" s="76" t="s">
        <v>1118</v>
      </c>
      <c r="B68" s="76" t="str">
        <f>IF((IFERROR(INDEX(Supports!$K$4:$K$23,MATCH(RIA!$H$14,Supports!$B$4:$B$23,0)),""))="","",IF(IFERROR(INDEX(Supports!$K$4:$K$23,MATCH(RIA!$H$14,Supports!$B$4:$B$23,0)),"")="ETRIER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vérifier"),IF(IFERROR(INDEX(Supports!$K$4:$K$23,MATCH(RIA!$H$14,Supports!$B$4:$B$23,0)),"")="COLLIER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vérifier"),IF(IFERROR(INDEX(Supports!$K$4:$K$23,MATCH(RIA!$H$14,Supports!$B$4:$B$23,0)),"")="COLLIER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vérifier"),IFERROR(INDEX(Catalogue!$A$4:$A$454,MATCH(IFERROR(INDEX(Supports!$K$4:$K$23,MATCH(RIA!$H$14,Supports!$B$4:$B$23,0)),""),Catalogue!$B$4:$B$454,0)),"")))))</f>
        <v/>
      </c>
      <c r="C68" s="76" t="str">
        <f>IF((IFERROR(INDEX(Supports!$K$4:$K$23,MATCH(RIA!$H$14,Supports!$B$4:$B$23,0)),""))="","",IF(IFERROR(INDEX(Supports!$K$4:$K$23,MATCH(RIA!$H$14,Supports!$B$4:$B$23,0)),"")="ETRIER RALLONGE (DN automatique = DN du tube)",IFERROR(INDEX(Catalogue!$B$4:$B$454,SUMPRODUCT(((Catalogue!$C$4:$C$454="ETRIER")*(Catalogue!$E$4:$E$454=(RIA!$H$5+0)))*ROW(Catalogue!$C$4:$C$454))-3),""),IF(IFERROR(INDEX(Supports!$K$4:$K$23,MATCH(RIA!$H$14,Supports!$B$4:$B$23,0)),"")="COLLIER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tube)",IFERROR(INDEX(Catalogue!$B$4:$B$454,SUMPRODUCT(((Catalogue!$C$4:$C$454="COLLIERINDUS")*(Catalogue!$E$4:$E$454=(RIA!$H$5+0)))*ROW(Catalogue!$C$4:$C$454))-3),""),IF(IFERROR(INDEX(Supports!$K$4:$K$23,MATCH(RIA!$H$14,Supports!$B$4:$B$23,0)),"")="COLLIER POIRE (DN automatique = DN du tube)",IFERROR(INDEX(Catalogue!$B$4:$B$454,SUMPRODUCT(((Catalogue!$C$4:$C$454="COLLIERPOIRE")*(Catalogue!$E$4:$E$454=(RIA!$H$5+0)))*ROW(Catalogue!$C$4:$C$454))-3),""),IFERROR(INDEX(Supports!$K$4:$K$23,MATCH(RIA!$H$14,Supports!$B$4:$B$23,0)),"")))))</f>
        <v/>
      </c>
      <c r="D68" s="76" t="str">
        <f>IF((IFERROR(INDEX(Supports!$K$4:$K$23,MATCH(RIA!$H$14,Supports!$B$4:$B$23,0)),""))="","",(IFERROR(INDEX(Supports!$L$4:$L$23,MATCH(RIA!$H$14,Supports!$B$4:$B$23,0)),0))*RIA!$H$15)</f>
        <v/>
      </c>
      <c r="E68" s="76" t="s">
        <v>1036</v>
      </c>
      <c r="F68" s="76" t="str">
        <f t="shared" si="2"/>
        <v/>
      </c>
      <c r="G68" s="76">
        <f>IF(AND(B68&lt;&gt;"",B68&lt;&gt;"Non trouvé - vérifier",D68&lt;&gt;"",D68&lt;&gt;0),IF(COUNTIF($B$2:B68,B68)=1,1,0),0)</f>
        <v>0</v>
      </c>
    </row>
    <row r="69" spans="1:7" x14ac:dyDescent="0.25">
      <c r="A69" s="76" t="s">
        <v>1118</v>
      </c>
      <c r="B69" s="76" t="str">
        <f>IF((IFERROR(INDEX(Supports!$M$4:$M$23,MATCH(RIA!$H$14,Supports!$B$4:$B$23,0)),""))="","",IF(IFERROR(INDEX(Supports!$M$4:$M$23,MATCH(RIA!$H$14,Supports!$B$4:$B$23,0)),"")="ETRIER RALLONGE (DN automatique = DN du tube)",IFERROR(INDEX(Catalogue!$A$4:$A$454,SUMPRODUCT(((Catalogue!$C$4:$C$454="ETRIER")*(Catalogue!$E$4:$E$454=(RIA!$H$5+0)))*ROW(Catalogue!$C$4:$C$454))-3),"Non trouvé - vérifier"),IF(IFERROR(INDEX(Supports!$M$4:$M$23,MATCH(RIA!$H$14,Supports!$B$4:$B$23,0)),"")="COLLIER INDUSTRIEL (DN automatique = DN du tube)",IFERROR(INDEX(Catalogue!$A$4:$A$454,SUMPRODUCT(((Catalogue!$C$4:$C$454="COLLIERINDUS")*(Catalogue!$E$4:$E$454=(RIA!$H$5+0)))*ROW(Catalogue!$C$4:$C$454))-3),"Non trouvé - vérifier"),IF(IFERROR(INDEX(Supports!$M$4:$M$23,MATCH(RIA!$H$14,Supports!$B$4:$B$23,0)),"")="COLLIER POIRE (DN automatique = DN du tube)",IFERROR(INDEX(Catalogue!$A$4:$A$454,SUMPRODUCT(((Catalogue!$C$4:$C$454="COLLIERPOIRE")*(Catalogue!$E$4:$E$454=(RIA!$H$5+0)))*ROW(Catalogue!$C$4:$C$454))-3),"Non trouvé - vérifier"),IFERROR(INDEX(Catalogue!$A$4:$A$454,MATCH(IFERROR(INDEX(Supports!$M$4:$M$23,MATCH(RIA!$H$14,Supports!$B$4:$B$23,0)),""),Catalogue!$B$4:$B$454,0)),"")))))</f>
        <v/>
      </c>
      <c r="C69" s="76" t="str">
        <f>IF((IFERROR(INDEX(Supports!$M$4:$M$23,MATCH(RIA!$H$14,Supports!$B$4:$B$23,0)),""))="","",IF(IFERROR(INDEX(Supports!$M$4:$M$23,MATCH(RIA!$H$14,Supports!$B$4:$B$23,0)),"")="ETRIER RALLONGE (DN automatique = DN du tube)",IFERROR(INDEX(Catalogue!$B$4:$B$454,SUMPRODUCT(((Catalogue!$C$4:$C$454="ETRIER")*(Catalogue!$E$4:$E$454=(RIA!$H$5+0)))*ROW(Catalogue!$C$4:$C$454))-3),""),IF(IFERROR(INDEX(Supports!$M$4:$M$23,MATCH(RIA!$H$14,Supports!$B$4:$B$23,0)),"")="COLLIER INDUSTRIEL (DN automatique = DN du tube)",IFERROR(INDEX(Catalogue!$B$4:$B$454,SUMPRODUCT(((Catalogue!$C$4:$C$454="COLLIERINDUS")*(Catalogue!$E$4:$E$454=(RIA!$H$5+0)))*ROW(Catalogue!$C$4:$C$454))-3),""),IF(IFERROR(INDEX(Supports!$M$4:$M$23,MATCH(RIA!$H$14,Supports!$B$4:$B$23,0)),"")="COLLIER POIRE (DN automatique = DN du tube)",IFERROR(INDEX(Catalogue!$B$4:$B$454,SUMPRODUCT(((Catalogue!$C$4:$C$454="COLLIERPOIRE")*(Catalogue!$E$4:$E$454=(RIA!$H$5+0)))*ROW(Catalogue!$C$4:$C$454))-3),""),IFERROR(INDEX(Supports!$M$4:$M$23,MATCH(RIA!$H$14,Supports!$B$4:$B$23,0)),"")))))</f>
        <v/>
      </c>
      <c r="D69" s="76" t="str">
        <f>IF((IFERROR(INDEX(Supports!$M$4:$M$23,MATCH(RIA!$H$14,Supports!$B$4:$B$23,0)),""))="","",(IFERROR(INDEX(Supports!$N$4:$N$23,MATCH(RIA!$H$14,Supports!$B$4:$B$23,0)),0))*RIA!$H$15)</f>
        <v/>
      </c>
      <c r="E69" s="76" t="s">
        <v>1036</v>
      </c>
      <c r="F69" s="76" t="str">
        <f t="shared" si="2"/>
        <v/>
      </c>
      <c r="G69" s="76">
        <f>IF(AND(B69&lt;&gt;"",B69&lt;&gt;"Non trouvé - vérifier",D69&lt;&gt;"",D69&lt;&gt;0),IF(COUNTIF($B$2:B69,B69)=1,1,0),0)</f>
        <v>0</v>
      </c>
    </row>
    <row r="70" spans="1:7" x14ac:dyDescent="0.25">
      <c r="A70" s="76" t="s">
        <v>1119</v>
      </c>
      <c r="B70" s="76" t="str">
        <f>IFERROR(INDEX(Catalogue!$A$4:$A$454,SUMPRODUCT(((Catalogue!$C$4:$C$454="TUBE")*(Catalogue!$G$4:$G$454&lt;&gt;"TSS")*(Catalogue!$D$4:$D$454="GALVA")*(Catalogue!$E$4:$E$454=(RIA!$J$5+0)))*ROW(Catalogue!$C$4:$C$454))-3),"Non trouvé - vérifier")</f>
        <v>Non trouvé - vérifier</v>
      </c>
      <c r="C70" s="76" t="str">
        <f>IFERROR(INDEX(Catalogue!$B$4:$B$454,SUMPRODUCT(((Catalogue!$C$4:$C$454="TUBE")*(Catalogue!$G$4:$G$454&lt;&gt;"TSS")*(Catalogue!$D$4:$D$454="GALVA")*(Catalogue!$E$4:$E$454=(RIA!$J$5+0)))*ROW(Catalogue!$C$4:$C$454))-3),"")</f>
        <v/>
      </c>
      <c r="D70" s="76">
        <f>CEILING((RIA!$J$6),6)</f>
        <v>0</v>
      </c>
      <c r="E70" s="76" t="s">
        <v>1033</v>
      </c>
      <c r="F70" s="76" t="str">
        <f t="shared" si="2"/>
        <v/>
      </c>
      <c r="G70" s="76">
        <f>IF(AND(B70&lt;&gt;"",B70&lt;&gt;"Non trouvé - vérifier",D70&lt;&gt;"",D70&lt;&gt;0),IF(COUNTIF($B$2:B70,B70)=1,1,0),0)</f>
        <v>0</v>
      </c>
    </row>
    <row r="71" spans="1:7" x14ac:dyDescent="0.25">
      <c r="A71" s="76" t="s">
        <v>1119</v>
      </c>
      <c r="B71" s="76" t="str">
        <f>IFERROR(INDEX(Catalogue!$A$4:$A$454,SUMPRODUCT(((Catalogue!$C$4:$C$454="COUDE90")*(Catalogue!$D$4:$D$454="GALVA")*(Catalogue!$E$4:$E$454=(RIA!$J$5+0)))*ROW(Catalogue!$C$4:$C$454))-3),"Non trouvé - vérifier")</f>
        <v>Non trouvé - vérifier</v>
      </c>
      <c r="C71" s="76" t="str">
        <f>IFERROR(INDEX(Catalogue!$B$4:$B$454,SUMPRODUCT(((Catalogue!$C$4:$C$454="COUDE90")*(Catalogue!$D$4:$D$454="GALVA")*(Catalogue!$E$4:$E$454=(RIA!$J$5+0)))*ROW(Catalogue!$C$4:$C$454))-3),"")</f>
        <v/>
      </c>
      <c r="D71" s="76">
        <f>RIA!$J$7</f>
        <v>0</v>
      </c>
      <c r="E71" s="76" t="s">
        <v>1034</v>
      </c>
      <c r="F71" s="76" t="str">
        <f t="shared" si="2"/>
        <v/>
      </c>
      <c r="G71" s="76">
        <f>IF(AND(B71&lt;&gt;"",B71&lt;&gt;"Non trouvé - vérifier",D71&lt;&gt;"",D71&lt;&gt;0),IF(COUNTIF($B$2:B71,B71)=1,1,0),0)</f>
        <v>0</v>
      </c>
    </row>
    <row r="72" spans="1:7" x14ac:dyDescent="0.25">
      <c r="A72" s="76" t="s">
        <v>1119</v>
      </c>
      <c r="B72" s="76" t="str">
        <f>IFERROR(INDEX(Catalogue!$A$4:$A$454,SUMPRODUCT(((Catalogue!$C$4:$C$454="TES")*(Catalogue!$D$4:$D$454="GALVA")*(Catalogue!$E$4:$E$454=(RIA!$J$5+0))*(Catalogue!$G$4:$G$454="RAINURE"))*ROW(Catalogue!$C$4:$C$454))-3),"Non trouvé - vérifier")</f>
        <v>Non trouvé - vérifier</v>
      </c>
      <c r="C72" s="76" t="str">
        <f>IFERROR(INDEX(Catalogue!$B$4:$B$454,SUMPRODUCT(((Catalogue!$C$4:$C$454="TES")*(Catalogue!$D$4:$D$454="GALVA")*(Catalogue!$E$4:$E$454=(RIA!$J$5+0))*(Catalogue!$G$4:$G$454="RAINURE"))*ROW(Catalogue!$C$4:$C$454))-3),"")</f>
        <v/>
      </c>
      <c r="D72" s="76">
        <f>RIA!$J$8</f>
        <v>0</v>
      </c>
      <c r="E72" s="76" t="s">
        <v>1034</v>
      </c>
      <c r="F72" s="76" t="str">
        <f t="shared" si="2"/>
        <v/>
      </c>
      <c r="G72" s="76">
        <f>IF(AND(B72&lt;&gt;"",B72&lt;&gt;"Non trouvé - vérifier",D72&lt;&gt;"",D72&lt;&gt;0),IF(COUNTIF($B$2:B72,B72)=1,1,0),0)</f>
        <v>0</v>
      </c>
    </row>
    <row r="73" spans="1:7" x14ac:dyDescent="0.25">
      <c r="A73" s="76" t="s">
        <v>1119</v>
      </c>
      <c r="B73" s="76" t="str">
        <f>IFERROR(INDEX(Catalogue!$A$4:$A$454,SUMPRODUCT(((Catalogue!$C$4:$C$454="RACCORD")*(Catalogue!$D$4:$D$454="GALVA")*(Catalogue!$E$4:$E$454=(RIA!$J$5+0)))*ROW(Catalogue!$C$4:$C$454))-3),"Non trouvé - vérifier")</f>
        <v>Non trouvé - vérifier</v>
      </c>
      <c r="C73" s="76" t="str">
        <f>IFERROR(INDEX(Catalogue!$B$4:$B$454,SUMPRODUCT(((Catalogue!$C$4:$C$454="RACCORD")*(Catalogue!$D$4:$D$454="GALVA")*(Catalogue!$E$4:$E$454=(RIA!$J$5+0)))*ROW(Catalogue!$C$4:$C$454))-3),"")</f>
        <v/>
      </c>
      <c r="D73" s="76">
        <f>ROUNDUP(((RIA!$J$6/6)+(RIA!$J$7*2)+(RIA!$J$8*3))*1.1,0)</f>
        <v>0</v>
      </c>
      <c r="E73" s="76" t="s">
        <v>1034</v>
      </c>
      <c r="F73" s="76" t="str">
        <f t="shared" si="2"/>
        <v/>
      </c>
      <c r="G73" s="76">
        <f>IF(AND(B73&lt;&gt;"",B73&lt;&gt;"Non trouvé - vérifier",D73&lt;&gt;"",D73&lt;&gt;0),IF(COUNTIF($B$2:B73,B73)=1,1,0),0)</f>
        <v>0</v>
      </c>
    </row>
    <row r="74" spans="1:7" x14ac:dyDescent="0.25">
      <c r="A74" s="76" t="s">
        <v>1120</v>
      </c>
      <c r="B74" s="76" t="str">
        <f>IFERROR(INDEX(Catalogue!$A$4:$A$454,SUMPRODUCT(((Catalogue!$C$4:$C$454="REDUC")*(Catalogue!$D$4:$D$454="GALVA")*(Catalogue!$E$4:$E$454=(RIA!$H$5+0))*(Catalogue!$F$4:$F$454=(RIA!$J$5+0))*(Catalogue!$G$4:$G$454="RAINURE"))*ROW(Catalogue!$C$4:$C$454))-3),"Non trouvé - vérifier")</f>
        <v>Non trouvé - vérifier</v>
      </c>
      <c r="C74" s="76" t="str">
        <f>IFERROR(INDEX(Catalogue!$B$4:$B$454,SUMPRODUCT(((Catalogue!$C$4:$C$454="REDUC")*(Catalogue!$D$4:$D$454="GALVA")*(Catalogue!$E$4:$E$454=(RIA!$H$5+0))*(Catalogue!$F$4:$F$454=(RIA!$J$5+0))*(Catalogue!$G$4:$G$454="RAINURE"))*ROW(Catalogue!$C$4:$C$454))-3),"")</f>
        <v/>
      </c>
      <c r="D74" s="76">
        <f>RIA!$J$9</f>
        <v>0</v>
      </c>
      <c r="E74" s="76" t="s">
        <v>1034</v>
      </c>
      <c r="F74" s="76" t="str">
        <f t="shared" si="2"/>
        <v/>
      </c>
      <c r="G74" s="76">
        <f>IF(AND(B74&lt;&gt;"",B74&lt;&gt;"Non trouvé - vérifier",D74&lt;&gt;"",D74&lt;&gt;0),IF(COUNTIF($B$2:B74,B74)=1,1,0),0)</f>
        <v>0</v>
      </c>
    </row>
    <row r="75" spans="1:7" x14ac:dyDescent="0.25">
      <c r="A75" s="76" t="s">
        <v>1121</v>
      </c>
      <c r="B75" s="76" t="str">
        <f>IF((IFERROR(INDEX(Supports!$C$4:$C$23,MATCH(RIA!$J$10,Supports!$B$4:$B$23,0)),""))="","",IF(IFERROR(INDEX(Supports!$C$4:$C$23,MATCH(RIA!$J$10,Supports!$B$4:$B$23,0)),"")="ETRIER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vérifier"),IF(IFERROR(INDEX(Supports!$C$4:$C$23,MATCH(RIA!$J$10,Supports!$B$4:$B$23,0)),"")="COLLIER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vérifier"),IF(IFERROR(INDEX(Supports!$C$4:$C$23,MATCH(RIA!$J$10,Supports!$B$4:$B$23,0)),"")="COLLIER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vérifier"),IFERROR(INDEX(Catalogue!$A$4:$A$454,MATCH(IFERROR(INDEX(Supports!$C$4:$C$23,MATCH(RIA!$J$10,Supports!$B$4:$B$23,0)),""),Catalogue!$B$4:$B$454,0)),"")))))</f>
        <v/>
      </c>
      <c r="C75" s="76" t="str">
        <f>IF((IFERROR(INDEX(Supports!$C$4:$C$23,MATCH(RIA!$J$10,Supports!$B$4:$B$23,0)),""))="","",IF(IFERROR(INDEX(Supports!$C$4:$C$23,MATCH(RIA!$J$10,Supports!$B$4:$B$23,0)),"")="ETRIER RALLONGE (DN automatique = DN du tube)",IFERROR(INDEX(Catalogue!$B$4:$B$454,SUMPRODUCT(((Catalogue!$C$4:$C$454="ETRIER")*(Catalogue!$E$4:$E$454=(RIA!$J$5+0)))*ROW(Catalogue!$C$4:$C$454))-3),""),IF(IFERROR(INDEX(Supports!$C$4:$C$23,MATCH(RIA!$J$10,Supports!$B$4:$B$23,0)),"")="COLLIER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tube)",IFERROR(INDEX(Catalogue!$B$4:$B$454,SUMPRODUCT(((Catalogue!$C$4:$C$454="COLLIERINDUS")*(Catalogue!$E$4:$E$454=(RIA!$J$5+0)))*ROW(Catalogue!$C$4:$C$454))-3),""),IF(IFERROR(INDEX(Supports!$C$4:$C$23,MATCH(RIA!$J$10,Supports!$B$4:$B$23,0)),"")="COLLIER POIRE (DN automatique = DN du tube)",IFERROR(INDEX(Catalogue!$B$4:$B$454,SUMPRODUCT(((Catalogue!$C$4:$C$454="COLLIERPOIRE")*(Catalogue!$E$4:$E$454=(RIA!$J$5+0)))*ROW(Catalogue!$C$4:$C$454))-3),""),IFERROR(INDEX(Supports!$C$4:$C$23,MATCH(RIA!$J$10,Supports!$B$4:$B$23,0)),"")))))</f>
        <v/>
      </c>
      <c r="D75" s="76" t="str">
        <f>IF((IFERROR(INDEX(Supports!$C$4:$C$23,MATCH(RIA!$J$10,Supports!$B$4:$B$23,0)),""))="","",(IFERROR(INDEX(Supports!$D$4:$D$23,MATCH(RIA!$J$10,Supports!$B$4:$B$23,0)),0))*RIA!$J$11)</f>
        <v/>
      </c>
      <c r="E75" s="76" t="s">
        <v>1036</v>
      </c>
      <c r="F75" s="76" t="str">
        <f t="shared" si="2"/>
        <v/>
      </c>
      <c r="G75" s="76">
        <f>IF(AND(B75&lt;&gt;"",B75&lt;&gt;"Non trouvé - vérifier",D75&lt;&gt;"",D75&lt;&gt;0),IF(COUNTIF($B$2:B75,B75)=1,1,0),0)</f>
        <v>0</v>
      </c>
    </row>
    <row r="76" spans="1:7" x14ac:dyDescent="0.25">
      <c r="A76" s="76" t="s">
        <v>1121</v>
      </c>
      <c r="B76" s="76" t="str">
        <f>IF((IFERROR(INDEX(Supports!$E$4:$E$23,MATCH(RIA!$J$10,Supports!$B$4:$B$23,0)),""))="","",IF(IFERROR(INDEX(Supports!$E$4:$E$23,MATCH(RIA!$J$10,Supports!$B$4:$B$23,0)),"")="ETRIER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vérifier"),IF(IFERROR(INDEX(Supports!$E$4:$E$23,MATCH(RIA!$J$10,Supports!$B$4:$B$23,0)),"")="COLLIER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vérifier"),IF(IFERROR(INDEX(Supports!$E$4:$E$23,MATCH(RIA!$J$10,Supports!$B$4:$B$23,0)),"")="COLLIER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vérifier"),IFERROR(INDEX(Catalogue!$A$4:$A$454,MATCH(IFERROR(INDEX(Supports!$E$4:$E$23,MATCH(RIA!$J$10,Supports!$B$4:$B$23,0)),""),Catalogue!$B$4:$B$454,0)),"")))))</f>
        <v/>
      </c>
      <c r="C76" s="76" t="str">
        <f>IF((IFERROR(INDEX(Supports!$E$4:$E$23,MATCH(RIA!$J$10,Supports!$B$4:$B$23,0)),""))="","",IF(IFERROR(INDEX(Supports!$E$4:$E$23,MATCH(RIA!$J$10,Supports!$B$4:$B$23,0)),"")="ETRIER RALLONGE (DN automatique = DN du tube)",IFERROR(INDEX(Catalogue!$B$4:$B$454,SUMPRODUCT(((Catalogue!$C$4:$C$454="ETRIER")*(Catalogue!$E$4:$E$454=(RIA!$J$5+0)))*ROW(Catalogue!$C$4:$C$454))-3),""),IF(IFERROR(INDEX(Supports!$E$4:$E$23,MATCH(RIA!$J$10,Supports!$B$4:$B$23,0)),"")="COLLIER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tube)",IFERROR(INDEX(Catalogue!$B$4:$B$454,SUMPRODUCT(((Catalogue!$C$4:$C$454="COLLIERINDUS")*(Catalogue!$E$4:$E$454=(RIA!$J$5+0)))*ROW(Catalogue!$C$4:$C$454))-3),""),IF(IFERROR(INDEX(Supports!$E$4:$E$23,MATCH(RIA!$J$10,Supports!$B$4:$B$23,0)),"")="COLLIER POIRE (DN automatique = DN du tube)",IFERROR(INDEX(Catalogue!$B$4:$B$454,SUMPRODUCT(((Catalogue!$C$4:$C$454="COLLIERPOIRE")*(Catalogue!$E$4:$E$454=(RIA!$J$5+0)))*ROW(Catalogue!$C$4:$C$454))-3),""),IFERROR(INDEX(Supports!$E$4:$E$23,MATCH(RIA!$J$10,Supports!$B$4:$B$23,0)),"")))))</f>
        <v/>
      </c>
      <c r="D76" s="76" t="str">
        <f>IF((IFERROR(INDEX(Supports!$E$4:$E$23,MATCH(RIA!$J$10,Supports!$B$4:$B$23,0)),""))="","",(IFERROR(INDEX(Supports!$F$4:$F$23,MATCH(RIA!$J$10,Supports!$B$4:$B$23,0)),0))*RIA!$J$11)</f>
        <v/>
      </c>
      <c r="E76" s="76" t="s">
        <v>1036</v>
      </c>
      <c r="F76" s="76" t="str">
        <f t="shared" si="2"/>
        <v/>
      </c>
      <c r="G76" s="76">
        <f>IF(AND(B76&lt;&gt;"",B76&lt;&gt;"Non trouvé - vérifier",D76&lt;&gt;"",D76&lt;&gt;0),IF(COUNTIF($B$2:B76,B76)=1,1,0),0)</f>
        <v>0</v>
      </c>
    </row>
    <row r="77" spans="1:7" x14ac:dyDescent="0.25">
      <c r="A77" s="76" t="s">
        <v>1121</v>
      </c>
      <c r="B77" s="76" t="str">
        <f>IF((IFERROR(INDEX(Supports!$G$4:$G$23,MATCH(RIA!$J$10,Supports!$B$4:$B$23,0)),""))="","",IF(IFERROR(INDEX(Supports!$G$4:$G$23,MATCH(RIA!$J$10,Supports!$B$4:$B$23,0)),"")="ETRIER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vérifier"),IF(IFERROR(INDEX(Supports!$G$4:$G$23,MATCH(RIA!$J$10,Supports!$B$4:$B$23,0)),"")="COLLIER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vérifier"),IF(IFERROR(INDEX(Supports!$G$4:$G$23,MATCH(RIA!$J$10,Supports!$B$4:$B$23,0)),"")="COLLIER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vérifier"),IFERROR(INDEX(Catalogue!$A$4:$A$454,MATCH(IFERROR(INDEX(Supports!$G$4:$G$23,MATCH(RIA!$J$10,Supports!$B$4:$B$23,0)),""),Catalogue!$B$4:$B$454,0)),"")))))</f>
        <v/>
      </c>
      <c r="C77" s="76" t="str">
        <f>IF((IFERROR(INDEX(Supports!$G$4:$G$23,MATCH(RIA!$J$10,Supports!$B$4:$B$23,0)),""))="","",IF(IFERROR(INDEX(Supports!$G$4:$G$23,MATCH(RIA!$J$10,Supports!$B$4:$B$23,0)),"")="ETRIER RALLONGE (DN automatique = DN du tube)",IFERROR(INDEX(Catalogue!$B$4:$B$454,SUMPRODUCT(((Catalogue!$C$4:$C$454="ETRIER")*(Catalogue!$E$4:$E$454=(RIA!$J$5+0)))*ROW(Catalogue!$C$4:$C$454))-3),""),IF(IFERROR(INDEX(Supports!$G$4:$G$23,MATCH(RIA!$J$10,Supports!$B$4:$B$23,0)),"")="COLLIER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tube)",IFERROR(INDEX(Catalogue!$B$4:$B$454,SUMPRODUCT(((Catalogue!$C$4:$C$454="COLLIERINDUS")*(Catalogue!$E$4:$E$454=(RIA!$J$5+0)))*ROW(Catalogue!$C$4:$C$454))-3),""),IF(IFERROR(INDEX(Supports!$G$4:$G$23,MATCH(RIA!$J$10,Supports!$B$4:$B$23,0)),"")="COLLIER POIRE (DN automatique = DN du tube)",IFERROR(INDEX(Catalogue!$B$4:$B$454,SUMPRODUCT(((Catalogue!$C$4:$C$454="COLLIERPOIRE")*(Catalogue!$E$4:$E$454=(RIA!$J$5+0)))*ROW(Catalogue!$C$4:$C$454))-3),""),IFERROR(INDEX(Supports!$G$4:$G$23,MATCH(RIA!$J$10,Supports!$B$4:$B$23,0)),"")))))</f>
        <v/>
      </c>
      <c r="D77" s="76" t="str">
        <f>IF((IFERROR(INDEX(Supports!$G$4:$G$23,MATCH(RIA!$J$10,Supports!$B$4:$B$23,0)),""))="","",(IFERROR(INDEX(Supports!$H$4:$H$23,MATCH(RIA!$J$10,Supports!$B$4:$B$23,0)),0))*RIA!$J$11)</f>
        <v/>
      </c>
      <c r="E77" s="76" t="s">
        <v>1036</v>
      </c>
      <c r="F77" s="76" t="str">
        <f t="shared" si="2"/>
        <v/>
      </c>
      <c r="G77" s="76">
        <f>IF(AND(B77&lt;&gt;"",B77&lt;&gt;"Non trouvé - vérifier",D77&lt;&gt;"",D77&lt;&gt;0),IF(COUNTIF($B$2:B77,B77)=1,1,0),0)</f>
        <v>0</v>
      </c>
    </row>
    <row r="78" spans="1:7" x14ac:dyDescent="0.25">
      <c r="A78" s="76" t="s">
        <v>1121</v>
      </c>
      <c r="B78" s="76" t="str">
        <f>IF((IFERROR(INDEX(Supports!$I$4:$I$23,MATCH(RIA!$J$10,Supports!$B$4:$B$23,0)),""))="","",IF(IFERROR(INDEX(Supports!$I$4:$I$23,MATCH(RIA!$J$10,Supports!$B$4:$B$23,0)),"")="ETRIER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vérifier"),IF(IFERROR(INDEX(Supports!$I$4:$I$23,MATCH(RIA!$J$10,Supports!$B$4:$B$23,0)),"")="COLLIER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vérifier"),IF(IFERROR(INDEX(Supports!$I$4:$I$23,MATCH(RIA!$J$10,Supports!$B$4:$B$23,0)),"")="COLLIER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vérifier"),IFERROR(INDEX(Catalogue!$A$4:$A$454,MATCH(IFERROR(INDEX(Supports!$I$4:$I$23,MATCH(RIA!$J$10,Supports!$B$4:$B$23,0)),""),Catalogue!$B$4:$B$454,0)),"")))))</f>
        <v/>
      </c>
      <c r="C78" s="76" t="str">
        <f>IF((IFERROR(INDEX(Supports!$I$4:$I$23,MATCH(RIA!$J$10,Supports!$B$4:$B$23,0)),""))="","",IF(IFERROR(INDEX(Supports!$I$4:$I$23,MATCH(RIA!$J$10,Supports!$B$4:$B$23,0)),"")="ETRIER RALLONGE (DN automatique = DN du tube)",IFERROR(INDEX(Catalogue!$B$4:$B$454,SUMPRODUCT(((Catalogue!$C$4:$C$454="ETRIER")*(Catalogue!$E$4:$E$454=(RIA!$J$5+0)))*ROW(Catalogue!$C$4:$C$454))-3),""),IF(IFERROR(INDEX(Supports!$I$4:$I$23,MATCH(RIA!$J$10,Supports!$B$4:$B$23,0)),"")="COLLIER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tube)",IFERROR(INDEX(Catalogue!$B$4:$B$454,SUMPRODUCT(((Catalogue!$C$4:$C$454="COLLIERINDUS")*(Catalogue!$E$4:$E$454=(RIA!$J$5+0)))*ROW(Catalogue!$C$4:$C$454))-3),""),IF(IFERROR(INDEX(Supports!$I$4:$I$23,MATCH(RIA!$J$10,Supports!$B$4:$B$23,0)),"")="COLLIER POIRE (DN automatique = DN du tube)",IFERROR(INDEX(Catalogue!$B$4:$B$454,SUMPRODUCT(((Catalogue!$C$4:$C$454="COLLIERPOIRE")*(Catalogue!$E$4:$E$454=(RIA!$J$5+0)))*ROW(Catalogue!$C$4:$C$454))-3),""),IFERROR(INDEX(Supports!$I$4:$I$23,MATCH(RIA!$J$10,Supports!$B$4:$B$23,0)),"")))))</f>
        <v/>
      </c>
      <c r="D78" s="76" t="str">
        <f>IF((IFERROR(INDEX(Supports!$I$4:$I$23,MATCH(RIA!$J$10,Supports!$B$4:$B$23,0)),""))="","",(IFERROR(INDEX(Supports!$J$4:$J$23,MATCH(RIA!$J$10,Supports!$B$4:$B$23,0)),0))*RIA!$J$11)</f>
        <v/>
      </c>
      <c r="E78" s="76" t="s">
        <v>1036</v>
      </c>
      <c r="F78" s="76" t="str">
        <f t="shared" si="2"/>
        <v/>
      </c>
      <c r="G78" s="76">
        <f>IF(AND(B78&lt;&gt;"",B78&lt;&gt;"Non trouvé - vérifier",D78&lt;&gt;"",D78&lt;&gt;0),IF(COUNTIF($B$2:B78,B78)=1,1,0),0)</f>
        <v>0</v>
      </c>
    </row>
    <row r="79" spans="1:7" x14ac:dyDescent="0.25">
      <c r="A79" s="76" t="s">
        <v>1121</v>
      </c>
      <c r="B79" s="76" t="str">
        <f>IF((IFERROR(INDEX(Supports!$K$4:$K$23,MATCH(RIA!$J$10,Supports!$B$4:$B$23,0)),""))="","",IF(IFERROR(INDEX(Supports!$K$4:$K$23,MATCH(RIA!$J$10,Supports!$B$4:$B$23,0)),"")="ETRIER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vérifier"),IF(IFERROR(INDEX(Supports!$K$4:$K$23,MATCH(RIA!$J$10,Supports!$B$4:$B$23,0)),"")="COLLIER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vérifier"),IF(IFERROR(INDEX(Supports!$K$4:$K$23,MATCH(RIA!$J$10,Supports!$B$4:$B$23,0)),"")="COLLIER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vérifier"),IFERROR(INDEX(Catalogue!$A$4:$A$454,MATCH(IFERROR(INDEX(Supports!$K$4:$K$23,MATCH(RIA!$J$10,Supports!$B$4:$B$23,0)),""),Catalogue!$B$4:$B$454,0)),"")))))</f>
        <v/>
      </c>
      <c r="C79" s="76" t="str">
        <f>IF((IFERROR(INDEX(Supports!$K$4:$K$23,MATCH(RIA!$J$10,Supports!$B$4:$B$23,0)),""))="","",IF(IFERROR(INDEX(Supports!$K$4:$K$23,MATCH(RIA!$J$10,Supports!$B$4:$B$23,0)),"")="ETRIER RALLONGE (DN automatique = DN du tube)",IFERROR(INDEX(Catalogue!$B$4:$B$454,SUMPRODUCT(((Catalogue!$C$4:$C$454="ETRIER")*(Catalogue!$E$4:$E$454=(RIA!$J$5+0)))*ROW(Catalogue!$C$4:$C$454))-3),""),IF(IFERROR(INDEX(Supports!$K$4:$K$23,MATCH(RIA!$J$10,Supports!$B$4:$B$23,0)),"")="COLLIER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tube)",IFERROR(INDEX(Catalogue!$B$4:$B$454,SUMPRODUCT(((Catalogue!$C$4:$C$454="COLLIERINDUS")*(Catalogue!$E$4:$E$454=(RIA!$J$5+0)))*ROW(Catalogue!$C$4:$C$454))-3),""),IF(IFERROR(INDEX(Supports!$K$4:$K$23,MATCH(RIA!$J$10,Supports!$B$4:$B$23,0)),"")="COLLIER POIRE (DN automatique = DN du tube)",IFERROR(INDEX(Catalogue!$B$4:$B$454,SUMPRODUCT(((Catalogue!$C$4:$C$454="COLLIERPOIRE")*(Catalogue!$E$4:$E$454=(RIA!$J$5+0)))*ROW(Catalogue!$C$4:$C$454))-3),""),IFERROR(INDEX(Supports!$K$4:$K$23,MATCH(RIA!$J$10,Supports!$B$4:$B$23,0)),"")))))</f>
        <v/>
      </c>
      <c r="D79" s="76" t="str">
        <f>IF((IFERROR(INDEX(Supports!$K$4:$K$23,MATCH(RIA!$J$10,Supports!$B$4:$B$23,0)),""))="","",(IFERROR(INDEX(Supports!$L$4:$L$23,MATCH(RIA!$J$10,Supports!$B$4:$B$23,0)),0))*RIA!$J$11)</f>
        <v/>
      </c>
      <c r="E79" s="76" t="s">
        <v>1036</v>
      </c>
      <c r="F79" s="76" t="str">
        <f t="shared" si="2"/>
        <v/>
      </c>
      <c r="G79" s="76">
        <f>IF(AND(B79&lt;&gt;"",B79&lt;&gt;"Non trouvé - vérifier",D79&lt;&gt;"",D79&lt;&gt;0),IF(COUNTIF($B$2:B79,B79)=1,1,0),0)</f>
        <v>0</v>
      </c>
    </row>
    <row r="80" spans="1:7" x14ac:dyDescent="0.25">
      <c r="A80" s="76" t="s">
        <v>1121</v>
      </c>
      <c r="B80" s="76" t="str">
        <f>IF((IFERROR(INDEX(Supports!$M$4:$M$23,MATCH(RIA!$J$10,Supports!$B$4:$B$23,0)),""))="","",IF(IFERROR(INDEX(Supports!$M$4:$M$23,MATCH(RIA!$J$10,Supports!$B$4:$B$23,0)),"")="ETRIER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vérifier"),IF(IFERROR(INDEX(Supports!$M$4:$M$23,MATCH(RIA!$J$10,Supports!$B$4:$B$23,0)),"")="COLLIER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vérifier"),IF(IFERROR(INDEX(Supports!$M$4:$M$23,MATCH(RIA!$J$10,Supports!$B$4:$B$23,0)),"")="COLLIER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vérifier"),IFERROR(INDEX(Catalogue!$A$4:$A$454,MATCH(IFERROR(INDEX(Supports!$M$4:$M$23,MATCH(RIA!$J$10,Supports!$B$4:$B$23,0)),""),Catalogue!$B$4:$B$454,0)),"")))))</f>
        <v/>
      </c>
      <c r="C80" s="76" t="str">
        <f>IF((IFERROR(INDEX(Supports!$M$4:$M$23,MATCH(RIA!$J$10,Supports!$B$4:$B$23,0)),""))="","",IF(IFERROR(INDEX(Supports!$M$4:$M$23,MATCH(RIA!$J$10,Supports!$B$4:$B$23,0)),"")="ETRIER RALLONGE (DN automatique = DN du tube)",IFERROR(INDEX(Catalogue!$B$4:$B$454,SUMPRODUCT(((Catalogue!$C$4:$C$454="ETRIER")*(Catalogue!$E$4:$E$454=(RIA!$J$5+0)))*ROW(Catalogue!$C$4:$C$454))-3),""),IF(IFERROR(INDEX(Supports!$M$4:$M$23,MATCH(RIA!$J$10,Supports!$B$4:$B$23,0)),"")="COLLIER INDUSTRIEL (DN automatique = DN du tube)",IFERROR(INDEX(Catalogue!$B$4:$B$454,SUMPRODUCT(((Catalogue!$C$4:$C$454="COLLIERINDUS")*(Catalogue!$E$4:$E$454=(RIA!$J$5+0)))*ROW(Catalogue!$C$4:$C$454))-3),""),IF(IFERROR(INDEX(Supports!$M$4:$M$23,MATCH(RIA!$J$10,Supports!$B$4:$B$23,0)),"")="COLLIER POIRE (DN automatique = DN du tube)",IFERROR(INDEX(Catalogue!$B$4:$B$454,SUMPRODUCT(((Catalogue!$C$4:$C$454="COLLIERPOIRE")*(Catalogue!$E$4:$E$454=(RIA!$J$5+0)))*ROW(Catalogue!$C$4:$C$454))-3),""),IFERROR(INDEX(Supports!$M$4:$M$23,MATCH(RIA!$J$10,Supports!$B$4:$B$23,0)),"")))))</f>
        <v/>
      </c>
      <c r="D80" s="76" t="str">
        <f>IF((IFERROR(INDEX(Supports!$M$4:$M$23,MATCH(RIA!$J$10,Supports!$B$4:$B$23,0)),""))="","",(IFERROR(INDEX(Supports!$N$4:$N$23,MATCH(RIA!$J$10,Supports!$B$4:$B$23,0)),0))*RIA!$J$11)</f>
        <v/>
      </c>
      <c r="E80" s="76" t="s">
        <v>1036</v>
      </c>
      <c r="F80" s="76" t="str">
        <f t="shared" si="2"/>
        <v/>
      </c>
      <c r="G80" s="76">
        <f>IF(AND(B80&lt;&gt;"",B80&lt;&gt;"Non trouvé - vérifier",D80&lt;&gt;"",D80&lt;&gt;0),IF(COUNTIF($B$2:B80,B80)=1,1,0),0)</f>
        <v>0</v>
      </c>
    </row>
    <row r="81" spans="1:7" x14ac:dyDescent="0.25">
      <c r="A81" s="76" t="s">
        <v>1122</v>
      </c>
      <c r="B81" s="76" t="str">
        <f>IF((IFERROR(INDEX(Supports!$C$4:$C$23,MATCH(RIA!$J$12,Supports!$B$4:$B$23,0)),""))="","",IF(IFERROR(INDEX(Supports!$C$4:$C$23,MATCH(RIA!$J$12,Supports!$B$4:$B$23,0)),"")="ETRIER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vérifier"),IF(IFERROR(INDEX(Supports!$C$4:$C$23,MATCH(RIA!$J$12,Supports!$B$4:$B$23,0)),"")="COLLIER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vérifier"),IF(IFERROR(INDEX(Supports!$C$4:$C$23,MATCH(RIA!$J$12,Supports!$B$4:$B$23,0)),"")="COLLIER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vérifier"),IFERROR(INDEX(Catalogue!$A$4:$A$454,MATCH(IFERROR(INDEX(Supports!$C$4:$C$23,MATCH(RIA!$J$12,Supports!$B$4:$B$23,0)),""),Catalogue!$B$4:$B$454,0)),"")))))</f>
        <v/>
      </c>
      <c r="C81" s="76" t="str">
        <f>IF((IFERROR(INDEX(Supports!$C$4:$C$23,MATCH(RIA!$J$12,Supports!$B$4:$B$23,0)),""))="","",IF(IFERROR(INDEX(Supports!$C$4:$C$23,MATCH(RIA!$J$12,Supports!$B$4:$B$23,0)),"")="ETRIER RALLONGE (DN automatique = DN du tube)",IFERROR(INDEX(Catalogue!$B$4:$B$454,SUMPRODUCT(((Catalogue!$C$4:$C$454="ETRIER")*(Catalogue!$E$4:$E$454=(RIA!$J$5+0)))*ROW(Catalogue!$C$4:$C$454))-3),""),IF(IFERROR(INDEX(Supports!$C$4:$C$23,MATCH(RIA!$J$12,Supports!$B$4:$B$23,0)),"")="COLLIER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tube)",IFERROR(INDEX(Catalogue!$B$4:$B$454,SUMPRODUCT(((Catalogue!$C$4:$C$454="COLLIERINDUS")*(Catalogue!$E$4:$E$454=(RIA!$J$5+0)))*ROW(Catalogue!$C$4:$C$454))-3),""),IF(IFERROR(INDEX(Supports!$C$4:$C$23,MATCH(RIA!$J$12,Supports!$B$4:$B$23,0)),"")="COLLIER POIRE (DN automatique = DN du tube)",IFERROR(INDEX(Catalogue!$B$4:$B$454,SUMPRODUCT(((Catalogue!$C$4:$C$454="COLLIERPOIRE")*(Catalogue!$E$4:$E$454=(RIA!$J$5+0)))*ROW(Catalogue!$C$4:$C$454))-3),""),IFERROR(INDEX(Supports!$C$4:$C$23,MATCH(RIA!$J$12,Supports!$B$4:$B$23,0)),"")))))</f>
        <v/>
      </c>
      <c r="D81" s="76" t="str">
        <f>IF((IFERROR(INDEX(Supports!$C$4:$C$23,MATCH(RIA!$J$12,Supports!$B$4:$B$23,0)),""))="","",(IFERROR(INDEX(Supports!$D$4:$D$23,MATCH(RIA!$J$12,Supports!$B$4:$B$23,0)),0))*RIA!$J$13)</f>
        <v/>
      </c>
      <c r="E81" s="76" t="s">
        <v>1036</v>
      </c>
      <c r="F81" s="76" t="str">
        <f t="shared" si="2"/>
        <v/>
      </c>
      <c r="G81" s="76">
        <f>IF(AND(B81&lt;&gt;"",B81&lt;&gt;"Non trouvé - vérifier",D81&lt;&gt;"",D81&lt;&gt;0),IF(COUNTIF($B$2:B81,B81)=1,1,0),0)</f>
        <v>0</v>
      </c>
    </row>
    <row r="82" spans="1:7" x14ac:dyDescent="0.25">
      <c r="A82" s="76" t="s">
        <v>1122</v>
      </c>
      <c r="B82" s="76" t="str">
        <f>IF((IFERROR(INDEX(Supports!$E$4:$E$23,MATCH(RIA!$J$12,Supports!$B$4:$B$23,0)),""))="","",IF(IFERROR(INDEX(Supports!$E$4:$E$23,MATCH(RIA!$J$12,Supports!$B$4:$B$23,0)),"")="ETRIER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vérifier"),IF(IFERROR(INDEX(Supports!$E$4:$E$23,MATCH(RIA!$J$12,Supports!$B$4:$B$23,0)),"")="COLLIER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vérifier"),IF(IFERROR(INDEX(Supports!$E$4:$E$23,MATCH(RIA!$J$12,Supports!$B$4:$B$23,0)),"")="COLLIER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vérifier"),IFERROR(INDEX(Catalogue!$A$4:$A$454,MATCH(IFERROR(INDEX(Supports!$E$4:$E$23,MATCH(RIA!$J$12,Supports!$B$4:$B$23,0)),""),Catalogue!$B$4:$B$454,0)),"")))))</f>
        <v/>
      </c>
      <c r="C82" s="76" t="str">
        <f>IF((IFERROR(INDEX(Supports!$E$4:$E$23,MATCH(RIA!$J$12,Supports!$B$4:$B$23,0)),""))="","",IF(IFERROR(INDEX(Supports!$E$4:$E$23,MATCH(RIA!$J$12,Supports!$B$4:$B$23,0)),"")="ETRIER RALLONGE (DN automatique = DN du tube)",IFERROR(INDEX(Catalogue!$B$4:$B$454,SUMPRODUCT(((Catalogue!$C$4:$C$454="ETRIER")*(Catalogue!$E$4:$E$454=(RIA!$J$5+0)))*ROW(Catalogue!$C$4:$C$454))-3),""),IF(IFERROR(INDEX(Supports!$E$4:$E$23,MATCH(RIA!$J$12,Supports!$B$4:$B$23,0)),"")="COLLIER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tube)",IFERROR(INDEX(Catalogue!$B$4:$B$454,SUMPRODUCT(((Catalogue!$C$4:$C$454="COLLIERINDUS")*(Catalogue!$E$4:$E$454=(RIA!$J$5+0)))*ROW(Catalogue!$C$4:$C$454))-3),""),IF(IFERROR(INDEX(Supports!$E$4:$E$23,MATCH(RIA!$J$12,Supports!$B$4:$B$23,0)),"")="COLLIER POIRE (DN automatique = DN du tube)",IFERROR(INDEX(Catalogue!$B$4:$B$454,SUMPRODUCT(((Catalogue!$C$4:$C$454="COLLIERPOIRE")*(Catalogue!$E$4:$E$454=(RIA!$J$5+0)))*ROW(Catalogue!$C$4:$C$454))-3),""),IFERROR(INDEX(Supports!$E$4:$E$23,MATCH(RIA!$J$12,Supports!$B$4:$B$23,0)),"")))))</f>
        <v/>
      </c>
      <c r="D82" s="76" t="str">
        <f>IF((IFERROR(INDEX(Supports!$E$4:$E$23,MATCH(RIA!$J$12,Supports!$B$4:$B$23,0)),""))="","",(IFERROR(INDEX(Supports!$F$4:$F$23,MATCH(RIA!$J$12,Supports!$B$4:$B$23,0)),0))*RIA!$J$13)</f>
        <v/>
      </c>
      <c r="E82" s="76" t="s">
        <v>1036</v>
      </c>
      <c r="F82" s="76" t="str">
        <f t="shared" si="2"/>
        <v/>
      </c>
      <c r="G82" s="76">
        <f>IF(AND(B82&lt;&gt;"",B82&lt;&gt;"Non trouvé - vérifier",D82&lt;&gt;"",D82&lt;&gt;0),IF(COUNTIF($B$2:B82,B82)=1,1,0),0)</f>
        <v>0</v>
      </c>
    </row>
    <row r="83" spans="1:7" x14ac:dyDescent="0.25">
      <c r="A83" s="76" t="s">
        <v>1122</v>
      </c>
      <c r="B83" s="76" t="str">
        <f>IF((IFERROR(INDEX(Supports!$G$4:$G$23,MATCH(RIA!$J$12,Supports!$B$4:$B$23,0)),""))="","",IF(IFERROR(INDEX(Supports!$G$4:$G$23,MATCH(RIA!$J$12,Supports!$B$4:$B$23,0)),"")="ETRIER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vérifier"),IF(IFERROR(INDEX(Supports!$G$4:$G$23,MATCH(RIA!$J$12,Supports!$B$4:$B$23,0)),"")="COLLIER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vérifier"),IF(IFERROR(INDEX(Supports!$G$4:$G$23,MATCH(RIA!$J$12,Supports!$B$4:$B$23,0)),"")="COLLIER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vérifier"),IFERROR(INDEX(Catalogue!$A$4:$A$454,MATCH(IFERROR(INDEX(Supports!$G$4:$G$23,MATCH(RIA!$J$12,Supports!$B$4:$B$23,0)),""),Catalogue!$B$4:$B$454,0)),"")))))</f>
        <v/>
      </c>
      <c r="C83" s="76" t="str">
        <f>IF((IFERROR(INDEX(Supports!$G$4:$G$23,MATCH(RIA!$J$12,Supports!$B$4:$B$23,0)),""))="","",IF(IFERROR(INDEX(Supports!$G$4:$G$23,MATCH(RIA!$J$12,Supports!$B$4:$B$23,0)),"")="ETRIER RALLONGE (DN automatique = DN du tube)",IFERROR(INDEX(Catalogue!$B$4:$B$454,SUMPRODUCT(((Catalogue!$C$4:$C$454="ETRIER")*(Catalogue!$E$4:$E$454=(RIA!$J$5+0)))*ROW(Catalogue!$C$4:$C$454))-3),""),IF(IFERROR(INDEX(Supports!$G$4:$G$23,MATCH(RIA!$J$12,Supports!$B$4:$B$23,0)),"")="COLLIER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tube)",IFERROR(INDEX(Catalogue!$B$4:$B$454,SUMPRODUCT(((Catalogue!$C$4:$C$454="COLLIERINDUS")*(Catalogue!$E$4:$E$454=(RIA!$J$5+0)))*ROW(Catalogue!$C$4:$C$454))-3),""),IF(IFERROR(INDEX(Supports!$G$4:$G$23,MATCH(RIA!$J$12,Supports!$B$4:$B$23,0)),"")="COLLIER POIRE (DN automatique = DN du tube)",IFERROR(INDEX(Catalogue!$B$4:$B$454,SUMPRODUCT(((Catalogue!$C$4:$C$454="COLLIERPOIRE")*(Catalogue!$E$4:$E$454=(RIA!$J$5+0)))*ROW(Catalogue!$C$4:$C$454))-3),""),IFERROR(INDEX(Supports!$G$4:$G$23,MATCH(RIA!$J$12,Supports!$B$4:$B$23,0)),"")))))</f>
        <v/>
      </c>
      <c r="D83" s="76" t="str">
        <f>IF((IFERROR(INDEX(Supports!$G$4:$G$23,MATCH(RIA!$J$12,Supports!$B$4:$B$23,0)),""))="","",(IFERROR(INDEX(Supports!$H$4:$H$23,MATCH(RIA!$J$12,Supports!$B$4:$B$23,0)),0))*RIA!$J$13)</f>
        <v/>
      </c>
      <c r="E83" s="76" t="s">
        <v>1036</v>
      </c>
      <c r="F83" s="76" t="str">
        <f t="shared" si="2"/>
        <v/>
      </c>
      <c r="G83" s="76">
        <f>IF(AND(B83&lt;&gt;"",B83&lt;&gt;"Non trouvé - vérifier",D83&lt;&gt;"",D83&lt;&gt;0),IF(COUNTIF($B$2:B83,B83)=1,1,0),0)</f>
        <v>0</v>
      </c>
    </row>
    <row r="84" spans="1:7" x14ac:dyDescent="0.25">
      <c r="A84" s="76" t="s">
        <v>1122</v>
      </c>
      <c r="B84" s="76" t="str">
        <f>IF((IFERROR(INDEX(Supports!$I$4:$I$23,MATCH(RIA!$J$12,Supports!$B$4:$B$23,0)),""))="","",IF(IFERROR(INDEX(Supports!$I$4:$I$23,MATCH(RIA!$J$12,Supports!$B$4:$B$23,0)),"")="ETRIER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vérifier"),IF(IFERROR(INDEX(Supports!$I$4:$I$23,MATCH(RIA!$J$12,Supports!$B$4:$B$23,0)),"")="COLLIER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vérifier"),IF(IFERROR(INDEX(Supports!$I$4:$I$23,MATCH(RIA!$J$12,Supports!$B$4:$B$23,0)),"")="COLLIER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vérifier"),IFERROR(INDEX(Catalogue!$A$4:$A$454,MATCH(IFERROR(INDEX(Supports!$I$4:$I$23,MATCH(RIA!$J$12,Supports!$B$4:$B$23,0)),""),Catalogue!$B$4:$B$454,0)),"")))))</f>
        <v/>
      </c>
      <c r="C84" s="76" t="str">
        <f>IF((IFERROR(INDEX(Supports!$I$4:$I$23,MATCH(RIA!$J$12,Supports!$B$4:$B$23,0)),""))="","",IF(IFERROR(INDEX(Supports!$I$4:$I$23,MATCH(RIA!$J$12,Supports!$B$4:$B$23,0)),"")="ETRIER RALLONGE (DN automatique = DN du tube)",IFERROR(INDEX(Catalogue!$B$4:$B$454,SUMPRODUCT(((Catalogue!$C$4:$C$454="ETRIER")*(Catalogue!$E$4:$E$454=(RIA!$J$5+0)))*ROW(Catalogue!$C$4:$C$454))-3),""),IF(IFERROR(INDEX(Supports!$I$4:$I$23,MATCH(RIA!$J$12,Supports!$B$4:$B$23,0)),"")="COLLIER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tube)",IFERROR(INDEX(Catalogue!$B$4:$B$454,SUMPRODUCT(((Catalogue!$C$4:$C$454="COLLIERINDUS")*(Catalogue!$E$4:$E$454=(RIA!$J$5+0)))*ROW(Catalogue!$C$4:$C$454))-3),""),IF(IFERROR(INDEX(Supports!$I$4:$I$23,MATCH(RIA!$J$12,Supports!$B$4:$B$23,0)),"")="COLLIER POIRE (DN automatique = DN du tube)",IFERROR(INDEX(Catalogue!$B$4:$B$454,SUMPRODUCT(((Catalogue!$C$4:$C$454="COLLIERPOIRE")*(Catalogue!$E$4:$E$454=(RIA!$J$5+0)))*ROW(Catalogue!$C$4:$C$454))-3),""),IFERROR(INDEX(Supports!$I$4:$I$23,MATCH(RIA!$J$12,Supports!$B$4:$B$23,0)),"")))))</f>
        <v/>
      </c>
      <c r="D84" s="76" t="str">
        <f>IF((IFERROR(INDEX(Supports!$I$4:$I$23,MATCH(RIA!$J$12,Supports!$B$4:$B$23,0)),""))="","",(IFERROR(INDEX(Supports!$J$4:$J$23,MATCH(RIA!$J$12,Supports!$B$4:$B$23,0)),0))*RIA!$J$13)</f>
        <v/>
      </c>
      <c r="E84" s="76" t="s">
        <v>1036</v>
      </c>
      <c r="F84" s="76" t="str">
        <f t="shared" si="2"/>
        <v/>
      </c>
      <c r="G84" s="76">
        <f>IF(AND(B84&lt;&gt;"",B84&lt;&gt;"Non trouvé - vérifier",D84&lt;&gt;"",D84&lt;&gt;0),IF(COUNTIF($B$2:B84,B84)=1,1,0),0)</f>
        <v>0</v>
      </c>
    </row>
    <row r="85" spans="1:7" x14ac:dyDescent="0.25">
      <c r="A85" s="76" t="s">
        <v>1122</v>
      </c>
      <c r="B85" s="76" t="str">
        <f>IF((IFERROR(INDEX(Supports!$K$4:$K$23,MATCH(RIA!$J$12,Supports!$B$4:$B$23,0)),""))="","",IF(IFERROR(INDEX(Supports!$K$4:$K$23,MATCH(RIA!$J$12,Supports!$B$4:$B$23,0)),"")="ETRIER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vérifier"),IF(IFERROR(INDEX(Supports!$K$4:$K$23,MATCH(RIA!$J$12,Supports!$B$4:$B$23,0)),"")="COLLIER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vérifier"),IF(IFERROR(INDEX(Supports!$K$4:$K$23,MATCH(RIA!$J$12,Supports!$B$4:$B$23,0)),"")="COLLIER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vérifier"),IFERROR(INDEX(Catalogue!$A$4:$A$454,MATCH(IFERROR(INDEX(Supports!$K$4:$K$23,MATCH(RIA!$J$12,Supports!$B$4:$B$23,0)),""),Catalogue!$B$4:$B$454,0)),"")))))</f>
        <v/>
      </c>
      <c r="C85" s="76" t="str">
        <f>IF((IFERROR(INDEX(Supports!$K$4:$K$23,MATCH(RIA!$J$12,Supports!$B$4:$B$23,0)),""))="","",IF(IFERROR(INDEX(Supports!$K$4:$K$23,MATCH(RIA!$J$12,Supports!$B$4:$B$23,0)),"")="ETRIER RALLONGE (DN automatique = DN du tube)",IFERROR(INDEX(Catalogue!$B$4:$B$454,SUMPRODUCT(((Catalogue!$C$4:$C$454="ETRIER")*(Catalogue!$E$4:$E$454=(RIA!$J$5+0)))*ROW(Catalogue!$C$4:$C$454))-3),""),IF(IFERROR(INDEX(Supports!$K$4:$K$23,MATCH(RIA!$J$12,Supports!$B$4:$B$23,0)),"")="COLLIER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tube)",IFERROR(INDEX(Catalogue!$B$4:$B$454,SUMPRODUCT(((Catalogue!$C$4:$C$454="COLLIERINDUS")*(Catalogue!$E$4:$E$454=(RIA!$J$5+0)))*ROW(Catalogue!$C$4:$C$454))-3),""),IF(IFERROR(INDEX(Supports!$K$4:$K$23,MATCH(RIA!$J$12,Supports!$B$4:$B$23,0)),"")="COLLIER POIRE (DN automatique = DN du tube)",IFERROR(INDEX(Catalogue!$B$4:$B$454,SUMPRODUCT(((Catalogue!$C$4:$C$454="COLLIERPOIRE")*(Catalogue!$E$4:$E$454=(RIA!$J$5+0)))*ROW(Catalogue!$C$4:$C$454))-3),""),IFERROR(INDEX(Supports!$K$4:$K$23,MATCH(RIA!$J$12,Supports!$B$4:$B$23,0)),"")))))</f>
        <v/>
      </c>
      <c r="D85" s="76" t="str">
        <f>IF((IFERROR(INDEX(Supports!$K$4:$K$23,MATCH(RIA!$J$12,Supports!$B$4:$B$23,0)),""))="","",(IFERROR(INDEX(Supports!$L$4:$L$23,MATCH(RIA!$J$12,Supports!$B$4:$B$23,0)),0))*RIA!$J$13)</f>
        <v/>
      </c>
      <c r="E85" s="76" t="s">
        <v>1036</v>
      </c>
      <c r="F85" s="76" t="str">
        <f t="shared" si="2"/>
        <v/>
      </c>
      <c r="G85" s="76">
        <f>IF(AND(B85&lt;&gt;"",B85&lt;&gt;"Non trouvé - vérifier",D85&lt;&gt;"",D85&lt;&gt;0),IF(COUNTIF($B$2:B85,B85)=1,1,0),0)</f>
        <v>0</v>
      </c>
    </row>
    <row r="86" spans="1:7" x14ac:dyDescent="0.25">
      <c r="A86" s="76" t="s">
        <v>1122</v>
      </c>
      <c r="B86" s="76" t="str">
        <f>IF((IFERROR(INDEX(Supports!$M$4:$M$23,MATCH(RIA!$J$12,Supports!$B$4:$B$23,0)),""))="","",IF(IFERROR(INDEX(Supports!$M$4:$M$23,MATCH(RIA!$J$12,Supports!$B$4:$B$23,0)),"")="ETRIER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vérifier"),IF(IFERROR(INDEX(Supports!$M$4:$M$23,MATCH(RIA!$J$12,Supports!$B$4:$B$23,0)),"")="COLLIER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vérifier"),IF(IFERROR(INDEX(Supports!$M$4:$M$23,MATCH(RIA!$J$12,Supports!$B$4:$B$23,0)),"")="COLLIER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vérifier"),IFERROR(INDEX(Catalogue!$A$4:$A$454,MATCH(IFERROR(INDEX(Supports!$M$4:$M$23,MATCH(RIA!$J$12,Supports!$B$4:$B$23,0)),""),Catalogue!$B$4:$B$454,0)),"")))))</f>
        <v/>
      </c>
      <c r="C86" s="76" t="str">
        <f>IF((IFERROR(INDEX(Supports!$M$4:$M$23,MATCH(RIA!$J$12,Supports!$B$4:$B$23,0)),""))="","",IF(IFERROR(INDEX(Supports!$M$4:$M$23,MATCH(RIA!$J$12,Supports!$B$4:$B$23,0)),"")="ETRIER RALLONGE (DN automatique = DN du tube)",IFERROR(INDEX(Catalogue!$B$4:$B$454,SUMPRODUCT(((Catalogue!$C$4:$C$454="ETRIER")*(Catalogue!$E$4:$E$454=(RIA!$J$5+0)))*ROW(Catalogue!$C$4:$C$454))-3),""),IF(IFERROR(INDEX(Supports!$M$4:$M$23,MATCH(RIA!$J$12,Supports!$B$4:$B$23,0)),"")="COLLIER INDUSTRIEL (DN automatique = DN du tube)",IFERROR(INDEX(Catalogue!$B$4:$B$454,SUMPRODUCT(((Catalogue!$C$4:$C$454="COLLIERINDUS")*(Catalogue!$E$4:$E$454=(RIA!$J$5+0)))*ROW(Catalogue!$C$4:$C$454))-3),""),IF(IFERROR(INDEX(Supports!$M$4:$M$23,MATCH(RIA!$J$12,Supports!$B$4:$B$23,0)),"")="COLLIER POIRE (DN automatique = DN du tube)",IFERROR(INDEX(Catalogue!$B$4:$B$454,SUMPRODUCT(((Catalogue!$C$4:$C$454="COLLIERPOIRE")*(Catalogue!$E$4:$E$454=(RIA!$J$5+0)))*ROW(Catalogue!$C$4:$C$454))-3),""),IFERROR(INDEX(Supports!$M$4:$M$23,MATCH(RIA!$J$12,Supports!$B$4:$B$23,0)),"")))))</f>
        <v/>
      </c>
      <c r="D86" s="76" t="str">
        <f>IF((IFERROR(INDEX(Supports!$M$4:$M$23,MATCH(RIA!$J$12,Supports!$B$4:$B$23,0)),""))="","",(IFERROR(INDEX(Supports!$N$4:$N$23,MATCH(RIA!$J$12,Supports!$B$4:$B$23,0)),0))*RIA!$J$13)</f>
        <v/>
      </c>
      <c r="E86" s="76" t="s">
        <v>1036</v>
      </c>
      <c r="F86" s="76" t="str">
        <f t="shared" si="2"/>
        <v/>
      </c>
      <c r="G86" s="76">
        <f>IF(AND(B86&lt;&gt;"",B86&lt;&gt;"Non trouvé - vérifier",D86&lt;&gt;"",D86&lt;&gt;0),IF(COUNTIF($B$2:B86,B86)=1,1,0),0)</f>
        <v>0</v>
      </c>
    </row>
    <row r="87" spans="1:7" x14ac:dyDescent="0.25">
      <c r="A87" s="76" t="s">
        <v>1123</v>
      </c>
      <c r="B87" s="76" t="str">
        <f>IF((IFERROR(INDEX(Supports!$C$4:$C$23,MATCH(RIA!$J$14,Supports!$B$4:$B$23,0)),""))="","",IF(IFERROR(INDEX(Supports!$C$4:$C$23,MATCH(RIA!$J$14,Supports!$B$4:$B$23,0)),"")="ETRIER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vérifier"),IF(IFERROR(INDEX(Supports!$C$4:$C$23,MATCH(RIA!$J$14,Supports!$B$4:$B$23,0)),"")="COLLIER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vérifier"),IF(IFERROR(INDEX(Supports!$C$4:$C$23,MATCH(RIA!$J$14,Supports!$B$4:$B$23,0)),"")="COLLIER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vérifier"),IFERROR(INDEX(Catalogue!$A$4:$A$454,MATCH(IFERROR(INDEX(Supports!$C$4:$C$23,MATCH(RIA!$J$14,Supports!$B$4:$B$23,0)),""),Catalogue!$B$4:$B$454,0)),"")))))</f>
        <v/>
      </c>
      <c r="C87" s="76" t="str">
        <f>IF((IFERROR(INDEX(Supports!$C$4:$C$23,MATCH(RIA!$J$14,Supports!$B$4:$B$23,0)),""))="","",IF(IFERROR(INDEX(Supports!$C$4:$C$23,MATCH(RIA!$J$14,Supports!$B$4:$B$23,0)),"")="ETRIER RALLONGE (DN automatique = DN du tube)",IFERROR(INDEX(Catalogue!$B$4:$B$454,SUMPRODUCT(((Catalogue!$C$4:$C$454="ETRIER")*(Catalogue!$E$4:$E$454=(RIA!$J$5+0)))*ROW(Catalogue!$C$4:$C$454))-3),""),IF(IFERROR(INDEX(Supports!$C$4:$C$23,MATCH(RIA!$J$14,Supports!$B$4:$B$23,0)),"")="COLLIER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tube)",IFERROR(INDEX(Catalogue!$B$4:$B$454,SUMPRODUCT(((Catalogue!$C$4:$C$454="COLLIERINDUS")*(Catalogue!$E$4:$E$454=(RIA!$J$5+0)))*ROW(Catalogue!$C$4:$C$454))-3),""),IF(IFERROR(INDEX(Supports!$C$4:$C$23,MATCH(RIA!$J$14,Supports!$B$4:$B$23,0)),"")="COLLIER POIRE (DN automatique = DN du tube)",IFERROR(INDEX(Catalogue!$B$4:$B$454,SUMPRODUCT(((Catalogue!$C$4:$C$454="COLLIERPOIRE")*(Catalogue!$E$4:$E$454=(RIA!$J$5+0)))*ROW(Catalogue!$C$4:$C$454))-3),""),IFERROR(INDEX(Supports!$C$4:$C$23,MATCH(RIA!$J$14,Supports!$B$4:$B$23,0)),"")))))</f>
        <v/>
      </c>
      <c r="D87" s="76" t="str">
        <f>IF((IFERROR(INDEX(Supports!$C$4:$C$23,MATCH(RIA!$J$14,Supports!$B$4:$B$23,0)),""))="","",(IFERROR(INDEX(Supports!$D$4:$D$23,MATCH(RIA!$J$14,Supports!$B$4:$B$23,0)),0))*RIA!$J$15)</f>
        <v/>
      </c>
      <c r="E87" s="76" t="s">
        <v>1036</v>
      </c>
      <c r="F87" s="76" t="str">
        <f t="shared" si="2"/>
        <v/>
      </c>
      <c r="G87" s="76">
        <f>IF(AND(B87&lt;&gt;"",B87&lt;&gt;"Non trouvé - vérifier",D87&lt;&gt;"",D87&lt;&gt;0),IF(COUNTIF($B$2:B87,B87)=1,1,0),0)</f>
        <v>0</v>
      </c>
    </row>
    <row r="88" spans="1:7" x14ac:dyDescent="0.25">
      <c r="A88" s="76" t="s">
        <v>1123</v>
      </c>
      <c r="B88" s="76" t="str">
        <f>IF((IFERROR(INDEX(Supports!$E$4:$E$23,MATCH(RIA!$J$14,Supports!$B$4:$B$23,0)),""))="","",IF(IFERROR(INDEX(Supports!$E$4:$E$23,MATCH(RIA!$J$14,Supports!$B$4:$B$23,0)),"")="ETRIER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vérifier"),IF(IFERROR(INDEX(Supports!$E$4:$E$23,MATCH(RIA!$J$14,Supports!$B$4:$B$23,0)),"")="COLLIER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vérifier"),IF(IFERROR(INDEX(Supports!$E$4:$E$23,MATCH(RIA!$J$14,Supports!$B$4:$B$23,0)),"")="COLLIER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vérifier"),IFERROR(INDEX(Catalogue!$A$4:$A$454,MATCH(IFERROR(INDEX(Supports!$E$4:$E$23,MATCH(RIA!$J$14,Supports!$B$4:$B$23,0)),""),Catalogue!$B$4:$B$454,0)),"")))))</f>
        <v/>
      </c>
      <c r="C88" s="76" t="str">
        <f>IF((IFERROR(INDEX(Supports!$E$4:$E$23,MATCH(RIA!$J$14,Supports!$B$4:$B$23,0)),""))="","",IF(IFERROR(INDEX(Supports!$E$4:$E$23,MATCH(RIA!$J$14,Supports!$B$4:$B$23,0)),"")="ETRIER RALLONGE (DN automatique = DN du tube)",IFERROR(INDEX(Catalogue!$B$4:$B$454,SUMPRODUCT(((Catalogue!$C$4:$C$454="ETRIER")*(Catalogue!$E$4:$E$454=(RIA!$J$5+0)))*ROW(Catalogue!$C$4:$C$454))-3),""),IF(IFERROR(INDEX(Supports!$E$4:$E$23,MATCH(RIA!$J$14,Supports!$B$4:$B$23,0)),"")="COLLIER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tube)",IFERROR(INDEX(Catalogue!$B$4:$B$454,SUMPRODUCT(((Catalogue!$C$4:$C$454="COLLIERINDUS")*(Catalogue!$E$4:$E$454=(RIA!$J$5+0)))*ROW(Catalogue!$C$4:$C$454))-3),""),IF(IFERROR(INDEX(Supports!$E$4:$E$23,MATCH(RIA!$J$14,Supports!$B$4:$B$23,0)),"")="COLLIER POIRE (DN automatique = DN du tube)",IFERROR(INDEX(Catalogue!$B$4:$B$454,SUMPRODUCT(((Catalogue!$C$4:$C$454="COLLIERPOIRE")*(Catalogue!$E$4:$E$454=(RIA!$J$5+0)))*ROW(Catalogue!$C$4:$C$454))-3),""),IFERROR(INDEX(Supports!$E$4:$E$23,MATCH(RIA!$J$14,Supports!$B$4:$B$23,0)),"")))))</f>
        <v/>
      </c>
      <c r="D88" s="76" t="str">
        <f>IF((IFERROR(INDEX(Supports!$E$4:$E$23,MATCH(RIA!$J$14,Supports!$B$4:$B$23,0)),""))="","",(IFERROR(INDEX(Supports!$F$4:$F$23,MATCH(RIA!$J$14,Supports!$B$4:$B$23,0)),0))*RIA!$J$15)</f>
        <v/>
      </c>
      <c r="E88" s="76" t="s">
        <v>1036</v>
      </c>
      <c r="F88" s="76" t="str">
        <f t="shared" si="2"/>
        <v/>
      </c>
      <c r="G88" s="76">
        <f>IF(AND(B88&lt;&gt;"",B88&lt;&gt;"Non trouvé - vérifier",D88&lt;&gt;"",D88&lt;&gt;0),IF(COUNTIF($B$2:B88,B88)=1,1,0),0)</f>
        <v>0</v>
      </c>
    </row>
    <row r="89" spans="1:7" x14ac:dyDescent="0.25">
      <c r="A89" s="76" t="s">
        <v>1123</v>
      </c>
      <c r="B89" s="76" t="str">
        <f>IF((IFERROR(INDEX(Supports!$G$4:$G$23,MATCH(RIA!$J$14,Supports!$B$4:$B$23,0)),""))="","",IF(IFERROR(INDEX(Supports!$G$4:$G$23,MATCH(RIA!$J$14,Supports!$B$4:$B$23,0)),"")="ETRIER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vérifier"),IF(IFERROR(INDEX(Supports!$G$4:$G$23,MATCH(RIA!$J$14,Supports!$B$4:$B$23,0)),"")="COLLIER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vérifier"),IF(IFERROR(INDEX(Supports!$G$4:$G$23,MATCH(RIA!$J$14,Supports!$B$4:$B$23,0)),"")="COLLIER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vérifier"),IFERROR(INDEX(Catalogue!$A$4:$A$454,MATCH(IFERROR(INDEX(Supports!$G$4:$G$23,MATCH(RIA!$J$14,Supports!$B$4:$B$23,0)),""),Catalogue!$B$4:$B$454,0)),"")))))</f>
        <v/>
      </c>
      <c r="C89" s="76" t="str">
        <f>IF((IFERROR(INDEX(Supports!$G$4:$G$23,MATCH(RIA!$J$14,Supports!$B$4:$B$23,0)),""))="","",IF(IFERROR(INDEX(Supports!$G$4:$G$23,MATCH(RIA!$J$14,Supports!$B$4:$B$23,0)),"")="ETRIER RALLONGE (DN automatique = DN du tube)",IFERROR(INDEX(Catalogue!$B$4:$B$454,SUMPRODUCT(((Catalogue!$C$4:$C$454="ETRIER")*(Catalogue!$E$4:$E$454=(RIA!$J$5+0)))*ROW(Catalogue!$C$4:$C$454))-3),""),IF(IFERROR(INDEX(Supports!$G$4:$G$23,MATCH(RIA!$J$14,Supports!$B$4:$B$23,0)),"")="COLLIER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tube)",IFERROR(INDEX(Catalogue!$B$4:$B$454,SUMPRODUCT(((Catalogue!$C$4:$C$454="COLLIERINDUS")*(Catalogue!$E$4:$E$454=(RIA!$J$5+0)))*ROW(Catalogue!$C$4:$C$454))-3),""),IF(IFERROR(INDEX(Supports!$G$4:$G$23,MATCH(RIA!$J$14,Supports!$B$4:$B$23,0)),"")="COLLIER POIRE (DN automatique = DN du tube)",IFERROR(INDEX(Catalogue!$B$4:$B$454,SUMPRODUCT(((Catalogue!$C$4:$C$454="COLLIERPOIRE")*(Catalogue!$E$4:$E$454=(RIA!$J$5+0)))*ROW(Catalogue!$C$4:$C$454))-3),""),IFERROR(INDEX(Supports!$G$4:$G$23,MATCH(RIA!$J$14,Supports!$B$4:$B$23,0)),"")))))</f>
        <v/>
      </c>
      <c r="D89" s="76" t="str">
        <f>IF((IFERROR(INDEX(Supports!$G$4:$G$23,MATCH(RIA!$J$14,Supports!$B$4:$B$23,0)),""))="","",(IFERROR(INDEX(Supports!$H$4:$H$23,MATCH(RIA!$J$14,Supports!$B$4:$B$23,0)),0))*RIA!$J$15)</f>
        <v/>
      </c>
      <c r="E89" s="76" t="s">
        <v>1036</v>
      </c>
      <c r="F89" s="76" t="str">
        <f t="shared" si="2"/>
        <v/>
      </c>
      <c r="G89" s="76">
        <f>IF(AND(B89&lt;&gt;"",B89&lt;&gt;"Non trouvé - vérifier",D89&lt;&gt;"",D89&lt;&gt;0),IF(COUNTIF($B$2:B89,B89)=1,1,0),0)</f>
        <v>0</v>
      </c>
    </row>
    <row r="90" spans="1:7" x14ac:dyDescent="0.25">
      <c r="A90" s="76" t="s">
        <v>1123</v>
      </c>
      <c r="B90" s="76" t="str">
        <f>IF((IFERROR(INDEX(Supports!$I$4:$I$23,MATCH(RIA!$J$14,Supports!$B$4:$B$23,0)),""))="","",IF(IFERROR(INDEX(Supports!$I$4:$I$23,MATCH(RIA!$J$14,Supports!$B$4:$B$23,0)),"")="ETRIER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vérifier"),IF(IFERROR(INDEX(Supports!$I$4:$I$23,MATCH(RIA!$J$14,Supports!$B$4:$B$23,0)),"")="COLLIER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vérifier"),IF(IFERROR(INDEX(Supports!$I$4:$I$23,MATCH(RIA!$J$14,Supports!$B$4:$B$23,0)),"")="COLLIER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vérifier"),IFERROR(INDEX(Catalogue!$A$4:$A$454,MATCH(IFERROR(INDEX(Supports!$I$4:$I$23,MATCH(RIA!$J$14,Supports!$B$4:$B$23,0)),""),Catalogue!$B$4:$B$454,0)),"")))))</f>
        <v/>
      </c>
      <c r="C90" s="76" t="str">
        <f>IF((IFERROR(INDEX(Supports!$I$4:$I$23,MATCH(RIA!$J$14,Supports!$B$4:$B$23,0)),""))="","",IF(IFERROR(INDEX(Supports!$I$4:$I$23,MATCH(RIA!$J$14,Supports!$B$4:$B$23,0)),"")="ETRIER RALLONGE (DN automatique = DN du tube)",IFERROR(INDEX(Catalogue!$B$4:$B$454,SUMPRODUCT(((Catalogue!$C$4:$C$454="ETRIER")*(Catalogue!$E$4:$E$454=(RIA!$J$5+0)))*ROW(Catalogue!$C$4:$C$454))-3),""),IF(IFERROR(INDEX(Supports!$I$4:$I$23,MATCH(RIA!$J$14,Supports!$B$4:$B$23,0)),"")="COLLIER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tube)",IFERROR(INDEX(Catalogue!$B$4:$B$454,SUMPRODUCT(((Catalogue!$C$4:$C$454="COLLIERINDUS")*(Catalogue!$E$4:$E$454=(RIA!$J$5+0)))*ROW(Catalogue!$C$4:$C$454))-3),""),IF(IFERROR(INDEX(Supports!$I$4:$I$23,MATCH(RIA!$J$14,Supports!$B$4:$B$23,0)),"")="COLLIER POIRE (DN automatique = DN du tube)",IFERROR(INDEX(Catalogue!$B$4:$B$454,SUMPRODUCT(((Catalogue!$C$4:$C$454="COLLIERPOIRE")*(Catalogue!$E$4:$E$454=(RIA!$J$5+0)))*ROW(Catalogue!$C$4:$C$454))-3),""),IFERROR(INDEX(Supports!$I$4:$I$23,MATCH(RIA!$J$14,Supports!$B$4:$B$23,0)),"")))))</f>
        <v/>
      </c>
      <c r="D90" s="76" t="str">
        <f>IF((IFERROR(INDEX(Supports!$I$4:$I$23,MATCH(RIA!$J$14,Supports!$B$4:$B$23,0)),""))="","",(IFERROR(INDEX(Supports!$J$4:$J$23,MATCH(RIA!$J$14,Supports!$B$4:$B$23,0)),0))*RIA!$J$15)</f>
        <v/>
      </c>
      <c r="E90" s="76" t="s">
        <v>1036</v>
      </c>
      <c r="F90" s="76" t="str">
        <f t="shared" si="2"/>
        <v/>
      </c>
      <c r="G90" s="76">
        <f>IF(AND(B90&lt;&gt;"",B90&lt;&gt;"Non trouvé - vérifier",D90&lt;&gt;"",D90&lt;&gt;0),IF(COUNTIF($B$2:B90,B90)=1,1,0),0)</f>
        <v>0</v>
      </c>
    </row>
    <row r="91" spans="1:7" x14ac:dyDescent="0.25">
      <c r="A91" s="76" t="s">
        <v>1123</v>
      </c>
      <c r="B91" s="76" t="str">
        <f>IF((IFERROR(INDEX(Supports!$K$4:$K$23,MATCH(RIA!$J$14,Supports!$B$4:$B$23,0)),""))="","",IF(IFERROR(INDEX(Supports!$K$4:$K$23,MATCH(RIA!$J$14,Supports!$B$4:$B$23,0)),"")="ETRIER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vérifier"),IF(IFERROR(INDEX(Supports!$K$4:$K$23,MATCH(RIA!$J$14,Supports!$B$4:$B$23,0)),"")="COLLIER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vérifier"),IF(IFERROR(INDEX(Supports!$K$4:$K$23,MATCH(RIA!$J$14,Supports!$B$4:$B$23,0)),"")="COLLIER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vérifier"),IFERROR(INDEX(Catalogue!$A$4:$A$454,MATCH(IFERROR(INDEX(Supports!$K$4:$K$23,MATCH(RIA!$J$14,Supports!$B$4:$B$23,0)),""),Catalogue!$B$4:$B$454,0)),"")))))</f>
        <v/>
      </c>
      <c r="C91" s="76" t="str">
        <f>IF((IFERROR(INDEX(Supports!$K$4:$K$23,MATCH(RIA!$J$14,Supports!$B$4:$B$23,0)),""))="","",IF(IFERROR(INDEX(Supports!$K$4:$K$23,MATCH(RIA!$J$14,Supports!$B$4:$B$23,0)),"")="ETRIER RALLONGE (DN automatique = DN du tube)",IFERROR(INDEX(Catalogue!$B$4:$B$454,SUMPRODUCT(((Catalogue!$C$4:$C$454="ETRIER")*(Catalogue!$E$4:$E$454=(RIA!$J$5+0)))*ROW(Catalogue!$C$4:$C$454))-3),""),IF(IFERROR(INDEX(Supports!$K$4:$K$23,MATCH(RIA!$J$14,Supports!$B$4:$B$23,0)),"")="COLLIER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tube)",IFERROR(INDEX(Catalogue!$B$4:$B$454,SUMPRODUCT(((Catalogue!$C$4:$C$454="COLLIERINDUS")*(Catalogue!$E$4:$E$454=(RIA!$J$5+0)))*ROW(Catalogue!$C$4:$C$454))-3),""),IF(IFERROR(INDEX(Supports!$K$4:$K$23,MATCH(RIA!$J$14,Supports!$B$4:$B$23,0)),"")="COLLIER POIRE (DN automatique = DN du tube)",IFERROR(INDEX(Catalogue!$B$4:$B$454,SUMPRODUCT(((Catalogue!$C$4:$C$454="COLLIERPOIRE")*(Catalogue!$E$4:$E$454=(RIA!$J$5+0)))*ROW(Catalogue!$C$4:$C$454))-3),""),IFERROR(INDEX(Supports!$K$4:$K$23,MATCH(RIA!$J$14,Supports!$B$4:$B$23,0)),"")))))</f>
        <v/>
      </c>
      <c r="D91" s="76" t="str">
        <f>IF((IFERROR(INDEX(Supports!$K$4:$K$23,MATCH(RIA!$J$14,Supports!$B$4:$B$23,0)),""))="","",(IFERROR(INDEX(Supports!$L$4:$L$23,MATCH(RIA!$J$14,Supports!$B$4:$B$23,0)),0))*RIA!$J$15)</f>
        <v/>
      </c>
      <c r="E91" s="76" t="s">
        <v>1036</v>
      </c>
      <c r="F91" s="76" t="str">
        <f t="shared" si="2"/>
        <v/>
      </c>
      <c r="G91" s="76">
        <f>IF(AND(B91&lt;&gt;"",B91&lt;&gt;"Non trouvé - vérifier",D91&lt;&gt;"",D91&lt;&gt;0),IF(COUNTIF($B$2:B91,B91)=1,1,0),0)</f>
        <v>0</v>
      </c>
    </row>
    <row r="92" spans="1:7" x14ac:dyDescent="0.25">
      <c r="A92" s="76" t="s">
        <v>1123</v>
      </c>
      <c r="B92" s="76" t="str">
        <f>IF((IFERROR(INDEX(Supports!$M$4:$M$23,MATCH(RIA!$J$14,Supports!$B$4:$B$23,0)),""))="","",IF(IFERROR(INDEX(Supports!$M$4:$M$23,MATCH(RIA!$J$14,Supports!$B$4:$B$23,0)),"")="ETRIER RALLONGE (DN automatique = DN du tube)",IFERROR(INDEX(Catalogue!$A$4:$A$454,SUMPRODUCT(((Catalogue!$C$4:$C$454="ETRIER")*(Catalogue!$E$4:$E$454=(RIA!$J$5+0)))*ROW(Catalogue!$C$4:$C$454))-3),"Non trouvé - vérifier"),IF(IFERROR(INDEX(Supports!$M$4:$M$23,MATCH(RIA!$J$14,Supports!$B$4:$B$23,0)),"")="COLLIER INDUSTRIEL (DN automatique = DN du tube)",IFERROR(INDEX(Catalogue!$A$4:$A$454,SUMPRODUCT(((Catalogue!$C$4:$C$454="COLLIERINDUS")*(Catalogue!$E$4:$E$454=(RIA!$J$5+0)))*ROW(Catalogue!$C$4:$C$454))-3),"Non trouvé - vérifier"),IF(IFERROR(INDEX(Supports!$M$4:$M$23,MATCH(RIA!$J$14,Supports!$B$4:$B$23,0)),"")="COLLIER POIRE (DN automatique = DN du tube)",IFERROR(INDEX(Catalogue!$A$4:$A$454,SUMPRODUCT(((Catalogue!$C$4:$C$454="COLLIERPOIRE")*(Catalogue!$E$4:$E$454=(RIA!$J$5+0)))*ROW(Catalogue!$C$4:$C$454))-3),"Non trouvé - vérifier"),IFERROR(INDEX(Catalogue!$A$4:$A$454,MATCH(IFERROR(INDEX(Supports!$M$4:$M$23,MATCH(RIA!$J$14,Supports!$B$4:$B$23,0)),""),Catalogue!$B$4:$B$454,0)),"")))))</f>
        <v/>
      </c>
      <c r="C92" s="76" t="str">
        <f>IF((IFERROR(INDEX(Supports!$M$4:$M$23,MATCH(RIA!$J$14,Supports!$B$4:$B$23,0)),""))="","",IF(IFERROR(INDEX(Supports!$M$4:$M$23,MATCH(RIA!$J$14,Supports!$B$4:$B$23,0)),"")="ETRIER RALLONGE (DN automatique = DN du tube)",IFERROR(INDEX(Catalogue!$B$4:$B$454,SUMPRODUCT(((Catalogue!$C$4:$C$454="ETRIER")*(Catalogue!$E$4:$E$454=(RIA!$J$5+0)))*ROW(Catalogue!$C$4:$C$454))-3),""),IF(IFERROR(INDEX(Supports!$M$4:$M$23,MATCH(RIA!$J$14,Supports!$B$4:$B$23,0)),"")="COLLIER INDUSTRIEL (DN automatique = DN du tube)",IFERROR(INDEX(Catalogue!$B$4:$B$454,SUMPRODUCT(((Catalogue!$C$4:$C$454="COLLIERINDUS")*(Catalogue!$E$4:$E$454=(RIA!$J$5+0)))*ROW(Catalogue!$C$4:$C$454))-3),""),IF(IFERROR(INDEX(Supports!$M$4:$M$23,MATCH(RIA!$J$14,Supports!$B$4:$B$23,0)),"")="COLLIER POIRE (DN automatique = DN du tube)",IFERROR(INDEX(Catalogue!$B$4:$B$454,SUMPRODUCT(((Catalogue!$C$4:$C$454="COLLIERPOIRE")*(Catalogue!$E$4:$E$454=(RIA!$J$5+0)))*ROW(Catalogue!$C$4:$C$454))-3),""),IFERROR(INDEX(Supports!$M$4:$M$23,MATCH(RIA!$J$14,Supports!$B$4:$B$23,0)),"")))))</f>
        <v/>
      </c>
      <c r="D92" s="76" t="str">
        <f>IF((IFERROR(INDEX(Supports!$M$4:$M$23,MATCH(RIA!$J$14,Supports!$B$4:$B$23,0)),""))="","",(IFERROR(INDEX(Supports!$N$4:$N$23,MATCH(RIA!$J$14,Supports!$B$4:$B$23,0)),0))*RIA!$J$15)</f>
        <v/>
      </c>
      <c r="E92" s="76" t="s">
        <v>1036</v>
      </c>
      <c r="F92" s="76" t="str">
        <f t="shared" si="2"/>
        <v/>
      </c>
      <c r="G92" s="76">
        <f>IF(AND(B92&lt;&gt;"",B92&lt;&gt;"Non trouvé - vérifier",D92&lt;&gt;"",D92&lt;&gt;0),IF(COUNTIF($B$2:B92,B92)=1,1,0),0)</f>
        <v>0</v>
      </c>
    </row>
    <row r="93" spans="1:7" x14ac:dyDescent="0.25">
      <c r="A93" s="76" t="s">
        <v>1124</v>
      </c>
      <c r="B93" s="76" t="str">
        <f>IFERROR(INDEX(Catalogue!$A$4:$A$454,SUMPRODUCT(((Catalogue!$C$4:$C$454="CPC")*(Catalogue!$D$4:$D$454="GALVA")*(Catalogue!$E$4:$E$454=(RIA!$D$5+0))*(Catalogue!$F$4:$F$454=(40+0))*(Catalogue!$G$4:$G$454="RAINURE"))*ROW(Catalogue!$C$4:$C$454))-3),"Non trouvé - vérifier")</f>
        <v>Non trouvé - vérifier</v>
      </c>
      <c r="C93" s="76" t="str">
        <f>IFERROR(INDEX(Catalogue!$B$4:$B$454,SUMPRODUCT(((Catalogue!$C$4:$C$454="CPC")*(Catalogue!$D$4:$D$454="GALVA")*(Catalogue!$E$4:$E$454=(RIA!$D$5+0))*(Catalogue!$F$4:$F$454=(40+0))*(Catalogue!$G$4:$G$454="RAINURE"))*ROW(Catalogue!$C$4:$C$454))-3),"")</f>
        <v/>
      </c>
      <c r="D93" s="76">
        <f>RIA!$D$16</f>
        <v>0</v>
      </c>
      <c r="E93" s="76" t="s">
        <v>1034</v>
      </c>
      <c r="F93" s="76" t="str">
        <f t="shared" si="2"/>
        <v/>
      </c>
      <c r="G93" s="76">
        <f>IF(AND(B93&lt;&gt;"",B93&lt;&gt;"Non trouvé - vérifier",D93&lt;&gt;"",D93&lt;&gt;0),IF(COUNTIF($B$2:B93,B93)=1,1,0),0)</f>
        <v>0</v>
      </c>
    </row>
    <row r="94" spans="1:7" x14ac:dyDescent="0.25">
      <c r="A94" s="76" t="s">
        <v>1124</v>
      </c>
      <c r="B94" s="76" t="str">
        <f>IFERROR(INDEX(Catalogue!$A$4:$A$454,SUMPRODUCT(((Catalogue!$C$4:$C$454="TUBE")*(Catalogue!$G$4:$G$454&lt;&gt;"TSS")*(Catalogue!$D$4:$D$454="GALVA")*(Catalogue!$E$4:$E$454=(40+0))*(Catalogue!$G$4:$G$454="SL"))*ROW(Catalogue!$C$4:$C$454))-3),"Non trouvé - vérifier")</f>
        <v>TUBESLGA040</v>
      </c>
      <c r="C94" s="76" t="str">
        <f>IFERROR(INDEX(Catalogue!$B$4:$B$454,SUMPRODUCT(((Catalogue!$C$4:$C$454="TUBE")*(Catalogue!$G$4:$G$454&lt;&gt;"TSS")*(Catalogue!$D$4:$D$454="GALVA")*(Catalogue!$E$4:$E$454=(40+0))*(Catalogue!$G$4:$G$454="SL"))*ROW(Catalogue!$C$4:$C$454))-3),"")</f>
        <v>TUBE GALVA EN 10255 SL DN40X2.9</v>
      </c>
      <c r="D94" s="76">
        <f>CEILING((6*RIA!$D$16),6)</f>
        <v>0</v>
      </c>
      <c r="E94" s="76" t="s">
        <v>1033</v>
      </c>
      <c r="F94" s="76" t="str">
        <f t="shared" si="2"/>
        <v/>
      </c>
      <c r="G94" s="76">
        <f>IF(AND(B94&lt;&gt;"",B94&lt;&gt;"Non trouvé - vérifier",D94&lt;&gt;"",D94&lt;&gt;0),IF(COUNTIF($B$2:B94,B94)=1,1,0),0)</f>
        <v>0</v>
      </c>
    </row>
    <row r="95" spans="1:7" x14ac:dyDescent="0.25">
      <c r="A95" s="76" t="s">
        <v>1124</v>
      </c>
      <c r="B95" s="76" t="str">
        <f>"TESEGFFGA040"</f>
        <v>TESEGFFGA040</v>
      </c>
      <c r="C95" s="76" t="str">
        <f>IFERROR(INDEX(Catalogue!$B$4:$B$454,MATCH("TESEGFFGA040",Catalogue!$A$4:$A$454,0)),"")</f>
        <v>TES EGAL A VISSER FF GALVA DN40</v>
      </c>
      <c r="D95" s="76">
        <f>RIA!$D$16</f>
        <v>0</v>
      </c>
      <c r="E95" s="76" t="s">
        <v>1034</v>
      </c>
      <c r="F95" s="76" t="str">
        <f t="shared" si="2"/>
        <v/>
      </c>
      <c r="G95" s="76">
        <f>IF(AND(B95&lt;&gt;"",B95&lt;&gt;"Non trouvé - vérifier",D95&lt;&gt;"",D95&lt;&gt;0),IF(COUNTIF($B$2:B95,B95)=1,1,0),0)</f>
        <v>0</v>
      </c>
    </row>
    <row r="96" spans="1:7" x14ac:dyDescent="0.25">
      <c r="A96" s="76" t="s">
        <v>1124</v>
      </c>
      <c r="B96" s="76" t="str">
        <f>"BOUCHVIMGA040"</f>
        <v>BOUCHVIMGA040</v>
      </c>
      <c r="C96" s="76" t="str">
        <f>IFERROR(INDEX(Catalogue!$B$4:$B$454,MATCH("BOUCHVIMGA040",Catalogue!$A$4:$A$454,0)),"")</f>
        <v>BOUCHON VISSER M GALVA DN40</v>
      </c>
      <c r="D96" s="76">
        <f>RIA!$D$16</f>
        <v>0</v>
      </c>
      <c r="E96" s="76" t="s">
        <v>1034</v>
      </c>
      <c r="F96" s="76" t="str">
        <f t="shared" si="2"/>
        <v/>
      </c>
      <c r="G96" s="76">
        <f>IF(AND(B96&lt;&gt;"",B96&lt;&gt;"Non trouvé - vérifier",D96&lt;&gt;"",D96&lt;&gt;0),IF(COUNTIF($B$2:B96,B96)=1,1,0),0)</f>
        <v>0</v>
      </c>
    </row>
    <row r="97" spans="1:7" x14ac:dyDescent="0.25">
      <c r="A97" s="76" t="s">
        <v>1124</v>
      </c>
      <c r="B97" s="76" t="str">
        <f>"RACCORAGA040"</f>
        <v>RACCORAGA040</v>
      </c>
      <c r="C97" s="76" t="str">
        <f>IFERROR(INDEX(Catalogue!$B$4:$B$454,MATCH("RACCORAGA040",Catalogue!$A$4:$A$454,0)),"")</f>
        <v>RACCORD RAINURE GALVA DN40</v>
      </c>
      <c r="D97" s="76">
        <f>RIA!$D$16</f>
        <v>0</v>
      </c>
      <c r="E97" s="76" t="s">
        <v>1034</v>
      </c>
      <c r="F97" s="76" t="str">
        <f t="shared" si="2"/>
        <v/>
      </c>
      <c r="G97" s="76">
        <f>IF(AND(B97&lt;&gt;"",B97&lt;&gt;"Non trouvé - vérifier",D97&lt;&gt;"",D97&lt;&gt;0),IF(COUNTIF($B$2:B97,B97)=1,1,0),0)</f>
        <v>0</v>
      </c>
    </row>
    <row r="98" spans="1:7" x14ac:dyDescent="0.25">
      <c r="A98" s="76" t="s">
        <v>1124</v>
      </c>
      <c r="B98" s="76" t="str">
        <f>"VANBSFFLA040P25"</f>
        <v>VANBSFFLA040P25</v>
      </c>
      <c r="C98" s="76" t="str">
        <f>IFERROR(INDEX(Catalogue!$B$4:$B$454,MATCH("VANBSFFLA040P25",Catalogue!$A$4:$A$454,0)),"")</f>
        <v>VANNE BS 1/4 FF LAITON DN40 PN25</v>
      </c>
      <c r="D98" s="76">
        <f>RIA!$D$16</f>
        <v>0</v>
      </c>
      <c r="E98" s="76" t="s">
        <v>1034</v>
      </c>
      <c r="F98" s="76" t="str">
        <f t="shared" ref="F98:F129" si="3">IF(AND(B98&lt;&gt;"",B98&lt;&gt;"Non trouvé - vérifier",D98&lt;&gt;"",D98&lt;&gt;0),SUMIF($B$2:$B$183,B98,$D$2:$D$183),"")</f>
        <v/>
      </c>
      <c r="G98" s="76">
        <f>IF(AND(B98&lt;&gt;"",B98&lt;&gt;"Non trouvé - vérifier",D98&lt;&gt;"",D98&lt;&gt;0),IF(COUNTIF($B$2:B98,B98)=1,1,0),0)</f>
        <v>0</v>
      </c>
    </row>
    <row r="99" spans="1:7" x14ac:dyDescent="0.25">
      <c r="A99" s="76" t="s">
        <v>1124</v>
      </c>
      <c r="B99" s="76" t="str">
        <f>"RIATPDN32-30M"</f>
        <v>RIATPDN32-30M</v>
      </c>
      <c r="C99" s="76" t="str">
        <f>IFERROR(INDEX(Catalogue!$B$4:$B$454,MATCH("RIATPDN32-30M",Catalogue!$A$4:$A$454,0)),"")</f>
        <v>RIA TOURNANT PIVOTANT DN33-30M</v>
      </c>
      <c r="D99" s="76">
        <f>RIA!$D$16</f>
        <v>0</v>
      </c>
      <c r="E99" s="76" t="s">
        <v>1034</v>
      </c>
      <c r="F99" s="76" t="str">
        <f t="shared" si="3"/>
        <v/>
      </c>
      <c r="G99" s="76">
        <f>IF(AND(B99&lt;&gt;"",B99&lt;&gt;"Non trouvé - vérifier",D99&lt;&gt;"",D99&lt;&gt;0),IF(COUNTIF($B$2:B99,B99)=1,1,0),0)</f>
        <v>0</v>
      </c>
    </row>
    <row r="100" spans="1:7" x14ac:dyDescent="0.25">
      <c r="A100" s="76" t="s">
        <v>1125</v>
      </c>
      <c r="B100" s="76" t="str">
        <f>IFERROR(INDEX(Catalogue!$A$4:$A$454,SUMPRODUCT(((Catalogue!$C$4:$C$454="CPC")*(Catalogue!$D$4:$D$454="GALVA")*(Catalogue!$E$4:$E$454=(RIA!$D$5+0))*(Catalogue!$F$4:$F$454=(40+0))*(Catalogue!$G$4:$G$454="RAINURE"))*ROW(Catalogue!$C$4:$C$454))-3),"Non trouvé - vérifier")</f>
        <v>Non trouvé - vérifier</v>
      </c>
      <c r="C100" s="76" t="str">
        <f>IFERROR(INDEX(Catalogue!$B$4:$B$454,SUMPRODUCT(((Catalogue!$C$4:$C$454="CPC")*(Catalogue!$D$4:$D$454="GALVA")*(Catalogue!$E$4:$E$454=(RIA!$D$5+0))*(Catalogue!$F$4:$F$454=(40+0))*(Catalogue!$G$4:$G$454="RAINURE"))*ROW(Catalogue!$C$4:$C$454))-3),"")</f>
        <v/>
      </c>
      <c r="D100" s="76">
        <f>RIA!$D$17</f>
        <v>0</v>
      </c>
      <c r="E100" s="76" t="s">
        <v>1034</v>
      </c>
      <c r="F100" s="76" t="str">
        <f t="shared" si="3"/>
        <v/>
      </c>
      <c r="G100" s="76">
        <f>IF(AND(B100&lt;&gt;"",B100&lt;&gt;"Non trouvé - vérifier",D100&lt;&gt;"",D100&lt;&gt;0),IF(COUNTIF($B$2:B100,B100)=1,1,0),0)</f>
        <v>0</v>
      </c>
    </row>
    <row r="101" spans="1:7" x14ac:dyDescent="0.25">
      <c r="A101" s="76" t="s">
        <v>1125</v>
      </c>
      <c r="B101" s="76" t="str">
        <f>IFERROR(INDEX(Catalogue!$A$4:$A$454,SUMPRODUCT(((Catalogue!$C$4:$C$454="TUBE")*(Catalogue!$D$4:$D$454="GALVA")*(Catalogue!$E$4:$E$454=(40+0))*(Catalogue!$G$4:$G$454="SL"))*ROW(Catalogue!$C$4:$C$454))-3),"Non trouvé - vérifier")</f>
        <v>TUBESLGA040</v>
      </c>
      <c r="C101" s="76" t="str">
        <f>IFERROR(INDEX(Catalogue!$B$4:$B$454,SUMPRODUCT(((Catalogue!$C$4:$C$454="TUBE")*(Catalogue!$D$4:$D$454="GALVA")*(Catalogue!$E$4:$E$454=(40+0))*(Catalogue!$G$4:$G$454="SL"))*ROW(Catalogue!$C$4:$C$454))-3),"")</f>
        <v>TUBE GALVA EN 10255 SL DN40X2.9</v>
      </c>
      <c r="D101" s="76">
        <f>CEILING((6*RIA!$D$17),6)</f>
        <v>0</v>
      </c>
      <c r="E101" s="76" t="s">
        <v>1033</v>
      </c>
      <c r="F101" s="76" t="str">
        <f t="shared" si="3"/>
        <v/>
      </c>
      <c r="G101" s="76">
        <f>IF(AND(B101&lt;&gt;"",B101&lt;&gt;"Non trouvé - vérifier",D101&lt;&gt;"",D101&lt;&gt;0),IF(COUNTIF($B$2:B101,B101)=1,1,0),0)</f>
        <v>0</v>
      </c>
    </row>
    <row r="102" spans="1:7" x14ac:dyDescent="0.25">
      <c r="A102" s="76" t="s">
        <v>1125</v>
      </c>
      <c r="B102" s="76" t="str">
        <f>IFERROR(INDEX(Catalogue!$A$4:$A$454,MATCH("TES EGAL A VISSER FF GALVA DN40",Catalogue!$B$4:$B$454,0)),"")</f>
        <v>TESEGFFGA040</v>
      </c>
      <c r="C102" s="76" t="str">
        <f>"TES EGAL A VISSER FF GALVA DN40"</f>
        <v>TES EGAL A VISSER FF GALVA DN40</v>
      </c>
      <c r="D102" s="76">
        <f>RIA!$D$17</f>
        <v>0</v>
      </c>
      <c r="E102" s="76" t="s">
        <v>1034</v>
      </c>
      <c r="F102" s="76" t="str">
        <f t="shared" si="3"/>
        <v/>
      </c>
      <c r="G102" s="76">
        <f>IF(AND(B102&lt;&gt;"",B102&lt;&gt;"Non trouvé - vérifier",D102&lt;&gt;"",D102&lt;&gt;0),IF(COUNTIF($B$2:B102,B102)=1,1,0),0)</f>
        <v>0</v>
      </c>
    </row>
    <row r="103" spans="1:7" x14ac:dyDescent="0.25">
      <c r="A103" s="76" t="s">
        <v>1125</v>
      </c>
      <c r="B103" s="76" t="str">
        <f>IFERROR(INDEX(Catalogue!$A$4:$A$454,MATCH("BOUCHON VISSER M GALVA DN40",Catalogue!$B$4:$B$454,0)),"")</f>
        <v>BOUCHVIMGA040</v>
      </c>
      <c r="C103" s="76" t="str">
        <f>"BOUCHON VISSER M GALVA DN40"</f>
        <v>BOUCHON VISSER M GALVA DN40</v>
      </c>
      <c r="D103" s="76">
        <f>RIA!$D$17</f>
        <v>0</v>
      </c>
      <c r="E103" s="76" t="s">
        <v>1034</v>
      </c>
      <c r="F103" s="76" t="str">
        <f t="shared" si="3"/>
        <v/>
      </c>
      <c r="G103" s="76">
        <f>IF(AND(B103&lt;&gt;"",B103&lt;&gt;"Non trouvé - vérifier",D103&lt;&gt;"",D103&lt;&gt;0),IF(COUNTIF($B$2:B103,B103)=1,1,0),0)</f>
        <v>0</v>
      </c>
    </row>
    <row r="104" spans="1:7" x14ac:dyDescent="0.25">
      <c r="A104" s="76" t="s">
        <v>1125</v>
      </c>
      <c r="B104" s="76" t="str">
        <f>IFERROR(INDEX(Catalogue!$A$4:$A$454,MATCH("VANNE BS 1/4 FF LAITON DN40 PN25",Catalogue!$B$4:$B$454,0)),"")</f>
        <v>VANBSFFLA040P25</v>
      </c>
      <c r="C104" s="76" t="str">
        <f>"VANNE BS 1/4 FF LAITON DN40 PN25"</f>
        <v>VANNE BS 1/4 FF LAITON DN40 PN25</v>
      </c>
      <c r="D104" s="76">
        <f>RIA!$D$17</f>
        <v>0</v>
      </c>
      <c r="E104" s="76" t="s">
        <v>1034</v>
      </c>
      <c r="F104" s="76" t="str">
        <f t="shared" si="3"/>
        <v/>
      </c>
      <c r="G104" s="76">
        <f>IF(AND(B104&lt;&gt;"",B104&lt;&gt;"Non trouvé - vérifier",D104&lt;&gt;"",D104&lt;&gt;0),IF(COUNTIF($B$2:B104,B104)=1,1,0),0)</f>
        <v>0</v>
      </c>
    </row>
    <row r="105" spans="1:7" x14ac:dyDescent="0.25">
      <c r="A105" s="76" t="s">
        <v>1125</v>
      </c>
      <c r="B105" s="76" t="str">
        <f>IFERROR(INDEX(Catalogue!$A$4:$A$454,SUMPRODUCT(((Catalogue!$C$4:$C$454="TUBE")*(Catalogue!$G$4:$G$454&lt;&gt;"TSS")*(Catalogue!$D$4:$D$454="GALVA")*(Catalogue!$E$4:$E$454=(25+0)))*ROW(Catalogue!$C$4:$C$454))-3),"Non trouvé - vérifier")</f>
        <v>TUBETSSGA025</v>
      </c>
      <c r="C105" s="76" t="str">
        <f>IFERROR(INDEX(Catalogue!$B$4:$B$454,SUMPRODUCT(((Catalogue!$C$4:$C$454="TUBE")*(Catalogue!$G$4:$G$454&lt;&gt;"TSS")*(Catalogue!$D$4:$D$454="GALVA")*(Catalogue!$E$4:$E$454=(25+0)))*ROW(Catalogue!$C$4:$C$454))-3),"")</f>
        <v>TUBE GALVA EN 10255 TSS DN 25X3.2</v>
      </c>
      <c r="D105" s="76">
        <f>CEILING((1*RIA!$D$17),6)</f>
        <v>0</v>
      </c>
      <c r="E105" s="76" t="s">
        <v>1033</v>
      </c>
      <c r="F105" s="76" t="str">
        <f t="shared" si="3"/>
        <v/>
      </c>
      <c r="G105" s="76">
        <f>IF(AND(B105&lt;&gt;"",B105&lt;&gt;"Non trouvé - vérifier",D105&lt;&gt;"",D105&lt;&gt;0),IF(COUNTIF($B$2:B105,B105)=1,1,0),0)</f>
        <v>0</v>
      </c>
    </row>
    <row r="106" spans="1:7" x14ac:dyDescent="0.25">
      <c r="A106" s="76" t="s">
        <v>1125</v>
      </c>
      <c r="B106" s="76" t="str">
        <f>"RACCOUNFFGA025"</f>
        <v>RACCOUNFFGA025</v>
      </c>
      <c r="C106" s="76" t="str">
        <f>IFERROR(INDEX(Catalogue!$B$4:$B$454,MATCH("RACCOUNFFGA025",Catalogue!$A$4:$A$454,0)),"")</f>
        <v>RACCORD UNION VISSER FF GALVA DN25</v>
      </c>
      <c r="D106" s="76">
        <f>RIA!$D$17</f>
        <v>0</v>
      </c>
      <c r="E106" s="76" t="s">
        <v>1034</v>
      </c>
      <c r="F106" s="76" t="str">
        <f t="shared" si="3"/>
        <v/>
      </c>
      <c r="G106" s="76">
        <f>IF(AND(B106&lt;&gt;"",B106&lt;&gt;"Non trouvé - vérifier",D106&lt;&gt;"",D106&lt;&gt;0),IF(COUNTIF($B$2:B106,B106)=1,1,0),0)</f>
        <v>0</v>
      </c>
    </row>
    <row r="107" spans="1:7" x14ac:dyDescent="0.25">
      <c r="A107" s="76" t="s">
        <v>1125</v>
      </c>
      <c r="B107" s="76" t="str">
        <f>IFERROR(INDEX(Catalogue!$A$4:$A$454,SUMPRODUCT(((Catalogue!$C$4:$C$454="REDUC")*(Catalogue!$D$4:$D$454="GALVA")*(Catalogue!$E$4:$E$454=(40+0))*(Catalogue!$F$4:$F$454=(25+0))*(Catalogue!$G$4:$G$454="MF"))*ROW(Catalogue!$C$4:$C$454))-3),"Non trouvé - vérifier")</f>
        <v>REDUCMFGA4025</v>
      </c>
      <c r="C107" s="76" t="str">
        <f>IFERROR(INDEX(Catalogue!$B$4:$B$454,SUMPRODUCT(((Catalogue!$C$4:$C$454="REDUC")*(Catalogue!$D$4:$D$454="GALVA")*(Catalogue!$E$4:$E$454=(40+0))*(Catalogue!$F$4:$F$454=(25+0))*(Catalogue!$G$4:$G$454="MF"))*ROW(Catalogue!$C$4:$C$454))-3),"")</f>
        <v>REDUC VISSER MF GALVA DN40X25 1''1/2X1''</v>
      </c>
      <c r="D107" s="76">
        <f>RIA!$D$17</f>
        <v>0</v>
      </c>
      <c r="E107" s="76" t="s">
        <v>1034</v>
      </c>
      <c r="F107" s="76" t="str">
        <f t="shared" si="3"/>
        <v/>
      </c>
      <c r="G107" s="76">
        <f>IF(AND(B107&lt;&gt;"",B107&lt;&gt;"Non trouvé - vérifier",D107&lt;&gt;"",D107&lt;&gt;0),IF(COUNTIF($B$2:B107,B107)=1,1,0),0)</f>
        <v>0</v>
      </c>
    </row>
    <row r="108" spans="1:7" x14ac:dyDescent="0.25">
      <c r="A108" s="76" t="s">
        <v>1125</v>
      </c>
      <c r="B108" s="76" t="str">
        <f>"RIATPDN25-30M"</f>
        <v>RIATPDN25-30M</v>
      </c>
      <c r="C108" s="76" t="str">
        <f>IFERROR(INDEX(Catalogue!$B$4:$B$454,MATCH("RIATPDN25-30M",Catalogue!$A$4:$A$454,0)),"")</f>
        <v>RIA TOURNANT PIVOTANT DN25-30M</v>
      </c>
      <c r="D108" s="76">
        <f>RIA!$D$17</f>
        <v>0</v>
      </c>
      <c r="E108" s="76" t="s">
        <v>1034</v>
      </c>
      <c r="F108" s="76" t="str">
        <f t="shared" si="3"/>
        <v/>
      </c>
      <c r="G108" s="76">
        <f>IF(AND(B108&lt;&gt;"",B108&lt;&gt;"Non trouvé - vérifier",D108&lt;&gt;"",D108&lt;&gt;0),IF(COUNTIF($B$2:B108,B108)=1,1,0),0)</f>
        <v>0</v>
      </c>
    </row>
    <row r="109" spans="1:7" x14ac:dyDescent="0.25">
      <c r="A109" s="76" t="s">
        <v>1126</v>
      </c>
      <c r="B109" s="76" t="str">
        <f>IFERROR(INDEX(Catalogue!$A$4:$A$454,SUMPRODUCT(((Catalogue!$C$4:$C$454="CPC")*(Catalogue!$D$4:$D$454="GALVA")*(Catalogue!$E$4:$E$454=(RIA!$F$5+0))*(Catalogue!$F$4:$F$454=(40+0))*(Catalogue!$G$4:$G$454="RAINURE"))*ROW(Catalogue!$C$4:$C$454))-3),"Non trouvé - vérifier")</f>
        <v>Non trouvé - vérifier</v>
      </c>
      <c r="C109" s="76" t="str">
        <f>IFERROR(INDEX(Catalogue!$B$4:$B$454,SUMPRODUCT(((Catalogue!$C$4:$C$454="CPC")*(Catalogue!$D$4:$D$454="GALVA")*(Catalogue!$E$4:$E$454=(RIA!$F$5+0))*(Catalogue!$F$4:$F$454=(40+0))*(Catalogue!$G$4:$G$454="RAINURE"))*ROW(Catalogue!$C$4:$C$454))-3),"")</f>
        <v/>
      </c>
      <c r="D109" s="76">
        <f>RIA!$F$16</f>
        <v>0</v>
      </c>
      <c r="E109" s="76" t="s">
        <v>1034</v>
      </c>
      <c r="F109" s="76" t="str">
        <f t="shared" si="3"/>
        <v/>
      </c>
      <c r="G109" s="76">
        <f>IF(AND(B109&lt;&gt;"",B109&lt;&gt;"Non trouvé - vérifier",D109&lt;&gt;"",D109&lt;&gt;0),IF(COUNTIF($B$2:B109,B109)=1,1,0),0)</f>
        <v>0</v>
      </c>
    </row>
    <row r="110" spans="1:7" x14ac:dyDescent="0.25">
      <c r="A110" s="76" t="s">
        <v>1126</v>
      </c>
      <c r="B110" s="76" t="str">
        <f>IFERROR(INDEX(Catalogue!$A$4:$A$454,SUMPRODUCT(((Catalogue!$C$4:$C$454="TUBE")*(Catalogue!$G$4:$G$454&lt;&gt;"TSS")*(Catalogue!$D$4:$D$454="GALVA")*(Catalogue!$E$4:$E$454=(40+0))*(Catalogue!$G$4:$G$454="SL"))*ROW(Catalogue!$C$4:$C$454))-3),"Non trouvé - vérifier")</f>
        <v>TUBESLGA040</v>
      </c>
      <c r="C110" s="76" t="str">
        <f>IFERROR(INDEX(Catalogue!$B$4:$B$454,SUMPRODUCT(((Catalogue!$C$4:$C$454="TUBE")*(Catalogue!$G$4:$G$454&lt;&gt;"TSS")*(Catalogue!$D$4:$D$454="GALVA")*(Catalogue!$E$4:$E$454=(40+0))*(Catalogue!$G$4:$G$454="SL"))*ROW(Catalogue!$C$4:$C$454))-3),"")</f>
        <v>TUBE GALVA EN 10255 SL DN40X2.9</v>
      </c>
      <c r="D110" s="76">
        <f>CEILING((6*RIA!$F$16),6)</f>
        <v>0</v>
      </c>
      <c r="E110" s="76" t="s">
        <v>1033</v>
      </c>
      <c r="F110" s="76" t="str">
        <f t="shared" si="3"/>
        <v/>
      </c>
      <c r="G110" s="76">
        <f>IF(AND(B110&lt;&gt;"",B110&lt;&gt;"Non trouvé - vérifier",D110&lt;&gt;"",D110&lt;&gt;0),IF(COUNTIF($B$2:B110,B110)=1,1,0),0)</f>
        <v>0</v>
      </c>
    </row>
    <row r="111" spans="1:7" x14ac:dyDescent="0.25">
      <c r="A111" s="76" t="s">
        <v>1126</v>
      </c>
      <c r="B111" s="76" t="str">
        <f>"TESEGFFGA040"</f>
        <v>TESEGFFGA040</v>
      </c>
      <c r="C111" s="76" t="str">
        <f>IFERROR(INDEX(Catalogue!$B$4:$B$454,MATCH("TESEGFFGA040",Catalogue!$A$4:$A$454,0)),"")</f>
        <v>TES EGAL A VISSER FF GALVA DN40</v>
      </c>
      <c r="D111" s="76">
        <f>RIA!$F$16</f>
        <v>0</v>
      </c>
      <c r="E111" s="76" t="s">
        <v>1034</v>
      </c>
      <c r="F111" s="76" t="str">
        <f t="shared" si="3"/>
        <v/>
      </c>
      <c r="G111" s="76">
        <f>IF(AND(B111&lt;&gt;"",B111&lt;&gt;"Non trouvé - vérifier",D111&lt;&gt;"",D111&lt;&gt;0),IF(COUNTIF($B$2:B111,B111)=1,1,0),0)</f>
        <v>0</v>
      </c>
    </row>
    <row r="112" spans="1:7" x14ac:dyDescent="0.25">
      <c r="A112" s="76" t="s">
        <v>1126</v>
      </c>
      <c r="B112" s="76" t="str">
        <f>"BOUCHVIMGA040"</f>
        <v>BOUCHVIMGA040</v>
      </c>
      <c r="C112" s="76" t="str">
        <f>IFERROR(INDEX(Catalogue!$B$4:$B$454,MATCH("BOUCHVIMGA040",Catalogue!$A$4:$A$454,0)),"")</f>
        <v>BOUCHON VISSER M GALVA DN40</v>
      </c>
      <c r="D112" s="76">
        <f>RIA!$F$16</f>
        <v>0</v>
      </c>
      <c r="E112" s="76" t="s">
        <v>1034</v>
      </c>
      <c r="F112" s="76" t="str">
        <f t="shared" si="3"/>
        <v/>
      </c>
      <c r="G112" s="76">
        <f>IF(AND(B112&lt;&gt;"",B112&lt;&gt;"Non trouvé - vérifier",D112&lt;&gt;"",D112&lt;&gt;0),IF(COUNTIF($B$2:B112,B112)=1,1,0),0)</f>
        <v>0</v>
      </c>
    </row>
    <row r="113" spans="1:7" x14ac:dyDescent="0.25">
      <c r="A113" s="76" t="s">
        <v>1126</v>
      </c>
      <c r="B113" s="76" t="str">
        <f>"RACCORAGA040"</f>
        <v>RACCORAGA040</v>
      </c>
      <c r="C113" s="76" t="str">
        <f>IFERROR(INDEX(Catalogue!$B$4:$B$454,MATCH("RACCORAGA040",Catalogue!$A$4:$A$454,0)),"")</f>
        <v>RACCORD RAINURE GALVA DN40</v>
      </c>
      <c r="D113" s="76">
        <f>RIA!$F$16</f>
        <v>0</v>
      </c>
      <c r="E113" s="76" t="s">
        <v>1034</v>
      </c>
      <c r="F113" s="76" t="str">
        <f t="shared" si="3"/>
        <v/>
      </c>
      <c r="G113" s="76">
        <f>IF(AND(B113&lt;&gt;"",B113&lt;&gt;"Non trouvé - vérifier",D113&lt;&gt;"",D113&lt;&gt;0),IF(COUNTIF($B$2:B113,B113)=1,1,0),0)</f>
        <v>0</v>
      </c>
    </row>
    <row r="114" spans="1:7" x14ac:dyDescent="0.25">
      <c r="A114" s="76" t="s">
        <v>1126</v>
      </c>
      <c r="B114" s="76" t="str">
        <f>"VANBSFFLA040P25"</f>
        <v>VANBSFFLA040P25</v>
      </c>
      <c r="C114" s="76" t="str">
        <f>IFERROR(INDEX(Catalogue!$B$4:$B$454,MATCH("VANBSFFLA040P25",Catalogue!$A$4:$A$454,0)),"")</f>
        <v>VANNE BS 1/4 FF LAITON DN40 PN25</v>
      </c>
      <c r="D114" s="76">
        <f>RIA!$F$16</f>
        <v>0</v>
      </c>
      <c r="E114" s="76" t="s">
        <v>1034</v>
      </c>
      <c r="F114" s="76" t="str">
        <f t="shared" si="3"/>
        <v/>
      </c>
      <c r="G114" s="76">
        <f>IF(AND(B114&lt;&gt;"",B114&lt;&gt;"Non trouvé - vérifier",D114&lt;&gt;"",D114&lt;&gt;0),IF(COUNTIF($B$2:B114,B114)=1,1,0),0)</f>
        <v>0</v>
      </c>
    </row>
    <row r="115" spans="1:7" x14ac:dyDescent="0.25">
      <c r="A115" s="76" t="s">
        <v>1126</v>
      </c>
      <c r="B115" s="76" t="str">
        <f>"RIATPDN32-30M"</f>
        <v>RIATPDN32-30M</v>
      </c>
      <c r="C115" s="76" t="str">
        <f>IFERROR(INDEX(Catalogue!$B$4:$B$454,MATCH("RIATPDN32-30M",Catalogue!$A$4:$A$454,0)),"")</f>
        <v>RIA TOURNANT PIVOTANT DN33-30M</v>
      </c>
      <c r="D115" s="76">
        <f>RIA!$F$16</f>
        <v>0</v>
      </c>
      <c r="E115" s="76" t="s">
        <v>1034</v>
      </c>
      <c r="F115" s="76" t="str">
        <f t="shared" si="3"/>
        <v/>
      </c>
      <c r="G115" s="76">
        <f>IF(AND(B115&lt;&gt;"",B115&lt;&gt;"Non trouvé - vérifier",D115&lt;&gt;"",D115&lt;&gt;0),IF(COUNTIF($B$2:B115,B115)=1,1,0),0)</f>
        <v>0</v>
      </c>
    </row>
    <row r="116" spans="1:7" x14ac:dyDescent="0.25">
      <c r="A116" s="76" t="s">
        <v>1127</v>
      </c>
      <c r="B116" s="76" t="str">
        <f>IFERROR(INDEX(Catalogue!$A$4:$A$454,SUMPRODUCT(((Catalogue!$C$4:$C$454="CPC")*(Catalogue!$D$4:$D$454="GALVA")*(Catalogue!$E$4:$E$454=(RIA!$F$5+0))*(Catalogue!$F$4:$F$454=(40+0))*(Catalogue!$G$4:$G$454="RAINURE"))*ROW(Catalogue!$C$4:$C$454))-3),"Non trouvé - vérifier")</f>
        <v>Non trouvé - vérifier</v>
      </c>
      <c r="C116" s="76" t="str">
        <f>IFERROR(INDEX(Catalogue!$B$4:$B$454,SUMPRODUCT(((Catalogue!$C$4:$C$454="CPC")*(Catalogue!$D$4:$D$454="GALVA")*(Catalogue!$E$4:$E$454=(RIA!$F$5+0))*(Catalogue!$F$4:$F$454=(40+0))*(Catalogue!$G$4:$G$454="RAINURE"))*ROW(Catalogue!$C$4:$C$454))-3),"")</f>
        <v/>
      </c>
      <c r="D116" s="76">
        <f>RIA!$F$17</f>
        <v>0</v>
      </c>
      <c r="E116" s="76" t="s">
        <v>1034</v>
      </c>
      <c r="F116" s="76" t="str">
        <f t="shared" si="3"/>
        <v/>
      </c>
      <c r="G116" s="76">
        <f>IF(AND(B116&lt;&gt;"",B116&lt;&gt;"Non trouvé - vérifier",D116&lt;&gt;"",D116&lt;&gt;0),IF(COUNTIF($B$2:B116,B116)=1,1,0),0)</f>
        <v>0</v>
      </c>
    </row>
    <row r="117" spans="1:7" x14ac:dyDescent="0.25">
      <c r="A117" s="76" t="s">
        <v>1127</v>
      </c>
      <c r="B117" s="76" t="str">
        <f>IFERROR(INDEX(Catalogue!$A$4:$A$454,SUMPRODUCT(((Catalogue!$C$4:$C$454="TUBE")*(Catalogue!$D$4:$D$454="GALVA")*(Catalogue!$E$4:$E$454=(40+0))*(Catalogue!$G$4:$G$454="SL"))*ROW(Catalogue!$C$4:$C$454))-3),"Non trouvé - vérifier")</f>
        <v>TUBESLGA040</v>
      </c>
      <c r="C117" s="76" t="str">
        <f>IFERROR(INDEX(Catalogue!$B$4:$B$454,SUMPRODUCT(((Catalogue!$C$4:$C$454="TUBE")*(Catalogue!$D$4:$D$454="GALVA")*(Catalogue!$E$4:$E$454=(40+0))*(Catalogue!$G$4:$G$454="SL"))*ROW(Catalogue!$C$4:$C$454))-3),"")</f>
        <v>TUBE GALVA EN 10255 SL DN40X2.9</v>
      </c>
      <c r="D117" s="76">
        <f>CEILING((6*RIA!$F$17),6)</f>
        <v>0</v>
      </c>
      <c r="E117" s="76" t="s">
        <v>1033</v>
      </c>
      <c r="F117" s="76" t="str">
        <f t="shared" si="3"/>
        <v/>
      </c>
      <c r="G117" s="76">
        <f>IF(AND(B117&lt;&gt;"",B117&lt;&gt;"Non trouvé - vérifier",D117&lt;&gt;"",D117&lt;&gt;0),IF(COUNTIF($B$2:B117,B117)=1,1,0),0)</f>
        <v>0</v>
      </c>
    </row>
    <row r="118" spans="1:7" x14ac:dyDescent="0.25">
      <c r="A118" s="76" t="s">
        <v>1127</v>
      </c>
      <c r="B118" s="76" t="str">
        <f>IFERROR(INDEX(Catalogue!$A$4:$A$454,MATCH("TES EGAL A VISSER FF GALVA DN40",Catalogue!$B$4:$B$454,0)),"")</f>
        <v>TESEGFFGA040</v>
      </c>
      <c r="C118" s="76" t="str">
        <f>"TES EGAL A VISSER FF GALVA DN40"</f>
        <v>TES EGAL A VISSER FF GALVA DN40</v>
      </c>
      <c r="D118" s="76">
        <f>RIA!$F$17</f>
        <v>0</v>
      </c>
      <c r="E118" s="76" t="s">
        <v>1034</v>
      </c>
      <c r="F118" s="76" t="str">
        <f t="shared" si="3"/>
        <v/>
      </c>
      <c r="G118" s="76">
        <f>IF(AND(B118&lt;&gt;"",B118&lt;&gt;"Non trouvé - vérifier",D118&lt;&gt;"",D118&lt;&gt;0),IF(COUNTIF($B$2:B118,B118)=1,1,0),0)</f>
        <v>0</v>
      </c>
    </row>
    <row r="119" spans="1:7" x14ac:dyDescent="0.25">
      <c r="A119" s="76" t="s">
        <v>1127</v>
      </c>
      <c r="B119" s="76" t="str">
        <f>IFERROR(INDEX(Catalogue!$A$4:$A$454,MATCH("BOUCHON VISSER M GALVA DN40",Catalogue!$B$4:$B$454,0)),"")</f>
        <v>BOUCHVIMGA040</v>
      </c>
      <c r="C119" s="76" t="str">
        <f>"BOUCHON VISSER M GALVA DN40"</f>
        <v>BOUCHON VISSER M GALVA DN40</v>
      </c>
      <c r="D119" s="76">
        <f>RIA!$F$17</f>
        <v>0</v>
      </c>
      <c r="E119" s="76" t="s">
        <v>1034</v>
      </c>
      <c r="F119" s="76" t="str">
        <f t="shared" si="3"/>
        <v/>
      </c>
      <c r="G119" s="76">
        <f>IF(AND(B119&lt;&gt;"",B119&lt;&gt;"Non trouvé - vérifier",D119&lt;&gt;"",D119&lt;&gt;0),IF(COUNTIF($B$2:B119,B119)=1,1,0),0)</f>
        <v>0</v>
      </c>
    </row>
    <row r="120" spans="1:7" x14ac:dyDescent="0.25">
      <c r="A120" s="76" t="s">
        <v>1127</v>
      </c>
      <c r="B120" s="76" t="str">
        <f>IFERROR(INDEX(Catalogue!$A$4:$A$454,MATCH("VANNE BS 1/4 FF LAITON DN40 PN25",Catalogue!$B$4:$B$454,0)),"")</f>
        <v>VANBSFFLA040P25</v>
      </c>
      <c r="C120" s="76" t="str">
        <f>"VANNE BS 1/4 FF LAITON DN40 PN25"</f>
        <v>VANNE BS 1/4 FF LAITON DN40 PN25</v>
      </c>
      <c r="D120" s="76">
        <f>RIA!$F$17</f>
        <v>0</v>
      </c>
      <c r="E120" s="76" t="s">
        <v>1034</v>
      </c>
      <c r="F120" s="76" t="str">
        <f t="shared" si="3"/>
        <v/>
      </c>
      <c r="G120" s="76">
        <f>IF(AND(B120&lt;&gt;"",B120&lt;&gt;"Non trouvé - vérifier",D120&lt;&gt;"",D120&lt;&gt;0),IF(COUNTIF($B$2:B120,B120)=1,1,0),0)</f>
        <v>0</v>
      </c>
    </row>
    <row r="121" spans="1:7" x14ac:dyDescent="0.25">
      <c r="A121" s="76" t="s">
        <v>1127</v>
      </c>
      <c r="B121" s="76" t="str">
        <f>IFERROR(INDEX(Catalogue!$A$4:$A$454,SUMPRODUCT(((Catalogue!$C$4:$C$454="TUBE")*(Catalogue!$G$4:$G$454&lt;&gt;"TSS")*(Catalogue!$D$4:$D$454="GALVA")*(Catalogue!$E$4:$E$454=(25+0)))*ROW(Catalogue!$C$4:$C$454))-3),"Non trouvé - vérifier")</f>
        <v>TUBETSSGA025</v>
      </c>
      <c r="C121" s="76" t="str">
        <f>IFERROR(INDEX(Catalogue!$B$4:$B$454,SUMPRODUCT(((Catalogue!$C$4:$C$454="TUBE")*(Catalogue!$G$4:$G$454&lt;&gt;"TSS")*(Catalogue!$D$4:$D$454="GALVA")*(Catalogue!$E$4:$E$454=(25+0)))*ROW(Catalogue!$C$4:$C$454))-3),"")</f>
        <v>TUBE GALVA EN 10255 TSS DN 25X3.2</v>
      </c>
      <c r="D121" s="76">
        <f>CEILING((1*RIA!$F$17),6)</f>
        <v>0</v>
      </c>
      <c r="E121" s="76" t="s">
        <v>1033</v>
      </c>
      <c r="F121" s="76" t="str">
        <f t="shared" si="3"/>
        <v/>
      </c>
      <c r="G121" s="76">
        <f>IF(AND(B121&lt;&gt;"",B121&lt;&gt;"Non trouvé - vérifier",D121&lt;&gt;"",D121&lt;&gt;0),IF(COUNTIF($B$2:B121,B121)=1,1,0),0)</f>
        <v>0</v>
      </c>
    </row>
    <row r="122" spans="1:7" x14ac:dyDescent="0.25">
      <c r="A122" s="76" t="s">
        <v>1127</v>
      </c>
      <c r="B122" s="76" t="str">
        <f>"RACCOUNFFGA025"</f>
        <v>RACCOUNFFGA025</v>
      </c>
      <c r="C122" s="76" t="str">
        <f>IFERROR(INDEX(Catalogue!$B$4:$B$454,MATCH("RACCOUNFFGA025",Catalogue!$A$4:$A$454,0)),"")</f>
        <v>RACCORD UNION VISSER FF GALVA DN25</v>
      </c>
      <c r="D122" s="76">
        <f>RIA!$F$17</f>
        <v>0</v>
      </c>
      <c r="E122" s="76" t="s">
        <v>1034</v>
      </c>
      <c r="F122" s="76" t="str">
        <f t="shared" si="3"/>
        <v/>
      </c>
      <c r="G122" s="76">
        <f>IF(AND(B122&lt;&gt;"",B122&lt;&gt;"Non trouvé - vérifier",D122&lt;&gt;"",D122&lt;&gt;0),IF(COUNTIF($B$2:B122,B122)=1,1,0),0)</f>
        <v>0</v>
      </c>
    </row>
    <row r="123" spans="1:7" x14ac:dyDescent="0.25">
      <c r="A123" s="76" t="s">
        <v>1127</v>
      </c>
      <c r="B123" s="76" t="str">
        <f>IFERROR(INDEX(Catalogue!$A$4:$A$454,SUMPRODUCT(((Catalogue!$C$4:$C$454="REDUC")*(Catalogue!$D$4:$D$454="GALVA")*(Catalogue!$E$4:$E$454=(40+0))*(Catalogue!$F$4:$F$454=(25+0))*(Catalogue!$G$4:$G$454="MF"))*ROW(Catalogue!$C$4:$C$454))-3),"Non trouvé - vérifier")</f>
        <v>REDUCMFGA4025</v>
      </c>
      <c r="C123" s="76" t="str">
        <f>IFERROR(INDEX(Catalogue!$B$4:$B$454,SUMPRODUCT(((Catalogue!$C$4:$C$454="REDUC")*(Catalogue!$D$4:$D$454="GALVA")*(Catalogue!$E$4:$E$454=(40+0))*(Catalogue!$F$4:$F$454=(25+0))*(Catalogue!$G$4:$G$454="MF"))*ROW(Catalogue!$C$4:$C$454))-3),"")</f>
        <v>REDUC VISSER MF GALVA DN40X25 1''1/2X1''</v>
      </c>
      <c r="D123" s="76">
        <f>RIA!$F$17</f>
        <v>0</v>
      </c>
      <c r="E123" s="76" t="s">
        <v>1034</v>
      </c>
      <c r="F123" s="76" t="str">
        <f t="shared" si="3"/>
        <v/>
      </c>
      <c r="G123" s="76">
        <f>IF(AND(B123&lt;&gt;"",B123&lt;&gt;"Non trouvé - vérifier",D123&lt;&gt;"",D123&lt;&gt;0),IF(COUNTIF($B$2:B123,B123)=1,1,0),0)</f>
        <v>0</v>
      </c>
    </row>
    <row r="124" spans="1:7" x14ac:dyDescent="0.25">
      <c r="A124" s="76" t="s">
        <v>1127</v>
      </c>
      <c r="B124" s="76" t="str">
        <f>"RIATPDN25-30M"</f>
        <v>RIATPDN25-30M</v>
      </c>
      <c r="C124" s="76" t="str">
        <f>IFERROR(INDEX(Catalogue!$B$4:$B$454,MATCH("RIATPDN25-30M",Catalogue!$A$4:$A$454,0)),"")</f>
        <v>RIA TOURNANT PIVOTANT DN25-30M</v>
      </c>
      <c r="D124" s="76">
        <f>RIA!$F$17</f>
        <v>0</v>
      </c>
      <c r="E124" s="76" t="s">
        <v>1034</v>
      </c>
      <c r="F124" s="76" t="str">
        <f t="shared" si="3"/>
        <v/>
      </c>
      <c r="G124" s="76">
        <f>IF(AND(B124&lt;&gt;"",B124&lt;&gt;"Non trouvé - vérifier",D124&lt;&gt;"",D124&lt;&gt;0),IF(COUNTIF($B$2:B124,B124)=1,1,0),0)</f>
        <v>0</v>
      </c>
    </row>
    <row r="125" spans="1:7" x14ac:dyDescent="0.25">
      <c r="A125" s="76" t="s">
        <v>1128</v>
      </c>
      <c r="B125" s="76" t="str">
        <f>IFERROR(INDEX(Catalogue!$A$4:$A$454,SUMPRODUCT(((Catalogue!$C$4:$C$454="CPC")*(Catalogue!$D$4:$D$454="GALVA")*(Catalogue!$E$4:$E$454=(RIA!$H$5+0))*(Catalogue!$F$4:$F$454=(40+0))*(Catalogue!$G$4:$G$454="RAINURE"))*ROW(Catalogue!$C$4:$C$454))-3),"Non trouvé - vérifier")</f>
        <v>Non trouvé - vérifier</v>
      </c>
      <c r="C125" s="76" t="str">
        <f>IFERROR(INDEX(Catalogue!$B$4:$B$454,SUMPRODUCT(((Catalogue!$C$4:$C$454="CPC")*(Catalogue!$D$4:$D$454="GALVA")*(Catalogue!$E$4:$E$454=(RIA!$H$5+0))*(Catalogue!$F$4:$F$454=(40+0))*(Catalogue!$G$4:$G$454="RAINURE"))*ROW(Catalogue!$C$4:$C$454))-3),"")</f>
        <v/>
      </c>
      <c r="D125" s="76">
        <f>RIA!$H$16</f>
        <v>0</v>
      </c>
      <c r="E125" s="76" t="s">
        <v>1034</v>
      </c>
      <c r="F125" s="76" t="str">
        <f t="shared" si="3"/>
        <v/>
      </c>
      <c r="G125" s="76">
        <f>IF(AND(B125&lt;&gt;"",B125&lt;&gt;"Non trouvé - vérifier",D125&lt;&gt;"",D125&lt;&gt;0),IF(COUNTIF($B$2:B125,B125)=1,1,0),0)</f>
        <v>0</v>
      </c>
    </row>
    <row r="126" spans="1:7" x14ac:dyDescent="0.25">
      <c r="A126" s="76" t="s">
        <v>1128</v>
      </c>
      <c r="B126" s="76" t="str">
        <f>IFERROR(INDEX(Catalogue!$A$4:$A$454,SUMPRODUCT(((Catalogue!$C$4:$C$454="TUBE")*(Catalogue!$G$4:$G$454&lt;&gt;"TSS")*(Catalogue!$D$4:$D$454="GALVA")*(Catalogue!$E$4:$E$454=(40+0))*(Catalogue!$G$4:$G$454="SL"))*ROW(Catalogue!$C$4:$C$454))-3),"Non trouvé - vérifier")</f>
        <v>TUBESLGA040</v>
      </c>
      <c r="C126" s="76" t="str">
        <f>IFERROR(INDEX(Catalogue!$B$4:$B$454,SUMPRODUCT(((Catalogue!$C$4:$C$454="TUBE")*(Catalogue!$G$4:$G$454&lt;&gt;"TSS")*(Catalogue!$D$4:$D$454="GALVA")*(Catalogue!$E$4:$E$454=(40+0))*(Catalogue!$G$4:$G$454="SL"))*ROW(Catalogue!$C$4:$C$454))-3),"")</f>
        <v>TUBE GALVA EN 10255 SL DN40X2.9</v>
      </c>
      <c r="D126" s="76">
        <f>CEILING((6*RIA!$H$16),6)</f>
        <v>0</v>
      </c>
      <c r="E126" s="76" t="s">
        <v>1033</v>
      </c>
      <c r="F126" s="76" t="str">
        <f t="shared" si="3"/>
        <v/>
      </c>
      <c r="G126" s="76">
        <f>IF(AND(B126&lt;&gt;"",B126&lt;&gt;"Non trouvé - vérifier",D126&lt;&gt;"",D126&lt;&gt;0),IF(COUNTIF($B$2:B126,B126)=1,1,0),0)</f>
        <v>0</v>
      </c>
    </row>
    <row r="127" spans="1:7" x14ac:dyDescent="0.25">
      <c r="A127" s="76" t="s">
        <v>1128</v>
      </c>
      <c r="B127" s="76" t="str">
        <f>"TESEGFFGA040"</f>
        <v>TESEGFFGA040</v>
      </c>
      <c r="C127" s="76" t="str">
        <f>IFERROR(INDEX(Catalogue!$B$4:$B$454,MATCH("TESEGFFGA040",Catalogue!$A$4:$A$454,0)),"")</f>
        <v>TES EGAL A VISSER FF GALVA DN40</v>
      </c>
      <c r="D127" s="76">
        <f>RIA!$H$16</f>
        <v>0</v>
      </c>
      <c r="E127" s="76" t="s">
        <v>1034</v>
      </c>
      <c r="F127" s="76" t="str">
        <f t="shared" si="3"/>
        <v/>
      </c>
      <c r="G127" s="76">
        <f>IF(AND(B127&lt;&gt;"",B127&lt;&gt;"Non trouvé - vérifier",D127&lt;&gt;"",D127&lt;&gt;0),IF(COUNTIF($B$2:B127,B127)=1,1,0),0)</f>
        <v>0</v>
      </c>
    </row>
    <row r="128" spans="1:7" x14ac:dyDescent="0.25">
      <c r="A128" s="76" t="s">
        <v>1128</v>
      </c>
      <c r="B128" s="76" t="str">
        <f>"BOUCHVIMGA040"</f>
        <v>BOUCHVIMGA040</v>
      </c>
      <c r="C128" s="76" t="str">
        <f>IFERROR(INDEX(Catalogue!$B$4:$B$454,MATCH("BOUCHVIMGA040",Catalogue!$A$4:$A$454,0)),"")</f>
        <v>BOUCHON VISSER M GALVA DN40</v>
      </c>
      <c r="D128" s="76">
        <f>RIA!$H$16</f>
        <v>0</v>
      </c>
      <c r="E128" s="76" t="s">
        <v>1034</v>
      </c>
      <c r="F128" s="76" t="str">
        <f t="shared" si="3"/>
        <v/>
      </c>
      <c r="G128" s="76">
        <f>IF(AND(B128&lt;&gt;"",B128&lt;&gt;"Non trouvé - vérifier",D128&lt;&gt;"",D128&lt;&gt;0),IF(COUNTIF($B$2:B128,B128)=1,1,0),0)</f>
        <v>0</v>
      </c>
    </row>
    <row r="129" spans="1:7" x14ac:dyDescent="0.25">
      <c r="A129" s="76" t="s">
        <v>1128</v>
      </c>
      <c r="B129" s="76" t="str">
        <f>"RACCORAGA040"</f>
        <v>RACCORAGA040</v>
      </c>
      <c r="C129" s="76" t="str">
        <f>IFERROR(INDEX(Catalogue!$B$4:$B$454,MATCH("RACCORAGA040",Catalogue!$A$4:$A$454,0)),"")</f>
        <v>RACCORD RAINURE GALVA DN40</v>
      </c>
      <c r="D129" s="76">
        <f>RIA!$H$16</f>
        <v>0</v>
      </c>
      <c r="E129" s="76" t="s">
        <v>1034</v>
      </c>
      <c r="F129" s="76" t="str">
        <f t="shared" si="3"/>
        <v/>
      </c>
      <c r="G129" s="76">
        <f>IF(AND(B129&lt;&gt;"",B129&lt;&gt;"Non trouvé - vérifier",D129&lt;&gt;"",D129&lt;&gt;0),IF(COUNTIF($B$2:B129,B129)=1,1,0),0)</f>
        <v>0</v>
      </c>
    </row>
    <row r="130" spans="1:7" x14ac:dyDescent="0.25">
      <c r="A130" s="76" t="s">
        <v>1128</v>
      </c>
      <c r="B130" s="76" t="str">
        <f>"VANBSFFLA040P25"</f>
        <v>VANBSFFLA040P25</v>
      </c>
      <c r="C130" s="76" t="str">
        <f>IFERROR(INDEX(Catalogue!$B$4:$B$454,MATCH("VANBSFFLA040P25",Catalogue!$A$4:$A$454,0)),"")</f>
        <v>VANNE BS 1/4 FF LAITON DN40 PN25</v>
      </c>
      <c r="D130" s="76">
        <f>RIA!$H$16</f>
        <v>0</v>
      </c>
      <c r="E130" s="76" t="s">
        <v>1034</v>
      </c>
      <c r="F130" s="76" t="str">
        <f t="shared" ref="F130:F161" si="4">IF(AND(B130&lt;&gt;"",B130&lt;&gt;"Non trouvé - vérifier",D130&lt;&gt;"",D130&lt;&gt;0),SUMIF($B$2:$B$183,B130,$D$2:$D$183),"")</f>
        <v/>
      </c>
      <c r="G130" s="76">
        <f>IF(AND(B130&lt;&gt;"",B130&lt;&gt;"Non trouvé - vérifier",D130&lt;&gt;"",D130&lt;&gt;0),IF(COUNTIF($B$2:B130,B130)=1,1,0),0)</f>
        <v>0</v>
      </c>
    </row>
    <row r="131" spans="1:7" x14ac:dyDescent="0.25">
      <c r="A131" s="76" t="s">
        <v>1128</v>
      </c>
      <c r="B131" s="76" t="str">
        <f>"RIATPDN32-30M"</f>
        <v>RIATPDN32-30M</v>
      </c>
      <c r="C131" s="76" t="str">
        <f>IFERROR(INDEX(Catalogue!$B$4:$B$454,MATCH("RIATPDN32-30M",Catalogue!$A$4:$A$454,0)),"")</f>
        <v>RIA TOURNANT PIVOTANT DN33-30M</v>
      </c>
      <c r="D131" s="76">
        <f>RIA!$H$16</f>
        <v>0</v>
      </c>
      <c r="E131" s="76" t="s">
        <v>1034</v>
      </c>
      <c r="F131" s="76" t="str">
        <f t="shared" si="4"/>
        <v/>
      </c>
      <c r="G131" s="76">
        <f>IF(AND(B131&lt;&gt;"",B131&lt;&gt;"Non trouvé - vérifier",D131&lt;&gt;"",D131&lt;&gt;0),IF(COUNTIF($B$2:B131,B131)=1,1,0),0)</f>
        <v>0</v>
      </c>
    </row>
    <row r="132" spans="1:7" x14ac:dyDescent="0.25">
      <c r="A132" s="76" t="s">
        <v>1129</v>
      </c>
      <c r="B132" s="76" t="str">
        <f>IFERROR(INDEX(Catalogue!$A$4:$A$454,SUMPRODUCT(((Catalogue!$C$4:$C$454="CPC")*(Catalogue!$D$4:$D$454="GALVA")*(Catalogue!$E$4:$E$454=(RIA!$H$5+0))*(Catalogue!$F$4:$F$454=(40+0))*(Catalogue!$G$4:$G$454="RAINURE"))*ROW(Catalogue!$C$4:$C$454))-3),"Non trouvé - vérifier")</f>
        <v>Non trouvé - vérifier</v>
      </c>
      <c r="C132" s="76" t="str">
        <f>IFERROR(INDEX(Catalogue!$B$4:$B$454,SUMPRODUCT(((Catalogue!$C$4:$C$454="CPC")*(Catalogue!$D$4:$D$454="GALVA")*(Catalogue!$E$4:$E$454=(RIA!$H$5+0))*(Catalogue!$F$4:$F$454=(40+0))*(Catalogue!$G$4:$G$454="RAINURE"))*ROW(Catalogue!$C$4:$C$454))-3),"")</f>
        <v/>
      </c>
      <c r="D132" s="76">
        <f>RIA!$H$17</f>
        <v>0</v>
      </c>
      <c r="E132" s="76" t="s">
        <v>1034</v>
      </c>
      <c r="F132" s="76" t="str">
        <f t="shared" si="4"/>
        <v/>
      </c>
      <c r="G132" s="76">
        <f>IF(AND(B132&lt;&gt;"",B132&lt;&gt;"Non trouvé - vérifier",D132&lt;&gt;"",D132&lt;&gt;0),IF(COUNTIF($B$2:B132,B132)=1,1,0),0)</f>
        <v>0</v>
      </c>
    </row>
    <row r="133" spans="1:7" x14ac:dyDescent="0.25">
      <c r="A133" s="76" t="s">
        <v>1129</v>
      </c>
      <c r="B133" s="76" t="str">
        <f>IFERROR(INDEX(Catalogue!$A$4:$A$454,SUMPRODUCT(((Catalogue!$C$4:$C$454="TUBE")*(Catalogue!$D$4:$D$454="GALVA")*(Catalogue!$E$4:$E$454=(40+0))*(Catalogue!$G$4:$G$454="SL"))*ROW(Catalogue!$C$4:$C$454))-3),"Non trouvé - vérifier")</f>
        <v>TUBESLGA040</v>
      </c>
      <c r="C133" s="76" t="str">
        <f>IFERROR(INDEX(Catalogue!$B$4:$B$454,SUMPRODUCT(((Catalogue!$C$4:$C$454="TUBE")*(Catalogue!$D$4:$D$454="GALVA")*(Catalogue!$E$4:$E$454=(40+0))*(Catalogue!$G$4:$G$454="SL"))*ROW(Catalogue!$C$4:$C$454))-3),"")</f>
        <v>TUBE GALVA EN 10255 SL DN40X2.9</v>
      </c>
      <c r="D133" s="76">
        <f>CEILING((6*RIA!$H$17),6)</f>
        <v>0</v>
      </c>
      <c r="E133" s="76" t="s">
        <v>1033</v>
      </c>
      <c r="F133" s="76" t="str">
        <f t="shared" si="4"/>
        <v/>
      </c>
      <c r="G133" s="76">
        <f>IF(AND(B133&lt;&gt;"",B133&lt;&gt;"Non trouvé - vérifier",D133&lt;&gt;"",D133&lt;&gt;0),IF(COUNTIF($B$2:B133,B133)=1,1,0),0)</f>
        <v>0</v>
      </c>
    </row>
    <row r="134" spans="1:7" x14ac:dyDescent="0.25">
      <c r="A134" s="76" t="s">
        <v>1129</v>
      </c>
      <c r="B134" s="76" t="str">
        <f>IFERROR(INDEX(Catalogue!$A$4:$A$454,MATCH("TES EGAL A VISSER FF GALVA DN40",Catalogue!$B$4:$B$454,0)),"")</f>
        <v>TESEGFFGA040</v>
      </c>
      <c r="C134" s="76" t="str">
        <f>"TES EGAL A VISSER FF GALVA DN40"</f>
        <v>TES EGAL A VISSER FF GALVA DN40</v>
      </c>
      <c r="D134" s="76">
        <f>RIA!$H$17</f>
        <v>0</v>
      </c>
      <c r="E134" s="76" t="s">
        <v>1034</v>
      </c>
      <c r="F134" s="76" t="str">
        <f t="shared" si="4"/>
        <v/>
      </c>
      <c r="G134" s="76">
        <f>IF(AND(B134&lt;&gt;"",B134&lt;&gt;"Non trouvé - vérifier",D134&lt;&gt;"",D134&lt;&gt;0),IF(COUNTIF($B$2:B134,B134)=1,1,0),0)</f>
        <v>0</v>
      </c>
    </row>
    <row r="135" spans="1:7" x14ac:dyDescent="0.25">
      <c r="A135" s="76" t="s">
        <v>1129</v>
      </c>
      <c r="B135" s="76" t="str">
        <f>IFERROR(INDEX(Catalogue!$A$4:$A$454,MATCH("BOUCHON VISSER M GALVA DN40",Catalogue!$B$4:$B$454,0)),"")</f>
        <v>BOUCHVIMGA040</v>
      </c>
      <c r="C135" s="76" t="str">
        <f>"BOUCHON VISSER M GALVA DN40"</f>
        <v>BOUCHON VISSER M GALVA DN40</v>
      </c>
      <c r="D135" s="76">
        <f>RIA!$H$17</f>
        <v>0</v>
      </c>
      <c r="E135" s="76" t="s">
        <v>1034</v>
      </c>
      <c r="F135" s="76" t="str">
        <f t="shared" si="4"/>
        <v/>
      </c>
      <c r="G135" s="76">
        <f>IF(AND(B135&lt;&gt;"",B135&lt;&gt;"Non trouvé - vérifier",D135&lt;&gt;"",D135&lt;&gt;0),IF(COUNTIF($B$2:B135,B135)=1,1,0),0)</f>
        <v>0</v>
      </c>
    </row>
    <row r="136" spans="1:7" x14ac:dyDescent="0.25">
      <c r="A136" s="76" t="s">
        <v>1129</v>
      </c>
      <c r="B136" s="76" t="str">
        <f>IFERROR(INDEX(Catalogue!$A$4:$A$454,MATCH("VANNE BS 1/4 FF LAITON DN40 PN25",Catalogue!$B$4:$B$454,0)),"")</f>
        <v>VANBSFFLA040P25</v>
      </c>
      <c r="C136" s="76" t="str">
        <f>"VANNE BS 1/4 FF LAITON DN40 PN25"</f>
        <v>VANNE BS 1/4 FF LAITON DN40 PN25</v>
      </c>
      <c r="D136" s="76">
        <f>RIA!$H$17</f>
        <v>0</v>
      </c>
      <c r="E136" s="76" t="s">
        <v>1034</v>
      </c>
      <c r="F136" s="76" t="str">
        <f t="shared" si="4"/>
        <v/>
      </c>
      <c r="G136" s="76">
        <f>IF(AND(B136&lt;&gt;"",B136&lt;&gt;"Non trouvé - vérifier",D136&lt;&gt;"",D136&lt;&gt;0),IF(COUNTIF($B$2:B136,B136)=1,1,0),0)</f>
        <v>0</v>
      </c>
    </row>
    <row r="137" spans="1:7" x14ac:dyDescent="0.25">
      <c r="A137" s="76" t="s">
        <v>1129</v>
      </c>
      <c r="B137" s="76" t="str">
        <f>IFERROR(INDEX(Catalogue!$A$4:$A$454,SUMPRODUCT(((Catalogue!$C$4:$C$454="TUBE")*(Catalogue!$G$4:$G$454&lt;&gt;"TSS")*(Catalogue!$D$4:$D$454="GALVA")*(Catalogue!$E$4:$E$454=(25+0)))*ROW(Catalogue!$C$4:$C$454))-3),"Non trouvé - vérifier")</f>
        <v>TUBETSSGA025</v>
      </c>
      <c r="C137" s="76" t="str">
        <f>IFERROR(INDEX(Catalogue!$B$4:$B$454,SUMPRODUCT(((Catalogue!$C$4:$C$454="TUBE")*(Catalogue!$G$4:$G$454&lt;&gt;"TSS")*(Catalogue!$D$4:$D$454="GALVA")*(Catalogue!$E$4:$E$454=(25+0)))*ROW(Catalogue!$C$4:$C$454))-3),"")</f>
        <v>TUBE GALVA EN 10255 TSS DN 25X3.2</v>
      </c>
      <c r="D137" s="76">
        <f>CEILING((1*RIA!$H$17),6)</f>
        <v>0</v>
      </c>
      <c r="E137" s="76" t="s">
        <v>1033</v>
      </c>
      <c r="F137" s="76" t="str">
        <f t="shared" si="4"/>
        <v/>
      </c>
      <c r="G137" s="76">
        <f>IF(AND(B137&lt;&gt;"",B137&lt;&gt;"Non trouvé - vérifier",D137&lt;&gt;"",D137&lt;&gt;0),IF(COUNTIF($B$2:B137,B137)=1,1,0),0)</f>
        <v>0</v>
      </c>
    </row>
    <row r="138" spans="1:7" x14ac:dyDescent="0.25">
      <c r="A138" s="76" t="s">
        <v>1129</v>
      </c>
      <c r="B138" s="76" t="str">
        <f>"RACCOUNFFGA025"</f>
        <v>RACCOUNFFGA025</v>
      </c>
      <c r="C138" s="76" t="str">
        <f>IFERROR(INDEX(Catalogue!$B$4:$B$454,MATCH("RACCOUNFFGA025",Catalogue!$A$4:$A$454,0)),"")</f>
        <v>RACCORD UNION VISSER FF GALVA DN25</v>
      </c>
      <c r="D138" s="76">
        <f>RIA!$H$17</f>
        <v>0</v>
      </c>
      <c r="E138" s="76" t="s">
        <v>1034</v>
      </c>
      <c r="F138" s="76" t="str">
        <f t="shared" si="4"/>
        <v/>
      </c>
      <c r="G138" s="76">
        <f>IF(AND(B138&lt;&gt;"",B138&lt;&gt;"Non trouvé - vérifier",D138&lt;&gt;"",D138&lt;&gt;0),IF(COUNTIF($B$2:B138,B138)=1,1,0),0)</f>
        <v>0</v>
      </c>
    </row>
    <row r="139" spans="1:7" x14ac:dyDescent="0.25">
      <c r="A139" s="76" t="s">
        <v>1129</v>
      </c>
      <c r="B139" s="76" t="str">
        <f>IFERROR(INDEX(Catalogue!$A$4:$A$454,SUMPRODUCT(((Catalogue!$C$4:$C$454="REDUC")*(Catalogue!$D$4:$D$454="GALVA")*(Catalogue!$E$4:$E$454=(40+0))*(Catalogue!$F$4:$F$454=(25+0))*(Catalogue!$G$4:$G$454="MF"))*ROW(Catalogue!$C$4:$C$454))-3),"Non trouvé - vérifier")</f>
        <v>REDUCMFGA4025</v>
      </c>
      <c r="C139" s="76" t="str">
        <f>IFERROR(INDEX(Catalogue!$B$4:$B$454,SUMPRODUCT(((Catalogue!$C$4:$C$454="REDUC")*(Catalogue!$D$4:$D$454="GALVA")*(Catalogue!$E$4:$E$454=(40+0))*(Catalogue!$F$4:$F$454=(25+0))*(Catalogue!$G$4:$G$454="MF"))*ROW(Catalogue!$C$4:$C$454))-3),"")</f>
        <v>REDUC VISSER MF GALVA DN40X25 1''1/2X1''</v>
      </c>
      <c r="D139" s="76">
        <f>RIA!$H$17</f>
        <v>0</v>
      </c>
      <c r="E139" s="76" t="s">
        <v>1034</v>
      </c>
      <c r="F139" s="76" t="str">
        <f t="shared" si="4"/>
        <v/>
      </c>
      <c r="G139" s="76">
        <f>IF(AND(B139&lt;&gt;"",B139&lt;&gt;"Non trouvé - vérifier",D139&lt;&gt;"",D139&lt;&gt;0),IF(COUNTIF($B$2:B139,B139)=1,1,0),0)</f>
        <v>0</v>
      </c>
    </row>
    <row r="140" spans="1:7" x14ac:dyDescent="0.25">
      <c r="A140" s="76" t="s">
        <v>1129</v>
      </c>
      <c r="B140" s="76" t="str">
        <f>"RIATPDN25-30M"</f>
        <v>RIATPDN25-30M</v>
      </c>
      <c r="C140" s="76" t="str">
        <f>IFERROR(INDEX(Catalogue!$B$4:$B$454,MATCH("RIATPDN25-30M",Catalogue!$A$4:$A$454,0)),"")</f>
        <v>RIA TOURNANT PIVOTANT DN25-30M</v>
      </c>
      <c r="D140" s="76">
        <f>RIA!$H$17</f>
        <v>0</v>
      </c>
      <c r="E140" s="76" t="s">
        <v>1034</v>
      </c>
      <c r="F140" s="76" t="str">
        <f t="shared" si="4"/>
        <v/>
      </c>
      <c r="G140" s="76">
        <f>IF(AND(B140&lt;&gt;"",B140&lt;&gt;"Non trouvé - vérifier",D140&lt;&gt;"",D140&lt;&gt;0),IF(COUNTIF($B$2:B140,B140)=1,1,0),0)</f>
        <v>0</v>
      </c>
    </row>
    <row r="141" spans="1:7" x14ac:dyDescent="0.25">
      <c r="A141" s="76" t="s">
        <v>1130</v>
      </c>
      <c r="B141" s="76" t="str">
        <f>IFERROR(INDEX(Catalogue!$A$4:$A$454,SUMPRODUCT(((Catalogue!$C$4:$C$454="CPC")*(Catalogue!$D$4:$D$454="GALVA")*(Catalogue!$E$4:$E$454=(RIA!$J$5+0))*(Catalogue!$F$4:$F$454=(40+0))*(Catalogue!$G$4:$G$454="RAINURE"))*ROW(Catalogue!$C$4:$C$454))-3),"Non trouvé - vérifier")</f>
        <v>Non trouvé - vérifier</v>
      </c>
      <c r="C141" s="76" t="str">
        <f>IFERROR(INDEX(Catalogue!$B$4:$B$454,SUMPRODUCT(((Catalogue!$C$4:$C$454="CPC")*(Catalogue!$D$4:$D$454="GALVA")*(Catalogue!$E$4:$E$454=(RIA!$J$5+0))*(Catalogue!$F$4:$F$454=(40+0))*(Catalogue!$G$4:$G$454="RAINURE"))*ROW(Catalogue!$C$4:$C$454))-3),"")</f>
        <v/>
      </c>
      <c r="D141" s="76">
        <f>RIA!$J$16</f>
        <v>0</v>
      </c>
      <c r="E141" s="76" t="s">
        <v>1034</v>
      </c>
      <c r="F141" s="76" t="str">
        <f t="shared" si="4"/>
        <v/>
      </c>
      <c r="G141" s="76">
        <f>IF(AND(B141&lt;&gt;"",B141&lt;&gt;"Non trouvé - vérifier",D141&lt;&gt;"",D141&lt;&gt;0),IF(COUNTIF($B$2:B141,B141)=1,1,0),0)</f>
        <v>0</v>
      </c>
    </row>
    <row r="142" spans="1:7" x14ac:dyDescent="0.25">
      <c r="A142" s="76" t="s">
        <v>1130</v>
      </c>
      <c r="B142" s="76" t="str">
        <f>IFERROR(INDEX(Catalogue!$A$4:$A$454,SUMPRODUCT(((Catalogue!$C$4:$C$454="TUBE")*(Catalogue!$G$4:$G$454&lt;&gt;"TSS")*(Catalogue!$D$4:$D$454="GALVA")*(Catalogue!$E$4:$E$454=(40+0))*(Catalogue!$G$4:$G$454="SL"))*ROW(Catalogue!$C$4:$C$454))-3),"Non trouvé - vérifier")</f>
        <v>TUBESLGA040</v>
      </c>
      <c r="C142" s="76" t="str">
        <f>IFERROR(INDEX(Catalogue!$B$4:$B$454,SUMPRODUCT(((Catalogue!$C$4:$C$454="TUBE")*(Catalogue!$G$4:$G$454&lt;&gt;"TSS")*(Catalogue!$D$4:$D$454="GALVA")*(Catalogue!$E$4:$E$454=(40+0))*(Catalogue!$G$4:$G$454="SL"))*ROW(Catalogue!$C$4:$C$454))-3),"")</f>
        <v>TUBE GALVA EN 10255 SL DN40X2.9</v>
      </c>
      <c r="D142" s="76">
        <f>CEILING((6*RIA!$J$16),6)</f>
        <v>0</v>
      </c>
      <c r="E142" s="76" t="s">
        <v>1033</v>
      </c>
      <c r="F142" s="76" t="str">
        <f t="shared" si="4"/>
        <v/>
      </c>
      <c r="G142" s="76">
        <f>IF(AND(B142&lt;&gt;"",B142&lt;&gt;"Non trouvé - vérifier",D142&lt;&gt;"",D142&lt;&gt;0),IF(COUNTIF($B$2:B142,B142)=1,1,0),0)</f>
        <v>0</v>
      </c>
    </row>
    <row r="143" spans="1:7" x14ac:dyDescent="0.25">
      <c r="A143" s="76" t="s">
        <v>1130</v>
      </c>
      <c r="B143" s="76" t="str">
        <f>"TESEGFFGA040"</f>
        <v>TESEGFFGA040</v>
      </c>
      <c r="C143" s="76" t="str">
        <f>IFERROR(INDEX(Catalogue!$B$4:$B$454,MATCH("TESEGFFGA040",Catalogue!$A$4:$A$454,0)),"")</f>
        <v>TES EGAL A VISSER FF GALVA DN40</v>
      </c>
      <c r="D143" s="76">
        <f>RIA!$J$16</f>
        <v>0</v>
      </c>
      <c r="E143" s="76" t="s">
        <v>1034</v>
      </c>
      <c r="F143" s="76" t="str">
        <f t="shared" si="4"/>
        <v/>
      </c>
      <c r="G143" s="76">
        <f>IF(AND(B143&lt;&gt;"",B143&lt;&gt;"Non trouvé - vérifier",D143&lt;&gt;"",D143&lt;&gt;0),IF(COUNTIF($B$2:B143,B143)=1,1,0),0)</f>
        <v>0</v>
      </c>
    </row>
    <row r="144" spans="1:7" x14ac:dyDescent="0.25">
      <c r="A144" s="76" t="s">
        <v>1130</v>
      </c>
      <c r="B144" s="76" t="str">
        <f>"BOUCHVIMGA040"</f>
        <v>BOUCHVIMGA040</v>
      </c>
      <c r="C144" s="76" t="str">
        <f>IFERROR(INDEX(Catalogue!$B$4:$B$454,MATCH("BOUCHVIMGA040",Catalogue!$A$4:$A$454,0)),"")</f>
        <v>BOUCHON VISSER M GALVA DN40</v>
      </c>
      <c r="D144" s="76">
        <f>RIA!$J$16</f>
        <v>0</v>
      </c>
      <c r="E144" s="76" t="s">
        <v>1034</v>
      </c>
      <c r="F144" s="76" t="str">
        <f t="shared" si="4"/>
        <v/>
      </c>
      <c r="G144" s="76">
        <f>IF(AND(B144&lt;&gt;"",B144&lt;&gt;"Non trouvé - vérifier",D144&lt;&gt;"",D144&lt;&gt;0),IF(COUNTIF($B$2:B144,B144)=1,1,0),0)</f>
        <v>0</v>
      </c>
    </row>
    <row r="145" spans="1:7" x14ac:dyDescent="0.25">
      <c r="A145" s="76" t="s">
        <v>1130</v>
      </c>
      <c r="B145" s="76" t="str">
        <f>"RACCORAGA040"</f>
        <v>RACCORAGA040</v>
      </c>
      <c r="C145" s="76" t="str">
        <f>IFERROR(INDEX(Catalogue!$B$4:$B$454,MATCH("RACCORAGA040",Catalogue!$A$4:$A$454,0)),"")</f>
        <v>RACCORD RAINURE GALVA DN40</v>
      </c>
      <c r="D145" s="76">
        <f>RIA!$J$16</f>
        <v>0</v>
      </c>
      <c r="E145" s="76" t="s">
        <v>1034</v>
      </c>
      <c r="F145" s="76" t="str">
        <f t="shared" si="4"/>
        <v/>
      </c>
      <c r="G145" s="76">
        <f>IF(AND(B145&lt;&gt;"",B145&lt;&gt;"Non trouvé - vérifier",D145&lt;&gt;"",D145&lt;&gt;0),IF(COUNTIF($B$2:B145,B145)=1,1,0),0)</f>
        <v>0</v>
      </c>
    </row>
    <row r="146" spans="1:7" x14ac:dyDescent="0.25">
      <c r="A146" s="76" t="s">
        <v>1130</v>
      </c>
      <c r="B146" s="76" t="str">
        <f>"VANBSFFLA040P25"</f>
        <v>VANBSFFLA040P25</v>
      </c>
      <c r="C146" s="76" t="str">
        <f>IFERROR(INDEX(Catalogue!$B$4:$B$454,MATCH("VANBSFFLA040P25",Catalogue!$A$4:$A$454,0)),"")</f>
        <v>VANNE BS 1/4 FF LAITON DN40 PN25</v>
      </c>
      <c r="D146" s="76">
        <f>RIA!$J$16</f>
        <v>0</v>
      </c>
      <c r="E146" s="76" t="s">
        <v>1034</v>
      </c>
      <c r="F146" s="76" t="str">
        <f t="shared" si="4"/>
        <v/>
      </c>
      <c r="G146" s="76">
        <f>IF(AND(B146&lt;&gt;"",B146&lt;&gt;"Non trouvé - vérifier",D146&lt;&gt;"",D146&lt;&gt;0),IF(COUNTIF($B$2:B146,B146)=1,1,0),0)</f>
        <v>0</v>
      </c>
    </row>
    <row r="147" spans="1:7" x14ac:dyDescent="0.25">
      <c r="A147" s="76" t="s">
        <v>1130</v>
      </c>
      <c r="B147" s="76" t="str">
        <f>"RIATPDN32-30M"</f>
        <v>RIATPDN32-30M</v>
      </c>
      <c r="C147" s="76" t="str">
        <f>IFERROR(INDEX(Catalogue!$B$4:$B$454,MATCH("RIATPDN32-30M",Catalogue!$A$4:$A$454,0)),"")</f>
        <v>RIA TOURNANT PIVOTANT DN33-30M</v>
      </c>
      <c r="D147" s="76">
        <f>RIA!$J$16</f>
        <v>0</v>
      </c>
      <c r="E147" s="76" t="s">
        <v>1034</v>
      </c>
      <c r="F147" s="76" t="str">
        <f t="shared" si="4"/>
        <v/>
      </c>
      <c r="G147" s="76">
        <f>IF(AND(B147&lt;&gt;"",B147&lt;&gt;"Non trouvé - vérifier",D147&lt;&gt;"",D147&lt;&gt;0),IF(COUNTIF($B$2:B147,B147)=1,1,0),0)</f>
        <v>0</v>
      </c>
    </row>
    <row r="148" spans="1:7" x14ac:dyDescent="0.25">
      <c r="A148" s="76" t="s">
        <v>1131</v>
      </c>
      <c r="B148" s="76" t="str">
        <f>IFERROR(INDEX(Catalogue!$A$4:$A$454,SUMPRODUCT(((Catalogue!$C$4:$C$454="CPC")*(Catalogue!$D$4:$D$454="GALVA")*(Catalogue!$E$4:$E$454=(RIA!$J$5+0))*(Catalogue!$F$4:$F$454=(40+0))*(Catalogue!$G$4:$G$454="RAINURE"))*ROW(Catalogue!$C$4:$C$454))-3),"Non trouvé - vérifier")</f>
        <v>Non trouvé - vérifier</v>
      </c>
      <c r="C148" s="76" t="str">
        <f>IFERROR(INDEX(Catalogue!$B$4:$B$454,SUMPRODUCT(((Catalogue!$C$4:$C$454="CPC")*(Catalogue!$D$4:$D$454="GALVA")*(Catalogue!$E$4:$E$454=(RIA!$J$5+0))*(Catalogue!$F$4:$F$454=(40+0))*(Catalogue!$G$4:$G$454="RAINURE"))*ROW(Catalogue!$C$4:$C$454))-3),"")</f>
        <v/>
      </c>
      <c r="D148" s="76">
        <f>RIA!$J$17</f>
        <v>0</v>
      </c>
      <c r="E148" s="76" t="s">
        <v>1034</v>
      </c>
      <c r="F148" s="76" t="str">
        <f t="shared" si="4"/>
        <v/>
      </c>
      <c r="G148" s="76">
        <f>IF(AND(B148&lt;&gt;"",B148&lt;&gt;"Non trouvé - vérifier",D148&lt;&gt;"",D148&lt;&gt;0),IF(COUNTIF($B$2:B148,B148)=1,1,0),0)</f>
        <v>0</v>
      </c>
    </row>
    <row r="149" spans="1:7" x14ac:dyDescent="0.25">
      <c r="A149" s="76" t="s">
        <v>1131</v>
      </c>
      <c r="B149" s="76" t="str">
        <f>IFERROR(INDEX(Catalogue!$A$4:$A$454,SUMPRODUCT(((Catalogue!$C$4:$C$454="TUBE")*(Catalogue!$D$4:$D$454="GALVA")*(Catalogue!$E$4:$E$454=(40+0))*(Catalogue!$G$4:$G$454="SL"))*ROW(Catalogue!$C$4:$C$454))-3),"Non trouvé - vérifier")</f>
        <v>TUBESLGA040</v>
      </c>
      <c r="C149" s="76" t="str">
        <f>IFERROR(INDEX(Catalogue!$B$4:$B$454,SUMPRODUCT(((Catalogue!$C$4:$C$454="TUBE")*(Catalogue!$D$4:$D$454="GALVA")*(Catalogue!$E$4:$E$454=(40+0))*(Catalogue!$G$4:$G$454="SL"))*ROW(Catalogue!$C$4:$C$454))-3),"")</f>
        <v>TUBE GALVA EN 10255 SL DN40X2.9</v>
      </c>
      <c r="D149" s="76">
        <f>CEILING((6*RIA!$J$17),6)</f>
        <v>0</v>
      </c>
      <c r="E149" s="76" t="s">
        <v>1033</v>
      </c>
      <c r="F149" s="76" t="str">
        <f t="shared" si="4"/>
        <v/>
      </c>
      <c r="G149" s="76">
        <f>IF(AND(B149&lt;&gt;"",B149&lt;&gt;"Non trouvé - vérifier",D149&lt;&gt;"",D149&lt;&gt;0),IF(COUNTIF($B$2:B149,B149)=1,1,0),0)</f>
        <v>0</v>
      </c>
    </row>
    <row r="150" spans="1:7" x14ac:dyDescent="0.25">
      <c r="A150" s="76" t="s">
        <v>1131</v>
      </c>
      <c r="B150" s="76" t="str">
        <f>IFERROR(INDEX(Catalogue!$A$4:$A$454,MATCH("TES EGAL A VISSER FF GALVA DN40",Catalogue!$B$4:$B$454,0)),"")</f>
        <v>TESEGFFGA040</v>
      </c>
      <c r="C150" s="76" t="str">
        <f>"TES EGAL A VISSER FF GALVA DN40"</f>
        <v>TES EGAL A VISSER FF GALVA DN40</v>
      </c>
      <c r="D150" s="76">
        <f>RIA!$J$17</f>
        <v>0</v>
      </c>
      <c r="E150" s="76" t="s">
        <v>1034</v>
      </c>
      <c r="F150" s="76" t="str">
        <f t="shared" si="4"/>
        <v/>
      </c>
      <c r="G150" s="76">
        <f>IF(AND(B150&lt;&gt;"",B150&lt;&gt;"Non trouvé - vérifier",D150&lt;&gt;"",D150&lt;&gt;0),IF(COUNTIF($B$2:B150,B150)=1,1,0),0)</f>
        <v>0</v>
      </c>
    </row>
    <row r="151" spans="1:7" x14ac:dyDescent="0.25">
      <c r="A151" s="76" t="s">
        <v>1131</v>
      </c>
      <c r="B151" s="76" t="str">
        <f>IFERROR(INDEX(Catalogue!$A$4:$A$454,MATCH("BOUCHON VISSER M GALVA DN40",Catalogue!$B$4:$B$454,0)),"")</f>
        <v>BOUCHVIMGA040</v>
      </c>
      <c r="C151" s="76" t="str">
        <f>"BOUCHON VISSER M GALVA DN40"</f>
        <v>BOUCHON VISSER M GALVA DN40</v>
      </c>
      <c r="D151" s="76">
        <f>RIA!$J$17</f>
        <v>0</v>
      </c>
      <c r="E151" s="76" t="s">
        <v>1034</v>
      </c>
      <c r="F151" s="76" t="str">
        <f t="shared" si="4"/>
        <v/>
      </c>
      <c r="G151" s="76">
        <f>IF(AND(B151&lt;&gt;"",B151&lt;&gt;"Non trouvé - vérifier",D151&lt;&gt;"",D151&lt;&gt;0),IF(COUNTIF($B$2:B151,B151)=1,1,0),0)</f>
        <v>0</v>
      </c>
    </row>
    <row r="152" spans="1:7" x14ac:dyDescent="0.25">
      <c r="A152" s="76" t="s">
        <v>1131</v>
      </c>
      <c r="B152" s="76" t="str">
        <f>IFERROR(INDEX(Catalogue!$A$4:$A$454,MATCH("VANNE BS 1/4 FF LAITON DN40 PN25",Catalogue!$B$4:$B$454,0)),"")</f>
        <v>VANBSFFLA040P25</v>
      </c>
      <c r="C152" s="76" t="str">
        <f>"VANNE BS 1/4 FF LAITON DN40 PN25"</f>
        <v>VANNE BS 1/4 FF LAITON DN40 PN25</v>
      </c>
      <c r="D152" s="76">
        <f>RIA!$J$17</f>
        <v>0</v>
      </c>
      <c r="E152" s="76" t="s">
        <v>1034</v>
      </c>
      <c r="F152" s="76" t="str">
        <f t="shared" si="4"/>
        <v/>
      </c>
      <c r="G152" s="76">
        <f>IF(AND(B152&lt;&gt;"",B152&lt;&gt;"Non trouvé - vérifier",D152&lt;&gt;"",D152&lt;&gt;0),IF(COUNTIF($B$2:B152,B152)=1,1,0),0)</f>
        <v>0</v>
      </c>
    </row>
    <row r="153" spans="1:7" x14ac:dyDescent="0.25">
      <c r="A153" s="76" t="s">
        <v>1131</v>
      </c>
      <c r="B153" s="76" t="str">
        <f>IFERROR(INDEX(Catalogue!$A$4:$A$454,SUMPRODUCT(((Catalogue!$C$4:$C$454="TUBE")*(Catalogue!$G$4:$G$454&lt;&gt;"TSS")*(Catalogue!$D$4:$D$454="GALVA")*(Catalogue!$E$4:$E$454=(25+0)))*ROW(Catalogue!$C$4:$C$454))-3),"Non trouvé - vérifier")</f>
        <v>TUBETSSGA025</v>
      </c>
      <c r="C153" s="76" t="str">
        <f>IFERROR(INDEX(Catalogue!$B$4:$B$454,SUMPRODUCT(((Catalogue!$C$4:$C$454="TUBE")*(Catalogue!$G$4:$G$454&lt;&gt;"TSS")*(Catalogue!$D$4:$D$454="GALVA")*(Catalogue!$E$4:$E$454=(25+0)))*ROW(Catalogue!$C$4:$C$454))-3),"")</f>
        <v>TUBE GALVA EN 10255 TSS DN 25X3.2</v>
      </c>
      <c r="D153" s="76">
        <f>CEILING((1*RIA!$J$17),6)</f>
        <v>0</v>
      </c>
      <c r="E153" s="76" t="s">
        <v>1033</v>
      </c>
      <c r="F153" s="76" t="str">
        <f t="shared" si="4"/>
        <v/>
      </c>
      <c r="G153" s="76">
        <f>IF(AND(B153&lt;&gt;"",B153&lt;&gt;"Non trouvé - vérifier",D153&lt;&gt;"",D153&lt;&gt;0),IF(COUNTIF($B$2:B153,B153)=1,1,0),0)</f>
        <v>0</v>
      </c>
    </row>
    <row r="154" spans="1:7" x14ac:dyDescent="0.25">
      <c r="A154" s="76" t="s">
        <v>1131</v>
      </c>
      <c r="B154" s="76" t="str">
        <f>"RACCOUNFFGA025"</f>
        <v>RACCOUNFFGA025</v>
      </c>
      <c r="C154" s="76" t="str">
        <f>IFERROR(INDEX(Catalogue!$B$4:$B$454,MATCH("RACCOUNFFGA025",Catalogue!$A$4:$A$454,0)),"")</f>
        <v>RACCORD UNION VISSER FF GALVA DN25</v>
      </c>
      <c r="D154" s="76">
        <f>RIA!$J$17</f>
        <v>0</v>
      </c>
      <c r="E154" s="76" t="s">
        <v>1034</v>
      </c>
      <c r="F154" s="76" t="str">
        <f t="shared" si="4"/>
        <v/>
      </c>
      <c r="G154" s="76">
        <f>IF(AND(B154&lt;&gt;"",B154&lt;&gt;"Non trouvé - vérifier",D154&lt;&gt;"",D154&lt;&gt;0),IF(COUNTIF($B$2:B154,B154)=1,1,0),0)</f>
        <v>0</v>
      </c>
    </row>
    <row r="155" spans="1:7" x14ac:dyDescent="0.25">
      <c r="A155" s="76" t="s">
        <v>1131</v>
      </c>
      <c r="B155" s="76" t="str">
        <f>IFERROR(INDEX(Catalogue!$A$4:$A$454,SUMPRODUCT(((Catalogue!$C$4:$C$454="REDUC")*(Catalogue!$D$4:$D$454="GALVA")*(Catalogue!$E$4:$E$454=(40+0))*(Catalogue!$F$4:$F$454=(25+0))*(Catalogue!$G$4:$G$454="MF"))*ROW(Catalogue!$C$4:$C$454))-3),"Non trouvé - vérifier")</f>
        <v>REDUCMFGA4025</v>
      </c>
      <c r="C155" s="76" t="str">
        <f>IFERROR(INDEX(Catalogue!$B$4:$B$454,SUMPRODUCT(((Catalogue!$C$4:$C$454="REDUC")*(Catalogue!$D$4:$D$454="GALVA")*(Catalogue!$E$4:$E$454=(40+0))*(Catalogue!$F$4:$F$454=(25+0))*(Catalogue!$G$4:$G$454="MF"))*ROW(Catalogue!$C$4:$C$454))-3),"")</f>
        <v>REDUC VISSER MF GALVA DN40X25 1''1/2X1''</v>
      </c>
      <c r="D155" s="76">
        <f>RIA!$J$17</f>
        <v>0</v>
      </c>
      <c r="E155" s="76" t="s">
        <v>1034</v>
      </c>
      <c r="F155" s="76" t="str">
        <f t="shared" si="4"/>
        <v/>
      </c>
      <c r="G155" s="76">
        <f>IF(AND(B155&lt;&gt;"",B155&lt;&gt;"Non trouvé - vérifier",D155&lt;&gt;"",D155&lt;&gt;0),IF(COUNTIF($B$2:B155,B155)=1,1,0),0)</f>
        <v>0</v>
      </c>
    </row>
    <row r="156" spans="1:7" x14ac:dyDescent="0.25">
      <c r="A156" s="76" t="s">
        <v>1131</v>
      </c>
      <c r="B156" s="76" t="str">
        <f>"RIATPDN25-30M"</f>
        <v>RIATPDN25-30M</v>
      </c>
      <c r="C156" s="76" t="str">
        <f>IFERROR(INDEX(Catalogue!$B$4:$B$454,MATCH("RIATPDN25-30M",Catalogue!$A$4:$A$454,0)),"")</f>
        <v>RIA TOURNANT PIVOTANT DN25-30M</v>
      </c>
      <c r="D156" s="76">
        <f>RIA!$J$17</f>
        <v>0</v>
      </c>
      <c r="E156" s="76" t="s">
        <v>1034</v>
      </c>
      <c r="F156" s="76" t="str">
        <f t="shared" si="4"/>
        <v/>
      </c>
      <c r="G156" s="76">
        <f>IF(AND(B156&lt;&gt;"",B156&lt;&gt;"Non trouvé - vérifier",D156&lt;&gt;"",D156&lt;&gt;0),IF(COUNTIF($B$2:B156,B156)=1,1,0),0)</f>
        <v>0</v>
      </c>
    </row>
    <row r="157" spans="1:7" x14ac:dyDescent="0.25">
      <c r="A157" s="76" t="s">
        <v>1078</v>
      </c>
      <c r="B157" s="76" t="str">
        <f>IFERROR(INDEX(Catalogue!$A$4:$A$454,MATCH(RIA!$C$28,Catalogue!$B$4:$B$454,0)),"")</f>
        <v/>
      </c>
      <c r="C157" s="76" t="str">
        <f>IF(COUNTIF(Catalogue!$B$4:$B$454,RIA!$C$28)=0,"",RIA!$C$28)</f>
        <v/>
      </c>
      <c r="D157" s="76" t="str">
        <f>IF(COUNTIF(Catalogue!$B$4:$B$454,RIA!$C$28)=0,"",RIA!$D$28)</f>
        <v/>
      </c>
      <c r="E157" s="76" t="s">
        <v>1034</v>
      </c>
      <c r="F157" s="76" t="str">
        <f t="shared" si="4"/>
        <v/>
      </c>
      <c r="G157" s="76">
        <f>IF(AND(B157&lt;&gt;"",B157&lt;&gt;"Non trouvé - vérifier",D157&lt;&gt;"",D157&lt;&gt;0),IF(COUNTIF($B$2:B157,B157)=1,1,0),0)</f>
        <v>0</v>
      </c>
    </row>
    <row r="158" spans="1:7" x14ac:dyDescent="0.25">
      <c r="A158" s="76" t="s">
        <v>1079</v>
      </c>
      <c r="B158" s="76" t="str">
        <f>IFERROR(INDEX(Catalogue!$A$4:$A$454,MATCH(RIA!$C$29,Catalogue!$B$4:$B$454,0)),"")</f>
        <v/>
      </c>
      <c r="C158" s="76" t="str">
        <f>IF(COUNTIF(Catalogue!$B$4:$B$454,RIA!$C$29)=0,"",RIA!$C$29)</f>
        <v/>
      </c>
      <c r="D158" s="76" t="str">
        <f>IF(COUNTIF(Catalogue!$B$4:$B$454,RIA!$C$29)=0,"",RIA!$D$29)</f>
        <v/>
      </c>
      <c r="E158" s="76" t="s">
        <v>1034</v>
      </c>
      <c r="F158" s="76" t="str">
        <f t="shared" si="4"/>
        <v/>
      </c>
      <c r="G158" s="76">
        <f>IF(AND(B158&lt;&gt;"",B158&lt;&gt;"Non trouvé - vérifier",D158&lt;&gt;"",D158&lt;&gt;0),IF(COUNTIF($B$2:B158,B158)=1,1,0),0)</f>
        <v>0</v>
      </c>
    </row>
    <row r="159" spans="1:7" x14ac:dyDescent="0.25">
      <c r="A159" s="76" t="s">
        <v>1080</v>
      </c>
      <c r="B159" s="76" t="str">
        <f>IFERROR(INDEX(Catalogue!$A$4:$A$454,MATCH(RIA!$C$30,Catalogue!$B$4:$B$454,0)),"")</f>
        <v/>
      </c>
      <c r="C159" s="76" t="str">
        <f>IF(COUNTIF(Catalogue!$B$4:$B$454,RIA!$C$30)=0,"",RIA!$C$30)</f>
        <v/>
      </c>
      <c r="D159" s="76" t="str">
        <f>IF(COUNTIF(Catalogue!$B$4:$B$454,RIA!$C$30)=0,"",RIA!$D$30)</f>
        <v/>
      </c>
      <c r="E159" s="76" t="s">
        <v>1034</v>
      </c>
      <c r="F159" s="76" t="str">
        <f t="shared" si="4"/>
        <v/>
      </c>
      <c r="G159" s="76">
        <f>IF(AND(B159&lt;&gt;"",B159&lt;&gt;"Non trouvé - vérifier",D159&lt;&gt;"",D159&lt;&gt;0),IF(COUNTIF($B$2:B159,B159)=1,1,0),0)</f>
        <v>0</v>
      </c>
    </row>
    <row r="160" spans="1:7" x14ac:dyDescent="0.25">
      <c r="A160" s="76" t="s">
        <v>1081</v>
      </c>
      <c r="B160" s="76" t="str">
        <f>IFERROR(INDEX(Catalogue!$A$4:$A$454,MATCH(RIA!$C$31,Catalogue!$B$4:$B$454,0)),"")</f>
        <v/>
      </c>
      <c r="C160" s="76" t="str">
        <f>IF(COUNTIF(Catalogue!$B$4:$B$454,RIA!$C$31)=0,"",RIA!$C$31)</f>
        <v/>
      </c>
      <c r="D160" s="76" t="str">
        <f>IF(COUNTIF(Catalogue!$B$4:$B$454,RIA!$C$31)=0,"",RIA!$D$31)</f>
        <v/>
      </c>
      <c r="E160" s="76" t="s">
        <v>1034</v>
      </c>
      <c r="F160" s="76" t="str">
        <f t="shared" si="4"/>
        <v/>
      </c>
      <c r="G160" s="76">
        <f>IF(AND(B160&lt;&gt;"",B160&lt;&gt;"Non trouvé - vérifier",D160&lt;&gt;"",D160&lt;&gt;0),IF(COUNTIF($B$2:B160,B160)=1,1,0),0)</f>
        <v>0</v>
      </c>
    </row>
    <row r="161" spans="1:7" x14ac:dyDescent="0.25">
      <c r="A161" s="76" t="s">
        <v>1082</v>
      </c>
      <c r="B161" s="76" t="str">
        <f>IFERROR(INDEX(Catalogue!$A$4:$A$454,MATCH(RIA!$C$32,Catalogue!$B$4:$B$454,0)),"")</f>
        <v/>
      </c>
      <c r="C161" s="76" t="str">
        <f>IF(COUNTIF(Catalogue!$B$4:$B$454,RIA!$C$32)=0,"",RIA!$C$32)</f>
        <v/>
      </c>
      <c r="D161" s="76" t="str">
        <f>IF(COUNTIF(Catalogue!$B$4:$B$454,RIA!$C$32)=0,"",RIA!$D$32)</f>
        <v/>
      </c>
      <c r="E161" s="76" t="s">
        <v>1034</v>
      </c>
      <c r="F161" s="76" t="str">
        <f t="shared" si="4"/>
        <v/>
      </c>
      <c r="G161" s="76">
        <f>IF(AND(B161&lt;&gt;"",B161&lt;&gt;"Non trouvé - vérifier",D161&lt;&gt;"",D161&lt;&gt;0),IF(COUNTIF($B$2:B161,B161)=1,1,0),0)</f>
        <v>0</v>
      </c>
    </row>
    <row r="162" spans="1:7" x14ac:dyDescent="0.25">
      <c r="A162" s="76" t="s">
        <v>1083</v>
      </c>
      <c r="B162" s="76" t="str">
        <f>IFERROR(INDEX(Catalogue!$A$4:$A$454,MATCH(RIA!$C$33,Catalogue!$B$4:$B$454,0)),"")</f>
        <v/>
      </c>
      <c r="C162" s="76" t="str">
        <f>IF(COUNTIF(Catalogue!$B$4:$B$454,RIA!$C$33)=0,"",RIA!$C$33)</f>
        <v/>
      </c>
      <c r="D162" s="76" t="str">
        <f>IF(COUNTIF(Catalogue!$B$4:$B$454,RIA!$C$33)=0,"",RIA!$D$33)</f>
        <v/>
      </c>
      <c r="E162" s="76" t="s">
        <v>1034</v>
      </c>
      <c r="F162" s="76" t="str">
        <f t="shared" ref="F162:F183" si="5">IF(AND(B162&lt;&gt;"",B162&lt;&gt;"Non trouvé - vérifier",D162&lt;&gt;"",D162&lt;&gt;0),SUMIF($B$2:$B$183,B162,$D$2:$D$183),"")</f>
        <v/>
      </c>
      <c r="G162" s="76">
        <f>IF(AND(B162&lt;&gt;"",B162&lt;&gt;"Non trouvé - vérifier",D162&lt;&gt;"",D162&lt;&gt;0),IF(COUNTIF($B$2:B162,B162)=1,1,0),0)</f>
        <v>0</v>
      </c>
    </row>
    <row r="163" spans="1:7" x14ac:dyDescent="0.25">
      <c r="A163" s="76" t="s">
        <v>1084</v>
      </c>
      <c r="B163" s="76" t="str">
        <f>IFERROR(INDEX(Catalogue!$A$4:$A$454,MATCH(RIA!$C$34,Catalogue!$B$4:$B$454,0)),"")</f>
        <v/>
      </c>
      <c r="C163" s="76" t="str">
        <f>IF(COUNTIF(Catalogue!$B$4:$B$454,RIA!$C$34)=0,"",RIA!$C$34)</f>
        <v/>
      </c>
      <c r="D163" s="76" t="str">
        <f>IF(COUNTIF(Catalogue!$B$4:$B$454,RIA!$C$34)=0,"",RIA!$D$34)</f>
        <v/>
      </c>
      <c r="E163" s="76" t="s">
        <v>1034</v>
      </c>
      <c r="F163" s="76" t="str">
        <f t="shared" si="5"/>
        <v/>
      </c>
      <c r="G163" s="76">
        <f>IF(AND(B163&lt;&gt;"",B163&lt;&gt;"Non trouvé - vérifier",D163&lt;&gt;"",D163&lt;&gt;0),IF(COUNTIF($B$2:B163,B163)=1,1,0),0)</f>
        <v>0</v>
      </c>
    </row>
    <row r="164" spans="1:7" x14ac:dyDescent="0.25">
      <c r="A164" s="76" t="s">
        <v>1085</v>
      </c>
      <c r="B164" s="76" t="str">
        <f>IFERROR(INDEX(Catalogue!$A$4:$A$454,MATCH(RIA!$C$35,Catalogue!$B$4:$B$454,0)),"")</f>
        <v/>
      </c>
      <c r="C164" s="76" t="str">
        <f>IF(COUNTIF(Catalogue!$B$4:$B$454,RIA!$C$35)=0,"",RIA!$C$35)</f>
        <v/>
      </c>
      <c r="D164" s="76" t="str">
        <f>IF(COUNTIF(Catalogue!$B$4:$B$454,RIA!$C$35)=0,"",RIA!$D$35)</f>
        <v/>
      </c>
      <c r="E164" s="76" t="s">
        <v>1034</v>
      </c>
      <c r="F164" s="76" t="str">
        <f t="shared" si="5"/>
        <v/>
      </c>
      <c r="G164" s="76">
        <f>IF(AND(B164&lt;&gt;"",B164&lt;&gt;"Non trouvé - vérifier",D164&lt;&gt;"",D164&lt;&gt;0),IF(COUNTIF($B$2:B164,B164)=1,1,0),0)</f>
        <v>0</v>
      </c>
    </row>
    <row r="165" spans="1:7" x14ac:dyDescent="0.25">
      <c r="A165" s="76" t="s">
        <v>1086</v>
      </c>
      <c r="B165" s="76" t="str">
        <f>IFERROR(INDEX(Catalogue!$A$4:$A$454,MATCH(RIA!$C$36,Catalogue!$B$4:$B$454,0)),"")</f>
        <v/>
      </c>
      <c r="C165" s="76" t="str">
        <f>IF(COUNTIF(Catalogue!$B$4:$B$454,RIA!$C$36)=0,"",RIA!$C$36)</f>
        <v/>
      </c>
      <c r="D165" s="76" t="str">
        <f>IF(COUNTIF(Catalogue!$B$4:$B$454,RIA!$C$36)=0,"",RIA!$D$36)</f>
        <v/>
      </c>
      <c r="E165" s="76" t="s">
        <v>1034</v>
      </c>
      <c r="F165" s="76" t="str">
        <f t="shared" si="5"/>
        <v/>
      </c>
      <c r="G165" s="76">
        <f>IF(AND(B165&lt;&gt;"",B165&lt;&gt;"Non trouvé - vérifier",D165&lt;&gt;"",D165&lt;&gt;0),IF(COUNTIF($B$2:B165,B165)=1,1,0),0)</f>
        <v>0</v>
      </c>
    </row>
    <row r="166" spans="1:7" x14ac:dyDescent="0.25">
      <c r="A166" s="76" t="s">
        <v>1087</v>
      </c>
      <c r="B166" s="76" t="str">
        <f>IFERROR(INDEX(Catalogue!$A$4:$A$454,MATCH(RIA!$C$37,Catalogue!$B$4:$B$454,0)),"")</f>
        <v/>
      </c>
      <c r="C166" s="76" t="str">
        <f>IF(COUNTIF(Catalogue!$B$4:$B$454,RIA!$C$37)=0,"",RIA!$C$37)</f>
        <v/>
      </c>
      <c r="D166" s="76" t="str">
        <f>IF(COUNTIF(Catalogue!$B$4:$B$454,RIA!$C$37)=0,"",RIA!$D$37)</f>
        <v/>
      </c>
      <c r="E166" s="76" t="s">
        <v>1034</v>
      </c>
      <c r="F166" s="76" t="str">
        <f t="shared" si="5"/>
        <v/>
      </c>
      <c r="G166" s="76">
        <f>IF(AND(B166&lt;&gt;"",B166&lt;&gt;"Non trouvé - vérifier",D166&lt;&gt;"",D166&lt;&gt;0),IF(COUNTIF($B$2:B166,B166)=1,1,0),0)</f>
        <v>0</v>
      </c>
    </row>
    <row r="167" spans="1:7" x14ac:dyDescent="0.25">
      <c r="A167" s="76" t="s">
        <v>1074</v>
      </c>
      <c r="B167" s="76" t="str">
        <f>"KOLMAT360"</f>
        <v>KOLMAT360</v>
      </c>
      <c r="C167" s="76" t="str">
        <f>IFERROR(INDEX(Catalogue!$B$4:$B$454,MATCH("KOLMAT360",Catalogue!$A$4:$A$454,0)),"")</f>
        <v>KOLMAT POT DE 360ML</v>
      </c>
      <c r="D167" s="76">
        <f>RIA!$D$40</f>
        <v>0</v>
      </c>
      <c r="E167" s="76" t="s">
        <v>1075</v>
      </c>
      <c r="F167" s="76" t="str">
        <f t="shared" si="5"/>
        <v/>
      </c>
      <c r="G167" s="76">
        <f>IF(AND(B167&lt;&gt;"",B167&lt;&gt;"Non trouvé - vérifier",D167&lt;&gt;"",D167&lt;&gt;0),IF(COUNTIF($B$2:B167,B167)=1,1,0),0)</f>
        <v>0</v>
      </c>
    </row>
    <row r="168" spans="1:7" x14ac:dyDescent="0.25">
      <c r="A168" s="76" t="s">
        <v>1074</v>
      </c>
      <c r="B168" s="76" t="str">
        <f>"FILASSE200"</f>
        <v>FILASSE200</v>
      </c>
      <c r="C168" s="76" t="str">
        <f>IFERROR(INDEX(Catalogue!$B$4:$B$454,MATCH("FILASSE200",Catalogue!$A$4:$A$454,0)),"")</f>
        <v>FILASSE POUPEE DE 200 GR</v>
      </c>
      <c r="D168" s="76">
        <f>RIA!$D$41</f>
        <v>0</v>
      </c>
      <c r="E168" s="76" t="s">
        <v>1076</v>
      </c>
      <c r="F168" s="76" t="str">
        <f t="shared" si="5"/>
        <v/>
      </c>
      <c r="G168" s="76">
        <f>IF(AND(B168&lt;&gt;"",B168&lt;&gt;"Non trouvé - vérifier",D168&lt;&gt;"",D168&lt;&gt;0),IF(COUNTIF($B$2:B168,B168)=1,1,0),0)</f>
        <v>0</v>
      </c>
    </row>
    <row r="169" spans="1:7" x14ac:dyDescent="0.25">
      <c r="A169" s="76" t="s">
        <v>1074</v>
      </c>
      <c r="B169" s="76" t="str">
        <f>"TEFLON"</f>
        <v>TEFLON</v>
      </c>
      <c r="C169" s="76" t="str">
        <f>IFERROR(INDEX(Catalogue!$B$4:$B$454,MATCH("TEFLON",Catalogue!$A$4:$A$454,0)),"")</f>
        <v>TEFLON</v>
      </c>
      <c r="D169" s="76">
        <f>RIA!$D$42</f>
        <v>0</v>
      </c>
      <c r="E169" s="76" t="s">
        <v>1076</v>
      </c>
      <c r="F169" s="76" t="str">
        <f t="shared" si="5"/>
        <v/>
      </c>
      <c r="G169" s="76">
        <f>IF(AND(B169&lt;&gt;"",B169&lt;&gt;"Non trouvé - vérifier",D169&lt;&gt;"",D169&lt;&gt;0),IF(COUNTIF($B$2:B169,B169)=1,1,0),0)</f>
        <v>0</v>
      </c>
    </row>
    <row r="170" spans="1:7" x14ac:dyDescent="0.25">
      <c r="A170" s="76" t="s">
        <v>1074</v>
      </c>
      <c r="B170" s="76" t="str">
        <f>"GRAISSEGRUVLOCK"</f>
        <v>GRAISSEGRUVLOCK</v>
      </c>
      <c r="C170" s="76" t="str">
        <f>IFERROR(INDEX(Catalogue!$B$4:$B$454,MATCH("GRAISSEGRUVLOCK",Catalogue!$A$4:$A$454,0)),"")</f>
        <v>GRAISSE GRUVLOCK RACCORD RAINURE 1 KG</v>
      </c>
      <c r="D170" s="76">
        <f>RIA!$D$43</f>
        <v>0</v>
      </c>
      <c r="E170" s="76" t="s">
        <v>1077</v>
      </c>
      <c r="F170" s="76" t="str">
        <f t="shared" si="5"/>
        <v/>
      </c>
      <c r="G170" s="76">
        <f>IF(AND(B170&lt;&gt;"",B170&lt;&gt;"Non trouvé - vérifier",D170&lt;&gt;"",D170&lt;&gt;0),IF(COUNTIF($B$2:B170,B170)=1,1,0),0)</f>
        <v>0</v>
      </c>
    </row>
    <row r="171" spans="1:7" x14ac:dyDescent="0.25">
      <c r="A171" s="76" t="s">
        <v>1074</v>
      </c>
      <c r="B171" s="76" t="str">
        <f>"PEINTBOMGALVA360"</f>
        <v>PEINTBOMGALVA360</v>
      </c>
      <c r="C171" s="76" t="str">
        <f>IFERROR(INDEX(Catalogue!$B$4:$B$454,MATCH(B171,Catalogue!$A$4:$A$454,0)),"")</f>
        <v>PEINTURE BOMBE GALVA BRILLANT</v>
      </c>
      <c r="D171" s="76">
        <f>RIA!$D$44</f>
        <v>0</v>
      </c>
      <c r="E171" s="76" t="s">
        <v>1076</v>
      </c>
      <c r="F171" s="76" t="str">
        <f t="shared" si="5"/>
        <v/>
      </c>
      <c r="G171" s="76">
        <f>IF(AND(B171&lt;&gt;"",B171&lt;&gt;"Non trouvé - vérifier",D171&lt;&gt;"",D171&lt;&gt;0),IF(COUNTIF($B$2:B171,B171)=1,1,0),0)</f>
        <v>0</v>
      </c>
    </row>
    <row r="172" spans="1:7" x14ac:dyDescent="0.25">
      <c r="A172" s="76" t="s">
        <v>1132</v>
      </c>
      <c r="B172" s="76" t="str">
        <f>IFERROR(INDEX(Catalogue!$A$4:$A$454,SUMPRODUCT(((Catalogue!$C$4:$C$454="CPC")*(Catalogue!$D$4:$D$454="GALVA")*(Catalogue!$E$4:$E$454=(40+0))*(Catalogue!$F$4:$F$454=(15+0))*(Catalogue!$G$4:$G$454="TARAUDE"))*ROW(Catalogue!$C$4:$C$454))-3),"Non trouvé - vérifier")</f>
        <v>CPCTAGA04015</v>
      </c>
      <c r="C172" s="76" t="str">
        <f>IFERROR(INDEX(Catalogue!$B$4:$B$454,SUMPRODUCT(((Catalogue!$C$4:$C$454="CPC")*(Catalogue!$D$4:$D$454="GALVA")*(Catalogue!$E$4:$E$454=(40+0))*(Catalogue!$F$4:$F$454=(15+0))*(Catalogue!$G$4:$G$454="TARAUDE"))*ROW(Catalogue!$C$4:$C$454))-3),"")</f>
        <v>COLLIER PRISE EN CHARGE TA GA DN40X15</v>
      </c>
      <c r="D172" s="78">
        <f>RIA!$D$20</f>
        <v>0</v>
      </c>
      <c r="E172" s="76" t="s">
        <v>1034</v>
      </c>
      <c r="F172" s="76" t="str">
        <f t="shared" si="5"/>
        <v/>
      </c>
      <c r="G172" s="76">
        <f>IF(AND(B172&lt;&gt;"",B172&lt;&gt;"Non trouvé - vérifier",D172&lt;&gt;"",D172&lt;&gt;0),IF(COUNTIF($B$2:B172,B172)=1,1,0),0)</f>
        <v>0</v>
      </c>
    </row>
    <row r="173" spans="1:7" x14ac:dyDescent="0.25">
      <c r="A173" s="76" t="s">
        <v>1132</v>
      </c>
      <c r="B173" s="76" t="str">
        <f>IFERROR(INDEX(Catalogue!$A$4:$A$454,MATCH("COUDE 90°VISSER MF GALVA GRANDRAYON DN15",Catalogue!$B$4:$B$454,0)),"")</f>
        <v>COUGR90VIMFGA015</v>
      </c>
      <c r="C173" s="76" t="str">
        <f>IFERROR(INDEX(Catalogue!$B$4:$B$454,MATCH("COUGR90VIMFGA015",Catalogue!$A$4:$A$454,0)),"")</f>
        <v>COUDE 90°VISSER MF GALVA GRANDRAYON DN15</v>
      </c>
      <c r="D173" s="78">
        <f>RIA!$D$20</f>
        <v>0</v>
      </c>
      <c r="E173" s="76" t="s">
        <v>1034</v>
      </c>
      <c r="F173" s="76" t="str">
        <f t="shared" si="5"/>
        <v/>
      </c>
      <c r="G173" s="76">
        <f>IF(AND(B173&lt;&gt;"",B173&lt;&gt;"Non trouvé - vérifier",D173&lt;&gt;"",D173&lt;&gt;0),IF(COUNTIF($B$2:B173,B173)=1,1,0),0)</f>
        <v>0</v>
      </c>
    </row>
    <row r="174" spans="1:7" x14ac:dyDescent="0.25">
      <c r="A174" s="76" t="s">
        <v>1132</v>
      </c>
      <c r="B174" s="76" t="str">
        <f>IFERROR(INDEX(Catalogue!$A$4:$A$454,MATCH("ROBINET PORTE MANO DN15",Catalogue!$B$4:$B$454,0)),"")</f>
        <v>VANSPMFLA15MA</v>
      </c>
      <c r="C174" s="76" t="str">
        <f>IFERROR(INDEX(Catalogue!$B$4:$B$454,MATCH("VANSPMFLA15MA",Catalogue!$A$4:$A$454,0)),"")</f>
        <v>ROBINET PORTE MANO DN15</v>
      </c>
      <c r="D174" s="78">
        <f>RIA!$D$20</f>
        <v>0</v>
      </c>
      <c r="E174" s="76" t="s">
        <v>1034</v>
      </c>
      <c r="F174" s="76" t="str">
        <f t="shared" si="5"/>
        <v/>
      </c>
      <c r="G174" s="76">
        <f>IF(AND(B174&lt;&gt;"",B174&lt;&gt;"Non trouvé - vérifier",D174&lt;&gt;"",D174&lt;&gt;0),IF(COUNTIF($B$2:B174,B174)=1,1,0),0)</f>
        <v>0</v>
      </c>
    </row>
    <row r="175" spans="1:7" x14ac:dyDescent="0.25">
      <c r="A175" s="76" t="s">
        <v>1132</v>
      </c>
      <c r="B175" s="76" t="str">
        <f>"MANOAAI16"</f>
        <v>MANOAAI16</v>
      </c>
      <c r="C175" s="76" t="str">
        <f>IFERROR(INDEX(Catalogue!$B$4:$B$454,MATCH("MANOAAI16",Catalogue!$A$4:$A$454,0)),"")</f>
        <v>MANOMETRE 16 BARS LOGO AAI</v>
      </c>
      <c r="D175" s="78">
        <f>RIA!$D$20</f>
        <v>0</v>
      </c>
      <c r="E175" s="76" t="s">
        <v>1034</v>
      </c>
      <c r="F175" s="76" t="str">
        <f t="shared" si="5"/>
        <v/>
      </c>
      <c r="G175" s="76">
        <f>IF(AND(B175&lt;&gt;"",B175&lt;&gt;"Non trouvé - vérifier",D175&lt;&gt;"",D175&lt;&gt;0),IF(COUNTIF($B$2:B175,B175)=1,1,0),0)</f>
        <v>0</v>
      </c>
    </row>
    <row r="176" spans="1:7" x14ac:dyDescent="0.25">
      <c r="A176" s="76" t="s">
        <v>1133</v>
      </c>
      <c r="B176" s="76" t="str">
        <f>IFERROR(INDEX(Catalogue!$A$4:$A$454,SUMPRODUCT(((Catalogue!$C$4:$C$454="CPC")*(Catalogue!$D$4:$D$454="GALVA")*(Catalogue!$E$4:$E$454=(40+0))*(Catalogue!$F$4:$F$454=(15+0))*(Catalogue!$G$4:$G$454="TARAUDE"))*ROW(Catalogue!$C$4:$C$454))-3),"Non trouvé - vérifier")</f>
        <v>CPCTAGA04015</v>
      </c>
      <c r="C176" s="76" t="str">
        <f>IFERROR(INDEX(Catalogue!$B$4:$B$454,SUMPRODUCT(((Catalogue!$C$4:$C$454="CPC")*(Catalogue!$D$4:$D$454="GALVA")*(Catalogue!$E$4:$E$454=(40+0))*(Catalogue!$F$4:$F$454=(15+0))*(Catalogue!$G$4:$G$454="TARAUDE"))*ROW(Catalogue!$C$4:$C$454))-3),"")</f>
        <v>COLLIER PRISE EN CHARGE TA GA DN40X15</v>
      </c>
      <c r="D176" s="78">
        <f>RIA!$D$21</f>
        <v>0</v>
      </c>
      <c r="E176" s="76" t="s">
        <v>1034</v>
      </c>
      <c r="F176" s="76" t="str">
        <f t="shared" si="5"/>
        <v/>
      </c>
      <c r="G176" s="76">
        <f>IF(AND(B176&lt;&gt;"",B176&lt;&gt;"Non trouvé - vérifier",D176&lt;&gt;"",D176&lt;&gt;0),IF(COUNTIF($B$2:B176,B176)=1,1,0),0)</f>
        <v>0</v>
      </c>
    </row>
    <row r="177" spans="1:7" x14ac:dyDescent="0.25">
      <c r="A177" s="76" t="s">
        <v>1133</v>
      </c>
      <c r="B177" s="76" t="str">
        <f>IFERROR(INDEX(Catalogue!$A$4:$A$454,MATCH("COUDE 90°VISSER MF GALVA GRANDRAYON DN15",Catalogue!$B$4:$B$454,0)),"")</f>
        <v>COUGR90VIMFGA015</v>
      </c>
      <c r="C177" s="76" t="str">
        <f>IFERROR(INDEX(Catalogue!$B$4:$B$454,MATCH("COUGR90VIMFGA015",Catalogue!$A$4:$A$454,0)),"")</f>
        <v>COUDE 90°VISSER MF GALVA GRANDRAYON DN15</v>
      </c>
      <c r="D177" s="78">
        <f>RIA!$D$21</f>
        <v>0</v>
      </c>
      <c r="E177" s="76" t="s">
        <v>1034</v>
      </c>
      <c r="F177" s="76" t="str">
        <f t="shared" si="5"/>
        <v/>
      </c>
      <c r="G177" s="76">
        <f>IF(AND(B177&lt;&gt;"",B177&lt;&gt;"Non trouvé - vérifier",D177&lt;&gt;"",D177&lt;&gt;0),IF(COUNTIF($B$2:B177,B177)=1,1,0),0)</f>
        <v>0</v>
      </c>
    </row>
    <row r="178" spans="1:7" x14ac:dyDescent="0.25">
      <c r="A178" s="76" t="s">
        <v>1133</v>
      </c>
      <c r="B178" s="76" t="str">
        <f>IFERROR(INDEX(Catalogue!$A$4:$A$454,MATCH("ROBINET PORTE MANO DN15",Catalogue!$B$4:$B$454,0)),"")</f>
        <v>VANSPMFLA15MA</v>
      </c>
      <c r="C178" s="76" t="str">
        <f>IFERROR(INDEX(Catalogue!$B$4:$B$454,MATCH("VANSPMFLA15MA",Catalogue!$A$4:$A$454,0)),"")</f>
        <v>ROBINET PORTE MANO DN15</v>
      </c>
      <c r="D178" s="78">
        <f>RIA!$D$21</f>
        <v>0</v>
      </c>
      <c r="E178" s="76" t="s">
        <v>1034</v>
      </c>
      <c r="F178" s="76" t="str">
        <f t="shared" si="5"/>
        <v/>
      </c>
      <c r="G178" s="76">
        <f>IF(AND(B178&lt;&gt;"",B178&lt;&gt;"Non trouvé - vérifier",D178&lt;&gt;"",D178&lt;&gt;0),IF(COUNTIF($B$2:B178,B178)=1,1,0),0)</f>
        <v>0</v>
      </c>
    </row>
    <row r="179" spans="1:7" x14ac:dyDescent="0.25">
      <c r="A179" s="76" t="s">
        <v>1133</v>
      </c>
      <c r="B179" s="76" t="str">
        <f>"MANOAAI16"</f>
        <v>MANOAAI16</v>
      </c>
      <c r="C179" s="76" t="str">
        <f>IFERROR(INDEX(Catalogue!$B$4:$B$454,MATCH("MANOAAI16",Catalogue!$A$4:$A$454,0)),"")</f>
        <v>MANOMETRE 16 BARS LOGO AAI</v>
      </c>
      <c r="D179" s="78">
        <f>RIA!$D$21</f>
        <v>0</v>
      </c>
      <c r="E179" s="76" t="s">
        <v>1034</v>
      </c>
      <c r="F179" s="76" t="str">
        <f t="shared" si="5"/>
        <v/>
      </c>
      <c r="G179" s="76">
        <f>IF(AND(B179&lt;&gt;"",B179&lt;&gt;"Non trouvé - vérifier",D179&lt;&gt;"",D179&lt;&gt;0),IF(COUNTIF($B$2:B179,B179)=1,1,0),0)</f>
        <v>0</v>
      </c>
    </row>
    <row r="180" spans="1:7" x14ac:dyDescent="0.25">
      <c r="A180" s="76" t="s">
        <v>1015</v>
      </c>
      <c r="B180" s="76" t="str">
        <f>"RIAPOTEAU"</f>
        <v>RIAPOTEAU</v>
      </c>
      <c r="C180" s="76" t="str">
        <f>IFERROR(INDEX(Catalogue!$B$4:$B$454,MATCH("RIAPOTEAU",Catalogue!$A$4:$A$454,0)),"")</f>
        <v>POTEAU POUR RIA TOURNANT PIVOTANT</v>
      </c>
      <c r="D180" s="78">
        <f>RIA!$D$22</f>
        <v>0</v>
      </c>
      <c r="E180" s="76" t="s">
        <v>1034</v>
      </c>
      <c r="F180" s="76" t="str">
        <f t="shared" si="5"/>
        <v/>
      </c>
      <c r="G180" s="76">
        <f>IF(AND(B180&lt;&gt;"",B180&lt;&gt;"Non trouvé - vérifier",D180&lt;&gt;"",D180&lt;&gt;0),IF(COUNTIF($B$2:B180,B180)=1,1,0),0)</f>
        <v>0</v>
      </c>
    </row>
    <row r="181" spans="1:7" x14ac:dyDescent="0.25">
      <c r="A181" s="76" t="s">
        <v>1015</v>
      </c>
      <c r="B181" s="76" t="str">
        <f>IFERROR(INDEX(Catalogue!$A$4:$A$454,SUMPRODUCT(((Catalogue!$C$4:$C$454="VANPAP")*(Catalogue!$D$4:$D$454="GALVA")*(Catalogue!$E$4:$E$454=(RIA!$D$5+0))*(Catalogue!$G$4:$G$454="RAINURE"))*ROW(Catalogue!$C$4:$C$454))-3),"Non trouvé - vérifier")</f>
        <v>Non trouvé - vérifier</v>
      </c>
      <c r="C181" s="76" t="str">
        <f>IFERROR(INDEX(Catalogue!$B$4:$B$454,SUMPRODUCT(((Catalogue!$C$4:$C$454="VANPAP")*(Catalogue!$D$4:$D$454="GALVA")*(Catalogue!$E$4:$E$454=(RIA!$D$5+0))*(Catalogue!$G$4:$G$454="RAINURE"))*ROW(Catalogue!$C$4:$C$454))-3),"")</f>
        <v/>
      </c>
      <c r="D181" s="78">
        <f>RIA!$D$23</f>
        <v>0</v>
      </c>
      <c r="E181" s="76" t="s">
        <v>1034</v>
      </c>
      <c r="F181" s="76" t="str">
        <f t="shared" si="5"/>
        <v/>
      </c>
      <c r="G181" s="76">
        <f>IF(AND(B181&lt;&gt;"",B181&lt;&gt;"Non trouvé - vérifier",D181&lt;&gt;"",D181&lt;&gt;0),IF(COUNTIF($B$2:B181,B181)=1,1,0),0)</f>
        <v>0</v>
      </c>
    </row>
    <row r="182" spans="1:7" x14ac:dyDescent="0.25">
      <c r="A182" s="76" t="s">
        <v>1015</v>
      </c>
      <c r="B182" s="76" t="str">
        <f>IFERROR(INDEX(Catalogue!$A$4:$A$454,SUMPRODUCT(((Catalogue!$C$4:$C$454="CLAPET")*(Catalogue!$D$4:$D$454="GALVA")*(Catalogue!$E$4:$E$454=(RIA!$D$5+0))*(Catalogue!$G$4:$G$454="RAINURE"))*ROW(Catalogue!$C$4:$C$454))-3),"Non trouvé - vérifier")</f>
        <v>Non trouvé - vérifier</v>
      </c>
      <c r="C182" s="76" t="str">
        <f>IFERROR(INDEX(Catalogue!$B$4:$B$454,SUMPRODUCT(((Catalogue!$C$4:$C$454="CLAPET")*(Catalogue!$D$4:$D$454="GALVA")*(Catalogue!$E$4:$E$454=(RIA!$D$5+0))*(Catalogue!$G$4:$G$454="RAINURE"))*ROW(Catalogue!$C$4:$C$454))-3),"")</f>
        <v/>
      </c>
      <c r="D182" s="78">
        <f>RIA!$D$24</f>
        <v>0</v>
      </c>
      <c r="E182" s="76" t="s">
        <v>1034</v>
      </c>
      <c r="F182" s="76" t="str">
        <f t="shared" si="5"/>
        <v/>
      </c>
      <c r="G182" s="76">
        <f>IF(AND(B182&lt;&gt;"",B182&lt;&gt;"Non trouvé - vérifier",D182&lt;&gt;"",D182&lt;&gt;0),IF(COUNTIF($B$2:B182,B182)=1,1,0),0)</f>
        <v>0</v>
      </c>
    </row>
    <row r="183" spans="1:7" x14ac:dyDescent="0.25">
      <c r="A183" s="76" t="s">
        <v>1015</v>
      </c>
      <c r="B183" s="76" t="str">
        <f>IFERROR(INDEX(Catalogue!$A$4:$A$454,SUMPRODUCT(((Catalogue!$C$4:$C$454="FILTRE")*(Catalogue!$D$4:$D$454="GALVA")*(Catalogue!$E$4:$E$454=(RIA!$D$5+0))*(Catalogue!$G$4:$G$454="BRIDE"))*ROW(Catalogue!$C$4:$C$454))-3),"Non trouvé - vérifier")</f>
        <v>Non trouvé - vérifier</v>
      </c>
      <c r="C183" s="76" t="str">
        <f>IFERROR(INDEX(Catalogue!$B$4:$B$454,SUMPRODUCT(((Catalogue!$C$4:$C$454="FILTRE")*(Catalogue!$D$4:$D$454="GALVA")*(Catalogue!$E$4:$E$454=(RIA!$D$5+0))*(Catalogue!$G$4:$G$454="BRIDE"))*ROW(Catalogue!$C$4:$C$454))-3),"")</f>
        <v/>
      </c>
      <c r="D183" s="78">
        <f>RIA!$D$25</f>
        <v>0</v>
      </c>
      <c r="E183" s="76" t="s">
        <v>1034</v>
      </c>
      <c r="F183" s="76" t="str">
        <f t="shared" si="5"/>
        <v/>
      </c>
      <c r="G183" s="76">
        <f>IF(AND(B183&lt;&gt;"",B183&lt;&gt;"Non trouvé - vérifier",D183&lt;&gt;"",D183&lt;&gt;0),IF(COUNTIF($B$2:B183,B183)=1,1,0),0)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6"/>
  <sheetViews>
    <sheetView showGridLines="0" zoomScaleNormal="100" workbookViewId="0">
      <selection activeCell="B438" sqref="B438"/>
    </sheetView>
  </sheetViews>
  <sheetFormatPr baseColWidth="10" defaultColWidth="8.5703125" defaultRowHeight="15" x14ac:dyDescent="0.25"/>
  <sheetData>
    <row r="1" spans="1:7" x14ac:dyDescent="0.25">
      <c r="A1" s="80" t="s">
        <v>1025</v>
      </c>
      <c r="B1" s="80" t="s">
        <v>1026</v>
      </c>
      <c r="C1" s="80" t="s">
        <v>1027</v>
      </c>
      <c r="D1" s="80" t="s">
        <v>1028</v>
      </c>
      <c r="E1" s="80" t="s">
        <v>1029</v>
      </c>
      <c r="F1" s="77" t="s">
        <v>1030</v>
      </c>
      <c r="G1" s="77" t="s">
        <v>1031</v>
      </c>
    </row>
    <row r="2" spans="1:7" x14ac:dyDescent="0.25">
      <c r="A2" s="76" t="str">
        <f>IF(Liste_Materiel!A2="","","SPK - "&amp;Liste_Materiel!A2)</f>
        <v>SPK - Collecteur 1</v>
      </c>
      <c r="B2" s="76" t="str">
        <f>Liste_Materiel!B2</f>
        <v>Non trouvé - vérifier</v>
      </c>
      <c r="C2" s="76" t="str">
        <f>Liste_Materiel!C2</f>
        <v/>
      </c>
      <c r="D2" s="78">
        <f>Liste_Materiel!D2</f>
        <v>0</v>
      </c>
      <c r="E2" s="76" t="str">
        <f>Liste_Materiel!E2</f>
        <v>ml</v>
      </c>
      <c r="F2" s="76" t="str">
        <f t="shared" ref="F2:F65" si="0">IF(AND(B2&lt;&gt;"",B2&lt;&gt;"Non trouvé - vérifier",D2&lt;&gt;"",D2&lt;&gt;0),SUMIF($B$2:$B$426,B2,$D$2:$D$426),"")</f>
        <v/>
      </c>
      <c r="G2" s="76">
        <f>IF(AND(B2&lt;&gt;"",B2&lt;&gt;"Non trouvé - vérifier",D2&lt;&gt;"",D2&lt;&gt;0),IF(COUNTIF($B$2:B2,B2)=1,1,0),0)</f>
        <v>0</v>
      </c>
    </row>
    <row r="3" spans="1:7" x14ac:dyDescent="0.25">
      <c r="A3" s="76" t="str">
        <f>IF(Liste_Materiel!A3="","","SPK - "&amp;Liste_Materiel!A3)</f>
        <v>SPK - Collecteur 1</v>
      </c>
      <c r="B3" s="76" t="str">
        <f>Liste_Materiel!B3</f>
        <v>Non trouvé - vérifier</v>
      </c>
      <c r="C3" s="76" t="str">
        <f>Liste_Materiel!C3</f>
        <v/>
      </c>
      <c r="D3" s="78">
        <f>Liste_Materiel!D3</f>
        <v>0</v>
      </c>
      <c r="E3" s="76" t="str">
        <f>Liste_Materiel!E3</f>
        <v>pce</v>
      </c>
      <c r="F3" s="76" t="str">
        <f t="shared" si="0"/>
        <v/>
      </c>
      <c r="G3" s="76">
        <f>IF(AND(B3&lt;&gt;"",B3&lt;&gt;"Non trouvé - vérifier",D3&lt;&gt;"",D3&lt;&gt;0),IF(COUNTIF($B$2:B3,B3)=1,1,0),0)</f>
        <v>0</v>
      </c>
    </row>
    <row r="4" spans="1:7" x14ac:dyDescent="0.25">
      <c r="A4" s="76" t="str">
        <f>IF(Liste_Materiel!A4="","","SPK - "&amp;Liste_Materiel!A4)</f>
        <v>SPK - Collecteur 1</v>
      </c>
      <c r="B4" s="76" t="str">
        <f>Liste_Materiel!B4</f>
        <v>Non trouvé - vérifier</v>
      </c>
      <c r="C4" s="76" t="str">
        <f>Liste_Materiel!C4</f>
        <v/>
      </c>
      <c r="D4" s="76">
        <f>Liste_Materiel!D4</f>
        <v>1</v>
      </c>
      <c r="E4" s="76" t="str">
        <f>Liste_Materiel!E4</f>
        <v>pce</v>
      </c>
      <c r="F4" s="76" t="str">
        <f t="shared" si="0"/>
        <v/>
      </c>
      <c r="G4" s="76">
        <f>IF(AND(B4&lt;&gt;"",B4&lt;&gt;"Non trouvé - vérifier",D4&lt;&gt;"",D4&lt;&gt;0),IF(COUNTIF($B$2:B4,B4)=1,1,0),0)</f>
        <v>0</v>
      </c>
    </row>
    <row r="5" spans="1:7" x14ac:dyDescent="0.25">
      <c r="A5" s="76" t="str">
        <f>IF(Liste_Materiel!A5="","","SPK - "&amp;Liste_Materiel!A5)</f>
        <v>SPK - Collecteur 1</v>
      </c>
      <c r="B5" s="76" t="str">
        <f>Liste_Materiel!B5</f>
        <v>Non trouvé - vérifier</v>
      </c>
      <c r="C5" s="76" t="str">
        <f>Liste_Materiel!C5</f>
        <v/>
      </c>
      <c r="D5" s="76">
        <f>Liste_Materiel!D5</f>
        <v>0</v>
      </c>
      <c r="E5" s="76" t="str">
        <f>Liste_Materiel!E5</f>
        <v>pce</v>
      </c>
      <c r="F5" s="76" t="str">
        <f t="shared" si="0"/>
        <v/>
      </c>
      <c r="G5" s="76">
        <f>IF(AND(B5&lt;&gt;"",B5&lt;&gt;"Non trouvé - vérifier",D5&lt;&gt;"",D5&lt;&gt;0),IF(COUNTIF($B$2:B5,B5)=1,1,0),0)</f>
        <v>0</v>
      </c>
    </row>
    <row r="6" spans="1:7" x14ac:dyDescent="0.25">
      <c r="A6" s="76" t="str">
        <f>IF(Liste_Materiel!A6="","","SPK - "&amp;Liste_Materiel!A6)</f>
        <v>SPK - Collecteur 1 - Support 1</v>
      </c>
      <c r="B6" s="76" t="str">
        <f>Liste_Materiel!B6</f>
        <v/>
      </c>
      <c r="C6" s="76" t="str">
        <f>Liste_Materiel!C6</f>
        <v/>
      </c>
      <c r="D6" s="76" t="str">
        <f>Liste_Materiel!D6</f>
        <v/>
      </c>
      <c r="E6" s="76" t="str">
        <f>Liste_Materiel!E6</f>
        <v>pce/m</v>
      </c>
      <c r="F6" s="76" t="str">
        <f t="shared" si="0"/>
        <v/>
      </c>
      <c r="G6" s="76">
        <f>IF(AND(B6&lt;&gt;"",B6&lt;&gt;"Non trouvé - vérifier",D6&lt;&gt;"",D6&lt;&gt;0),IF(COUNTIF($B$2:B6,B6)=1,1,0),0)</f>
        <v>0</v>
      </c>
    </row>
    <row r="7" spans="1:7" x14ac:dyDescent="0.25">
      <c r="A7" s="76" t="str">
        <f>IF(Liste_Materiel!A7="","","SPK - "&amp;Liste_Materiel!A7)</f>
        <v>SPK - Collecteur 1 - Support 1</v>
      </c>
      <c r="B7" s="76" t="str">
        <f>Liste_Materiel!B7</f>
        <v/>
      </c>
      <c r="C7" s="76" t="str">
        <f>Liste_Materiel!C7</f>
        <v/>
      </c>
      <c r="D7" s="76" t="str">
        <f>Liste_Materiel!D7</f>
        <v/>
      </c>
      <c r="E7" s="76" t="str">
        <f>Liste_Materiel!E7</f>
        <v>pce/m</v>
      </c>
      <c r="F7" s="76" t="str">
        <f t="shared" si="0"/>
        <v/>
      </c>
      <c r="G7" s="76">
        <f>IF(AND(B7&lt;&gt;"",B7&lt;&gt;"Non trouvé - vérifier",D7&lt;&gt;"",D7&lt;&gt;0),IF(COUNTIF($B$2:B7,B7)=1,1,0),0)</f>
        <v>0</v>
      </c>
    </row>
    <row r="8" spans="1:7" x14ac:dyDescent="0.25">
      <c r="A8" s="76" t="str">
        <f>IF(Liste_Materiel!A8="","","SPK - "&amp;Liste_Materiel!A8)</f>
        <v>SPK - Collecteur 1 - Support 1</v>
      </c>
      <c r="B8" s="76" t="str">
        <f>Liste_Materiel!B8</f>
        <v/>
      </c>
      <c r="C8" s="76" t="str">
        <f>Liste_Materiel!C8</f>
        <v/>
      </c>
      <c r="D8" s="76" t="str">
        <f>Liste_Materiel!D8</f>
        <v/>
      </c>
      <c r="E8" s="76" t="str">
        <f>Liste_Materiel!E8</f>
        <v>pce/m</v>
      </c>
      <c r="F8" s="76" t="str">
        <f t="shared" si="0"/>
        <v/>
      </c>
      <c r="G8" s="76">
        <f>IF(AND(B8&lt;&gt;"",B8&lt;&gt;"Non trouvé - vérifier",D8&lt;&gt;"",D8&lt;&gt;0),IF(COUNTIF($B$2:B8,B8)=1,1,0),0)</f>
        <v>0</v>
      </c>
    </row>
    <row r="9" spans="1:7" x14ac:dyDescent="0.25">
      <c r="A9" s="76" t="str">
        <f>IF(Liste_Materiel!A9="","","SPK - "&amp;Liste_Materiel!A9)</f>
        <v>SPK - Collecteur 1 - Support 1</v>
      </c>
      <c r="B9" s="76" t="str">
        <f>Liste_Materiel!B9</f>
        <v/>
      </c>
      <c r="C9" s="76" t="str">
        <f>Liste_Materiel!C9</f>
        <v/>
      </c>
      <c r="D9" s="76" t="str">
        <f>Liste_Materiel!D9</f>
        <v/>
      </c>
      <c r="E9" s="76" t="str">
        <f>Liste_Materiel!E9</f>
        <v>pce/m</v>
      </c>
      <c r="F9" s="76" t="str">
        <f t="shared" si="0"/>
        <v/>
      </c>
      <c r="G9" s="76">
        <f>IF(AND(B9&lt;&gt;"",B9&lt;&gt;"Non trouvé - vérifier",D9&lt;&gt;"",D9&lt;&gt;0),IF(COUNTIF($B$2:B9,B9)=1,1,0),0)</f>
        <v>0</v>
      </c>
    </row>
    <row r="10" spans="1:7" x14ac:dyDescent="0.25">
      <c r="A10" s="76" t="str">
        <f>IF(Liste_Materiel!A10="","","SPK - "&amp;Liste_Materiel!A10)</f>
        <v>SPK - Collecteur 1 - Support 1</v>
      </c>
      <c r="B10" s="76" t="str">
        <f>Liste_Materiel!B10</f>
        <v/>
      </c>
      <c r="C10" s="76" t="str">
        <f>Liste_Materiel!C10</f>
        <v/>
      </c>
      <c r="D10" s="76" t="str">
        <f>Liste_Materiel!D10</f>
        <v/>
      </c>
      <c r="E10" s="76" t="str">
        <f>Liste_Materiel!E10</f>
        <v>pce/m</v>
      </c>
      <c r="F10" s="76" t="str">
        <f t="shared" si="0"/>
        <v/>
      </c>
      <c r="G10" s="76">
        <f>IF(AND(B10&lt;&gt;"",B10&lt;&gt;"Non trouvé - vérifier",D10&lt;&gt;"",D10&lt;&gt;0),IF(COUNTIF($B$2:B10,B10)=1,1,0),0)</f>
        <v>0</v>
      </c>
    </row>
    <row r="11" spans="1:7" x14ac:dyDescent="0.25">
      <c r="A11" s="76" t="str">
        <f>IF(Liste_Materiel!A11="","","SPK - "&amp;Liste_Materiel!A11)</f>
        <v>SPK - Collecteur 1 - Support 1</v>
      </c>
      <c r="B11" s="76" t="str">
        <f>Liste_Materiel!B11</f>
        <v/>
      </c>
      <c r="C11" s="76" t="str">
        <f>Liste_Materiel!C11</f>
        <v/>
      </c>
      <c r="D11" s="76" t="str">
        <f>Liste_Materiel!D11</f>
        <v/>
      </c>
      <c r="E11" s="76" t="str">
        <f>Liste_Materiel!E11</f>
        <v>pce/m</v>
      </c>
      <c r="F11" s="76" t="str">
        <f t="shared" si="0"/>
        <v/>
      </c>
      <c r="G11" s="76">
        <f>IF(AND(B11&lt;&gt;"",B11&lt;&gt;"Non trouvé - vérifier",D11&lt;&gt;"",D11&lt;&gt;0),IF(COUNTIF($B$2:B11,B11)=1,1,0),0)</f>
        <v>0</v>
      </c>
    </row>
    <row r="12" spans="1:7" x14ac:dyDescent="0.25">
      <c r="A12" s="76" t="str">
        <f>IF(Liste_Materiel!A12="","","SPK - "&amp;Liste_Materiel!A12)</f>
        <v>SPK - Collecteur 1 - Support 2</v>
      </c>
      <c r="B12" s="76" t="str">
        <f>Liste_Materiel!B12</f>
        <v/>
      </c>
      <c r="C12" s="76" t="str">
        <f>Liste_Materiel!C12</f>
        <v/>
      </c>
      <c r="D12" s="76" t="str">
        <f>Liste_Materiel!D12</f>
        <v/>
      </c>
      <c r="E12" s="76" t="str">
        <f>Liste_Materiel!E12</f>
        <v>pce/m</v>
      </c>
      <c r="F12" s="76" t="str">
        <f t="shared" si="0"/>
        <v/>
      </c>
      <c r="G12" s="76">
        <f>IF(AND(B12&lt;&gt;"",B12&lt;&gt;"Non trouvé - vérifier",D12&lt;&gt;"",D12&lt;&gt;0),IF(COUNTIF($B$2:B12,B12)=1,1,0),0)</f>
        <v>0</v>
      </c>
    </row>
    <row r="13" spans="1:7" x14ac:dyDescent="0.25">
      <c r="A13" s="76" t="str">
        <f>IF(Liste_Materiel!A13="","","SPK - "&amp;Liste_Materiel!A13)</f>
        <v>SPK - Collecteur 1 - Support 2</v>
      </c>
      <c r="B13" s="76" t="str">
        <f>Liste_Materiel!B13</f>
        <v/>
      </c>
      <c r="C13" s="76" t="str">
        <f>Liste_Materiel!C13</f>
        <v/>
      </c>
      <c r="D13" s="76" t="str">
        <f>Liste_Materiel!D13</f>
        <v/>
      </c>
      <c r="E13" s="76" t="str">
        <f>Liste_Materiel!E13</f>
        <v>pce/m</v>
      </c>
      <c r="F13" s="76" t="str">
        <f t="shared" si="0"/>
        <v/>
      </c>
      <c r="G13" s="76">
        <f>IF(AND(B13&lt;&gt;"",B13&lt;&gt;"Non trouvé - vérifier",D13&lt;&gt;"",D13&lt;&gt;0),IF(COUNTIF($B$2:B13,B13)=1,1,0),0)</f>
        <v>0</v>
      </c>
    </row>
    <row r="14" spans="1:7" x14ac:dyDescent="0.25">
      <c r="A14" s="76" t="str">
        <f>IF(Liste_Materiel!A14="","","SPK - "&amp;Liste_Materiel!A14)</f>
        <v>SPK - Collecteur 1 - Support 2</v>
      </c>
      <c r="B14" s="76" t="str">
        <f>Liste_Materiel!B14</f>
        <v/>
      </c>
      <c r="C14" s="76" t="str">
        <f>Liste_Materiel!C14</f>
        <v/>
      </c>
      <c r="D14" s="76" t="str">
        <f>Liste_Materiel!D14</f>
        <v/>
      </c>
      <c r="E14" s="76" t="str">
        <f>Liste_Materiel!E14</f>
        <v>pce/m</v>
      </c>
      <c r="F14" s="76" t="str">
        <f t="shared" si="0"/>
        <v/>
      </c>
      <c r="G14" s="76">
        <f>IF(AND(B14&lt;&gt;"",B14&lt;&gt;"Non trouvé - vérifier",D14&lt;&gt;"",D14&lt;&gt;0),IF(COUNTIF($B$2:B14,B14)=1,1,0),0)</f>
        <v>0</v>
      </c>
    </row>
    <row r="15" spans="1:7" x14ac:dyDescent="0.25">
      <c r="A15" s="76" t="str">
        <f>IF(Liste_Materiel!A15="","","SPK - "&amp;Liste_Materiel!A15)</f>
        <v>SPK - Collecteur 1 - Support 2</v>
      </c>
      <c r="B15" s="76" t="str">
        <f>Liste_Materiel!B15</f>
        <v/>
      </c>
      <c r="C15" s="76" t="str">
        <f>Liste_Materiel!C15</f>
        <v/>
      </c>
      <c r="D15" s="76" t="str">
        <f>Liste_Materiel!D15</f>
        <v/>
      </c>
      <c r="E15" s="76" t="str">
        <f>Liste_Materiel!E15</f>
        <v>pce/m</v>
      </c>
      <c r="F15" s="76" t="str">
        <f t="shared" si="0"/>
        <v/>
      </c>
      <c r="G15" s="76">
        <f>IF(AND(B15&lt;&gt;"",B15&lt;&gt;"Non trouvé - vérifier",D15&lt;&gt;"",D15&lt;&gt;0),IF(COUNTIF($B$2:B15,B15)=1,1,0),0)</f>
        <v>0</v>
      </c>
    </row>
    <row r="16" spans="1:7" x14ac:dyDescent="0.25">
      <c r="A16" s="76" t="str">
        <f>IF(Liste_Materiel!A16="","","SPK - "&amp;Liste_Materiel!A16)</f>
        <v>SPK - Collecteur 1 - Support 2</v>
      </c>
      <c r="B16" s="76" t="str">
        <f>Liste_Materiel!B16</f>
        <v/>
      </c>
      <c r="C16" s="76" t="str">
        <f>Liste_Materiel!C16</f>
        <v/>
      </c>
      <c r="D16" s="76" t="str">
        <f>Liste_Materiel!D16</f>
        <v/>
      </c>
      <c r="E16" s="76" t="str">
        <f>Liste_Materiel!E16</f>
        <v>pce/m</v>
      </c>
      <c r="F16" s="76" t="str">
        <f t="shared" si="0"/>
        <v/>
      </c>
      <c r="G16" s="76">
        <f>IF(AND(B16&lt;&gt;"",B16&lt;&gt;"Non trouvé - vérifier",D16&lt;&gt;"",D16&lt;&gt;0),IF(COUNTIF($B$2:B16,B16)=1,1,0),0)</f>
        <v>0</v>
      </c>
    </row>
    <row r="17" spans="1:7" x14ac:dyDescent="0.25">
      <c r="A17" s="76" t="str">
        <f>IF(Liste_Materiel!A17="","","SPK - "&amp;Liste_Materiel!A17)</f>
        <v>SPK - Collecteur 1 - Support 2</v>
      </c>
      <c r="B17" s="76" t="str">
        <f>Liste_Materiel!B17</f>
        <v/>
      </c>
      <c r="C17" s="76" t="str">
        <f>Liste_Materiel!C17</f>
        <v/>
      </c>
      <c r="D17" s="76" t="str">
        <f>Liste_Materiel!D17</f>
        <v/>
      </c>
      <c r="E17" s="76" t="str">
        <f>Liste_Materiel!E17</f>
        <v>pce/m</v>
      </c>
      <c r="F17" s="76" t="str">
        <f t="shared" si="0"/>
        <v/>
      </c>
      <c r="G17" s="76">
        <f>IF(AND(B17&lt;&gt;"",B17&lt;&gt;"Non trouvé - vérifier",D17&lt;&gt;"",D17&lt;&gt;0),IF(COUNTIF($B$2:B17,B17)=1,1,0),0)</f>
        <v>0</v>
      </c>
    </row>
    <row r="18" spans="1:7" x14ac:dyDescent="0.25">
      <c r="A18" s="76" t="str">
        <f>IF(Liste_Materiel!A18="","","SPK - "&amp;Liste_Materiel!A18)</f>
        <v>SPK - Collecteur 2</v>
      </c>
      <c r="B18" s="76" t="str">
        <f>Liste_Materiel!B18</f>
        <v>Non trouvé - vérifier</v>
      </c>
      <c r="C18" s="76" t="str">
        <f>Liste_Materiel!C18</f>
        <v/>
      </c>
      <c r="D18" s="78">
        <f>Liste_Materiel!D18</f>
        <v>0</v>
      </c>
      <c r="E18" s="76" t="str">
        <f>Liste_Materiel!E18</f>
        <v>ml</v>
      </c>
      <c r="F18" s="76" t="str">
        <f t="shared" si="0"/>
        <v/>
      </c>
      <c r="G18" s="76">
        <f>IF(AND(B18&lt;&gt;"",B18&lt;&gt;"Non trouvé - vérifier",D18&lt;&gt;"",D18&lt;&gt;0),IF(COUNTIF($B$2:B18,B18)=1,1,0),0)</f>
        <v>0</v>
      </c>
    </row>
    <row r="19" spans="1:7" x14ac:dyDescent="0.25">
      <c r="A19" s="76" t="str">
        <f>IF(Liste_Materiel!A19="","","SPK - "&amp;Liste_Materiel!A19)</f>
        <v>SPK - Collecteur 2</v>
      </c>
      <c r="B19" s="76" t="str">
        <f>Liste_Materiel!B19</f>
        <v>Non trouvé - vérifier</v>
      </c>
      <c r="C19" s="76" t="str">
        <f>Liste_Materiel!C19</f>
        <v/>
      </c>
      <c r="D19" s="78">
        <f>Liste_Materiel!D19</f>
        <v>0</v>
      </c>
      <c r="E19" s="76" t="str">
        <f>Liste_Materiel!E19</f>
        <v>pce</v>
      </c>
      <c r="F19" s="76" t="str">
        <f t="shared" si="0"/>
        <v/>
      </c>
      <c r="G19" s="76">
        <f>IF(AND(B19&lt;&gt;"",B19&lt;&gt;"Non trouvé - vérifier",D19&lt;&gt;"",D19&lt;&gt;0),IF(COUNTIF($B$2:B19,B19)=1,1,0),0)</f>
        <v>0</v>
      </c>
    </row>
    <row r="20" spans="1:7" x14ac:dyDescent="0.25">
      <c r="A20" s="76" t="str">
        <f>IF(Liste_Materiel!A20="","","SPK - "&amp;Liste_Materiel!A20)</f>
        <v>SPK - Collecteur 2</v>
      </c>
      <c r="B20" s="76" t="str">
        <f>Liste_Materiel!B20</f>
        <v>Non trouvé - vérifier</v>
      </c>
      <c r="C20" s="76" t="str">
        <f>Liste_Materiel!C20</f>
        <v/>
      </c>
      <c r="D20" s="76">
        <f>Liste_Materiel!D20</f>
        <v>1</v>
      </c>
      <c r="E20" s="76" t="str">
        <f>Liste_Materiel!E20</f>
        <v>pce</v>
      </c>
      <c r="F20" s="76" t="str">
        <f t="shared" si="0"/>
        <v/>
      </c>
      <c r="G20" s="76">
        <f>IF(AND(B20&lt;&gt;"",B20&lt;&gt;"Non trouvé - vérifier",D20&lt;&gt;"",D20&lt;&gt;0),IF(COUNTIF($B$2:B20,B20)=1,1,0),0)</f>
        <v>0</v>
      </c>
    </row>
    <row r="21" spans="1:7" x14ac:dyDescent="0.25">
      <c r="A21" s="76" t="str">
        <f>IF(Liste_Materiel!A21="","","SPK - "&amp;Liste_Materiel!A21)</f>
        <v>SPK - Collecteur 2</v>
      </c>
      <c r="B21" s="76" t="str">
        <f>Liste_Materiel!B21</f>
        <v>Non trouvé - vérifier</v>
      </c>
      <c r="C21" s="76" t="str">
        <f>Liste_Materiel!C21</f>
        <v/>
      </c>
      <c r="D21" s="76">
        <f>Liste_Materiel!D21</f>
        <v>0</v>
      </c>
      <c r="E21" s="76" t="str">
        <f>Liste_Materiel!E21</f>
        <v>pce</v>
      </c>
      <c r="F21" s="76" t="str">
        <f t="shared" si="0"/>
        <v/>
      </c>
      <c r="G21" s="76">
        <f>IF(AND(B21&lt;&gt;"",B21&lt;&gt;"Non trouvé - vérifier",D21&lt;&gt;"",D21&lt;&gt;0),IF(COUNTIF($B$2:B21,B21)=1,1,0),0)</f>
        <v>0</v>
      </c>
    </row>
    <row r="22" spans="1:7" x14ac:dyDescent="0.25">
      <c r="A22" s="76" t="str">
        <f>IF(Liste_Materiel!A22="","","SPK - "&amp;Liste_Materiel!A22)</f>
        <v>SPK - Collecteur 2 - Support 1</v>
      </c>
      <c r="B22" s="76" t="str">
        <f>Liste_Materiel!B22</f>
        <v/>
      </c>
      <c r="C22" s="76" t="str">
        <f>Liste_Materiel!C22</f>
        <v/>
      </c>
      <c r="D22" s="76" t="str">
        <f>Liste_Materiel!D22</f>
        <v/>
      </c>
      <c r="E22" s="76" t="str">
        <f>Liste_Materiel!E22</f>
        <v>pce/m</v>
      </c>
      <c r="F22" s="76" t="str">
        <f t="shared" si="0"/>
        <v/>
      </c>
      <c r="G22" s="76">
        <f>IF(AND(B22&lt;&gt;"",B22&lt;&gt;"Non trouvé - vérifier",D22&lt;&gt;"",D22&lt;&gt;0),IF(COUNTIF($B$2:B22,B22)=1,1,0),0)</f>
        <v>0</v>
      </c>
    </row>
    <row r="23" spans="1:7" x14ac:dyDescent="0.25">
      <c r="A23" s="76" t="str">
        <f>IF(Liste_Materiel!A23="","","SPK - "&amp;Liste_Materiel!A23)</f>
        <v>SPK - Collecteur 2 - Support 1</v>
      </c>
      <c r="B23" s="76" t="str">
        <f>Liste_Materiel!B23</f>
        <v/>
      </c>
      <c r="C23" s="76" t="str">
        <f>Liste_Materiel!C23</f>
        <v/>
      </c>
      <c r="D23" s="76" t="str">
        <f>Liste_Materiel!D23</f>
        <v/>
      </c>
      <c r="E23" s="76" t="str">
        <f>Liste_Materiel!E23</f>
        <v>pce/m</v>
      </c>
      <c r="F23" s="76" t="str">
        <f t="shared" si="0"/>
        <v/>
      </c>
      <c r="G23" s="76">
        <f>IF(AND(B23&lt;&gt;"",B23&lt;&gt;"Non trouvé - vérifier",D23&lt;&gt;"",D23&lt;&gt;0),IF(COUNTIF($B$2:B23,B23)=1,1,0),0)</f>
        <v>0</v>
      </c>
    </row>
    <row r="24" spans="1:7" x14ac:dyDescent="0.25">
      <c r="A24" s="76" t="str">
        <f>IF(Liste_Materiel!A24="","","SPK - "&amp;Liste_Materiel!A24)</f>
        <v>SPK - Collecteur 2 - Support 1</v>
      </c>
      <c r="B24" s="76" t="str">
        <f>Liste_Materiel!B24</f>
        <v/>
      </c>
      <c r="C24" s="76" t="str">
        <f>Liste_Materiel!C24</f>
        <v/>
      </c>
      <c r="D24" s="76" t="str">
        <f>Liste_Materiel!D24</f>
        <v/>
      </c>
      <c r="E24" s="76" t="str">
        <f>Liste_Materiel!E24</f>
        <v>pce/m</v>
      </c>
      <c r="F24" s="76" t="str">
        <f t="shared" si="0"/>
        <v/>
      </c>
      <c r="G24" s="76">
        <f>IF(AND(B24&lt;&gt;"",B24&lt;&gt;"Non trouvé - vérifier",D24&lt;&gt;"",D24&lt;&gt;0),IF(COUNTIF($B$2:B24,B24)=1,1,0),0)</f>
        <v>0</v>
      </c>
    </row>
    <row r="25" spans="1:7" x14ac:dyDescent="0.25">
      <c r="A25" s="76" t="str">
        <f>IF(Liste_Materiel!A25="","","SPK - "&amp;Liste_Materiel!A25)</f>
        <v>SPK - Collecteur 2 - Support 1</v>
      </c>
      <c r="B25" s="76" t="str">
        <f>Liste_Materiel!B25</f>
        <v/>
      </c>
      <c r="C25" s="76" t="str">
        <f>Liste_Materiel!C25</f>
        <v/>
      </c>
      <c r="D25" s="76" t="str">
        <f>Liste_Materiel!D25</f>
        <v/>
      </c>
      <c r="E25" s="76" t="str">
        <f>Liste_Materiel!E25</f>
        <v>pce/m</v>
      </c>
      <c r="F25" s="76" t="str">
        <f t="shared" si="0"/>
        <v/>
      </c>
      <c r="G25" s="76">
        <f>IF(AND(B25&lt;&gt;"",B25&lt;&gt;"Non trouvé - vérifier",D25&lt;&gt;"",D25&lt;&gt;0),IF(COUNTIF($B$2:B25,B25)=1,1,0),0)</f>
        <v>0</v>
      </c>
    </row>
    <row r="26" spans="1:7" x14ac:dyDescent="0.25">
      <c r="A26" s="76" t="str">
        <f>IF(Liste_Materiel!A26="","","SPK - "&amp;Liste_Materiel!A26)</f>
        <v>SPK - Collecteur 2 - Support 1</v>
      </c>
      <c r="B26" s="76" t="str">
        <f>Liste_Materiel!B26</f>
        <v/>
      </c>
      <c r="C26" s="76" t="str">
        <f>Liste_Materiel!C26</f>
        <v/>
      </c>
      <c r="D26" s="76" t="str">
        <f>Liste_Materiel!D26</f>
        <v/>
      </c>
      <c r="E26" s="76" t="str">
        <f>Liste_Materiel!E26</f>
        <v>pce/m</v>
      </c>
      <c r="F26" s="76" t="str">
        <f t="shared" si="0"/>
        <v/>
      </c>
      <c r="G26" s="76">
        <f>IF(AND(B26&lt;&gt;"",B26&lt;&gt;"Non trouvé - vérifier",D26&lt;&gt;"",D26&lt;&gt;0),IF(COUNTIF($B$2:B26,B26)=1,1,0),0)</f>
        <v>0</v>
      </c>
    </row>
    <row r="27" spans="1:7" x14ac:dyDescent="0.25">
      <c r="A27" s="76" t="str">
        <f>IF(Liste_Materiel!A27="","","SPK - "&amp;Liste_Materiel!A27)</f>
        <v>SPK - Collecteur 2 - Support 1</v>
      </c>
      <c r="B27" s="76" t="str">
        <f>Liste_Materiel!B27</f>
        <v/>
      </c>
      <c r="C27" s="76" t="str">
        <f>Liste_Materiel!C27</f>
        <v/>
      </c>
      <c r="D27" s="76" t="str">
        <f>Liste_Materiel!D27</f>
        <v/>
      </c>
      <c r="E27" s="76" t="str">
        <f>Liste_Materiel!E27</f>
        <v>pce/m</v>
      </c>
      <c r="F27" s="76" t="str">
        <f t="shared" si="0"/>
        <v/>
      </c>
      <c r="G27" s="76">
        <f>IF(AND(B27&lt;&gt;"",B27&lt;&gt;"Non trouvé - vérifier",D27&lt;&gt;"",D27&lt;&gt;0),IF(COUNTIF($B$2:B27,B27)=1,1,0),0)</f>
        <v>0</v>
      </c>
    </row>
    <row r="28" spans="1:7" x14ac:dyDescent="0.25">
      <c r="A28" s="76" t="str">
        <f>IF(Liste_Materiel!A28="","","SPK - "&amp;Liste_Materiel!A28)</f>
        <v>SPK - Collecteur 2 - Support 2</v>
      </c>
      <c r="B28" s="76" t="str">
        <f>Liste_Materiel!B28</f>
        <v/>
      </c>
      <c r="C28" s="76" t="str">
        <f>Liste_Materiel!C28</f>
        <v/>
      </c>
      <c r="D28" s="76" t="str">
        <f>Liste_Materiel!D28</f>
        <v/>
      </c>
      <c r="E28" s="76" t="str">
        <f>Liste_Materiel!E28</f>
        <v>pce/m</v>
      </c>
      <c r="F28" s="76" t="str">
        <f t="shared" si="0"/>
        <v/>
      </c>
      <c r="G28" s="76">
        <f>IF(AND(B28&lt;&gt;"",B28&lt;&gt;"Non trouvé - vérifier",D28&lt;&gt;"",D28&lt;&gt;0),IF(COUNTIF($B$2:B28,B28)=1,1,0),0)</f>
        <v>0</v>
      </c>
    </row>
    <row r="29" spans="1:7" x14ac:dyDescent="0.25">
      <c r="A29" s="76" t="str">
        <f>IF(Liste_Materiel!A29="","","SPK - "&amp;Liste_Materiel!A29)</f>
        <v>SPK - Collecteur 2 - Support 2</v>
      </c>
      <c r="B29" s="76" t="str">
        <f>Liste_Materiel!B29</f>
        <v/>
      </c>
      <c r="C29" s="76" t="str">
        <f>Liste_Materiel!C29</f>
        <v/>
      </c>
      <c r="D29" s="76" t="str">
        <f>Liste_Materiel!D29</f>
        <v/>
      </c>
      <c r="E29" s="76" t="str">
        <f>Liste_Materiel!E29</f>
        <v>pce/m</v>
      </c>
      <c r="F29" s="76" t="str">
        <f t="shared" si="0"/>
        <v/>
      </c>
      <c r="G29" s="76">
        <f>IF(AND(B29&lt;&gt;"",B29&lt;&gt;"Non trouvé - vérifier",D29&lt;&gt;"",D29&lt;&gt;0),IF(COUNTIF($B$2:B29,B29)=1,1,0),0)</f>
        <v>0</v>
      </c>
    </row>
    <row r="30" spans="1:7" x14ac:dyDescent="0.25">
      <c r="A30" s="76" t="str">
        <f>IF(Liste_Materiel!A30="","","SPK - "&amp;Liste_Materiel!A30)</f>
        <v>SPK - Collecteur 2 - Support 2</v>
      </c>
      <c r="B30" s="76" t="str">
        <f>Liste_Materiel!B30</f>
        <v/>
      </c>
      <c r="C30" s="76" t="str">
        <f>Liste_Materiel!C30</f>
        <v/>
      </c>
      <c r="D30" s="76" t="str">
        <f>Liste_Materiel!D30</f>
        <v/>
      </c>
      <c r="E30" s="76" t="str">
        <f>Liste_Materiel!E30</f>
        <v>pce/m</v>
      </c>
      <c r="F30" s="76" t="str">
        <f t="shared" si="0"/>
        <v/>
      </c>
      <c r="G30" s="76">
        <f>IF(AND(B30&lt;&gt;"",B30&lt;&gt;"Non trouvé - vérifier",D30&lt;&gt;"",D30&lt;&gt;0),IF(COUNTIF($B$2:B30,B30)=1,1,0),0)</f>
        <v>0</v>
      </c>
    </row>
    <row r="31" spans="1:7" x14ac:dyDescent="0.25">
      <c r="A31" s="76" t="str">
        <f>IF(Liste_Materiel!A31="","","SPK - "&amp;Liste_Materiel!A31)</f>
        <v>SPK - Collecteur 2 - Support 2</v>
      </c>
      <c r="B31" s="76" t="str">
        <f>Liste_Materiel!B31</f>
        <v/>
      </c>
      <c r="C31" s="76" t="str">
        <f>Liste_Materiel!C31</f>
        <v/>
      </c>
      <c r="D31" s="76" t="str">
        <f>Liste_Materiel!D31</f>
        <v/>
      </c>
      <c r="E31" s="76" t="str">
        <f>Liste_Materiel!E31</f>
        <v>pce/m</v>
      </c>
      <c r="F31" s="76" t="str">
        <f t="shared" si="0"/>
        <v/>
      </c>
      <c r="G31" s="76">
        <f>IF(AND(B31&lt;&gt;"",B31&lt;&gt;"Non trouvé - vérifier",D31&lt;&gt;"",D31&lt;&gt;0),IF(COUNTIF($B$2:B31,B31)=1,1,0),0)</f>
        <v>0</v>
      </c>
    </row>
    <row r="32" spans="1:7" x14ac:dyDescent="0.25">
      <c r="A32" s="76" t="str">
        <f>IF(Liste_Materiel!A32="","","SPK - "&amp;Liste_Materiel!A32)</f>
        <v>SPK - Collecteur 2 - Support 2</v>
      </c>
      <c r="B32" s="76" t="str">
        <f>Liste_Materiel!B32</f>
        <v/>
      </c>
      <c r="C32" s="76" t="str">
        <f>Liste_Materiel!C32</f>
        <v/>
      </c>
      <c r="D32" s="76" t="str">
        <f>Liste_Materiel!D32</f>
        <v/>
      </c>
      <c r="E32" s="76" t="str">
        <f>Liste_Materiel!E32</f>
        <v>pce/m</v>
      </c>
      <c r="F32" s="76" t="str">
        <f t="shared" si="0"/>
        <v/>
      </c>
      <c r="G32" s="76">
        <f>IF(AND(B32&lt;&gt;"",B32&lt;&gt;"Non trouvé - vérifier",D32&lt;&gt;"",D32&lt;&gt;0),IF(COUNTIF($B$2:B32,B32)=1,1,0),0)</f>
        <v>0</v>
      </c>
    </row>
    <row r="33" spans="1:7" x14ac:dyDescent="0.25">
      <c r="A33" s="76" t="str">
        <f>IF(Liste_Materiel!A33="","","SPK - "&amp;Liste_Materiel!A33)</f>
        <v>SPK - Collecteur 2 - Support 2</v>
      </c>
      <c r="B33" s="76" t="str">
        <f>Liste_Materiel!B33</f>
        <v/>
      </c>
      <c r="C33" s="76" t="str">
        <f>Liste_Materiel!C33</f>
        <v/>
      </c>
      <c r="D33" s="76" t="str">
        <f>Liste_Materiel!D33</f>
        <v/>
      </c>
      <c r="E33" s="76" t="str">
        <f>Liste_Materiel!E33</f>
        <v>pce/m</v>
      </c>
      <c r="F33" s="76" t="str">
        <f t="shared" si="0"/>
        <v/>
      </c>
      <c r="G33" s="76">
        <f>IF(AND(B33&lt;&gt;"",B33&lt;&gt;"Non trouvé - vérifier",D33&lt;&gt;"",D33&lt;&gt;0),IF(COUNTIF($B$2:B33,B33)=1,1,0),0)</f>
        <v>0</v>
      </c>
    </row>
    <row r="34" spans="1:7" x14ac:dyDescent="0.25">
      <c r="A34" s="76" t="str">
        <f>IF(Liste_Materiel!A34="","","SPK - "&amp;Liste_Materiel!A34)</f>
        <v>SPK - Collecteur 3</v>
      </c>
      <c r="B34" s="76" t="str">
        <f>Liste_Materiel!B34</f>
        <v>Non trouvé - vérifier</v>
      </c>
      <c r="C34" s="76" t="str">
        <f>Liste_Materiel!C34</f>
        <v/>
      </c>
      <c r="D34" s="78">
        <f>Liste_Materiel!D34</f>
        <v>0</v>
      </c>
      <c r="E34" s="76" t="str">
        <f>Liste_Materiel!E34</f>
        <v>ml</v>
      </c>
      <c r="F34" s="76" t="str">
        <f t="shared" si="0"/>
        <v/>
      </c>
      <c r="G34" s="76">
        <f>IF(AND(B34&lt;&gt;"",B34&lt;&gt;"Non trouvé - vérifier",D34&lt;&gt;"",D34&lt;&gt;0),IF(COUNTIF($B$2:B34,B34)=1,1,0),0)</f>
        <v>0</v>
      </c>
    </row>
    <row r="35" spans="1:7" x14ac:dyDescent="0.25">
      <c r="A35" s="76" t="str">
        <f>IF(Liste_Materiel!A35="","","SPK - "&amp;Liste_Materiel!A35)</f>
        <v>SPK - Collecteur 3</v>
      </c>
      <c r="B35" s="76" t="str">
        <f>Liste_Materiel!B35</f>
        <v>Non trouvé - vérifier</v>
      </c>
      <c r="C35" s="76" t="str">
        <f>Liste_Materiel!C35</f>
        <v/>
      </c>
      <c r="D35" s="78">
        <f>Liste_Materiel!D35</f>
        <v>0</v>
      </c>
      <c r="E35" s="76" t="str">
        <f>Liste_Materiel!E35</f>
        <v>pce</v>
      </c>
      <c r="F35" s="76" t="str">
        <f t="shared" si="0"/>
        <v/>
      </c>
      <c r="G35" s="76">
        <f>IF(AND(B35&lt;&gt;"",B35&lt;&gt;"Non trouvé - vérifier",D35&lt;&gt;"",D35&lt;&gt;0),IF(COUNTIF($B$2:B35,B35)=1,1,0),0)</f>
        <v>0</v>
      </c>
    </row>
    <row r="36" spans="1:7" x14ac:dyDescent="0.25">
      <c r="A36" s="76" t="str">
        <f>IF(Liste_Materiel!A36="","","SPK - "&amp;Liste_Materiel!A36)</f>
        <v>SPK - Collecteur 3</v>
      </c>
      <c r="B36" s="76" t="str">
        <f>Liste_Materiel!B36</f>
        <v>Non trouvé - vérifier</v>
      </c>
      <c r="C36" s="76" t="str">
        <f>Liste_Materiel!C36</f>
        <v/>
      </c>
      <c r="D36" s="76">
        <f>Liste_Materiel!D36</f>
        <v>1</v>
      </c>
      <c r="E36" s="76" t="str">
        <f>Liste_Materiel!E36</f>
        <v>pce</v>
      </c>
      <c r="F36" s="76" t="str">
        <f t="shared" si="0"/>
        <v/>
      </c>
      <c r="G36" s="76">
        <f>IF(AND(B36&lt;&gt;"",B36&lt;&gt;"Non trouvé - vérifier",D36&lt;&gt;"",D36&lt;&gt;0),IF(COUNTIF($B$2:B36,B36)=1,1,0),0)</f>
        <v>0</v>
      </c>
    </row>
    <row r="37" spans="1:7" x14ac:dyDescent="0.25">
      <c r="A37" s="76" t="str">
        <f>IF(Liste_Materiel!A37="","","SPK - "&amp;Liste_Materiel!A37)</f>
        <v>SPK - Collecteur 3</v>
      </c>
      <c r="B37" s="76" t="str">
        <f>Liste_Materiel!B37</f>
        <v>Non trouvé - vérifier</v>
      </c>
      <c r="C37" s="76" t="str">
        <f>Liste_Materiel!C37</f>
        <v/>
      </c>
      <c r="D37" s="76">
        <f>Liste_Materiel!D37</f>
        <v>0</v>
      </c>
      <c r="E37" s="76" t="str">
        <f>Liste_Materiel!E37</f>
        <v>pce</v>
      </c>
      <c r="F37" s="76" t="str">
        <f t="shared" si="0"/>
        <v/>
      </c>
      <c r="G37" s="76">
        <f>IF(AND(B37&lt;&gt;"",B37&lt;&gt;"Non trouvé - vérifier",D37&lt;&gt;"",D37&lt;&gt;0),IF(COUNTIF($B$2:B37,B37)=1,1,0),0)</f>
        <v>0</v>
      </c>
    </row>
    <row r="38" spans="1:7" x14ac:dyDescent="0.25">
      <c r="A38" s="76" t="str">
        <f>IF(Liste_Materiel!A38="","","SPK - "&amp;Liste_Materiel!A38)</f>
        <v>SPK - Collecteur 3 - Support 1</v>
      </c>
      <c r="B38" s="76" t="str">
        <f>Liste_Materiel!B38</f>
        <v/>
      </c>
      <c r="C38" s="76" t="str">
        <f>Liste_Materiel!C38</f>
        <v/>
      </c>
      <c r="D38" s="76" t="str">
        <f>Liste_Materiel!D38</f>
        <v/>
      </c>
      <c r="E38" s="76" t="str">
        <f>Liste_Materiel!E38</f>
        <v>pce/m</v>
      </c>
      <c r="F38" s="76" t="str">
        <f t="shared" si="0"/>
        <v/>
      </c>
      <c r="G38" s="76">
        <f>IF(AND(B38&lt;&gt;"",B38&lt;&gt;"Non trouvé - vérifier",D38&lt;&gt;"",D38&lt;&gt;0),IF(COUNTIF($B$2:B38,B38)=1,1,0),0)</f>
        <v>0</v>
      </c>
    </row>
    <row r="39" spans="1:7" x14ac:dyDescent="0.25">
      <c r="A39" s="76" t="str">
        <f>IF(Liste_Materiel!A39="","","SPK - "&amp;Liste_Materiel!A39)</f>
        <v>SPK - Collecteur 3 - Support 1</v>
      </c>
      <c r="B39" s="76" t="str">
        <f>Liste_Materiel!B39</f>
        <v/>
      </c>
      <c r="C39" s="76" t="str">
        <f>Liste_Materiel!C39</f>
        <v/>
      </c>
      <c r="D39" s="76" t="str">
        <f>Liste_Materiel!D39</f>
        <v/>
      </c>
      <c r="E39" s="76" t="str">
        <f>Liste_Materiel!E39</f>
        <v>pce/m</v>
      </c>
      <c r="F39" s="76" t="str">
        <f t="shared" si="0"/>
        <v/>
      </c>
      <c r="G39" s="76">
        <f>IF(AND(B39&lt;&gt;"",B39&lt;&gt;"Non trouvé - vérifier",D39&lt;&gt;"",D39&lt;&gt;0),IF(COUNTIF($B$2:B39,B39)=1,1,0),0)</f>
        <v>0</v>
      </c>
    </row>
    <row r="40" spans="1:7" x14ac:dyDescent="0.25">
      <c r="A40" s="76" t="str">
        <f>IF(Liste_Materiel!A40="","","SPK - "&amp;Liste_Materiel!A40)</f>
        <v>SPK - Collecteur 3 - Support 1</v>
      </c>
      <c r="B40" s="76" t="str">
        <f>Liste_Materiel!B40</f>
        <v/>
      </c>
      <c r="C40" s="76" t="str">
        <f>Liste_Materiel!C40</f>
        <v/>
      </c>
      <c r="D40" s="76" t="str">
        <f>Liste_Materiel!D40</f>
        <v/>
      </c>
      <c r="E40" s="76" t="str">
        <f>Liste_Materiel!E40</f>
        <v>pce/m</v>
      </c>
      <c r="F40" s="76" t="str">
        <f t="shared" si="0"/>
        <v/>
      </c>
      <c r="G40" s="76">
        <f>IF(AND(B40&lt;&gt;"",B40&lt;&gt;"Non trouvé - vérifier",D40&lt;&gt;"",D40&lt;&gt;0),IF(COUNTIF($B$2:B40,B40)=1,1,0),0)</f>
        <v>0</v>
      </c>
    </row>
    <row r="41" spans="1:7" x14ac:dyDescent="0.25">
      <c r="A41" s="76" t="str">
        <f>IF(Liste_Materiel!A41="","","SPK - "&amp;Liste_Materiel!A41)</f>
        <v>SPK - Collecteur 3 - Support 1</v>
      </c>
      <c r="B41" s="76" t="str">
        <f>Liste_Materiel!B41</f>
        <v/>
      </c>
      <c r="C41" s="76" t="str">
        <f>Liste_Materiel!C41</f>
        <v/>
      </c>
      <c r="D41" s="76" t="str">
        <f>Liste_Materiel!D41</f>
        <v/>
      </c>
      <c r="E41" s="76" t="str">
        <f>Liste_Materiel!E41</f>
        <v>pce/m</v>
      </c>
      <c r="F41" s="76" t="str">
        <f t="shared" si="0"/>
        <v/>
      </c>
      <c r="G41" s="76">
        <f>IF(AND(B41&lt;&gt;"",B41&lt;&gt;"Non trouvé - vérifier",D41&lt;&gt;"",D41&lt;&gt;0),IF(COUNTIF($B$2:B41,B41)=1,1,0),0)</f>
        <v>0</v>
      </c>
    </row>
    <row r="42" spans="1:7" x14ac:dyDescent="0.25">
      <c r="A42" s="76" t="str">
        <f>IF(Liste_Materiel!A42="","","SPK - "&amp;Liste_Materiel!A42)</f>
        <v>SPK - Collecteur 3 - Support 1</v>
      </c>
      <c r="B42" s="76" t="str">
        <f>Liste_Materiel!B42</f>
        <v/>
      </c>
      <c r="C42" s="76" t="str">
        <f>Liste_Materiel!C42</f>
        <v/>
      </c>
      <c r="D42" s="76" t="str">
        <f>Liste_Materiel!D42</f>
        <v/>
      </c>
      <c r="E42" s="76" t="str">
        <f>Liste_Materiel!E42</f>
        <v>pce/m</v>
      </c>
      <c r="F42" s="76" t="str">
        <f t="shared" si="0"/>
        <v/>
      </c>
      <c r="G42" s="76">
        <f>IF(AND(B42&lt;&gt;"",B42&lt;&gt;"Non trouvé - vérifier",D42&lt;&gt;"",D42&lt;&gt;0),IF(COUNTIF($B$2:B42,B42)=1,1,0),0)</f>
        <v>0</v>
      </c>
    </row>
    <row r="43" spans="1:7" x14ac:dyDescent="0.25">
      <c r="A43" s="76" t="str">
        <f>IF(Liste_Materiel!A43="","","SPK - "&amp;Liste_Materiel!A43)</f>
        <v>SPK - Collecteur 3 - Support 1</v>
      </c>
      <c r="B43" s="76" t="str">
        <f>Liste_Materiel!B43</f>
        <v/>
      </c>
      <c r="C43" s="76" t="str">
        <f>Liste_Materiel!C43</f>
        <v/>
      </c>
      <c r="D43" s="76" t="str">
        <f>Liste_Materiel!D43</f>
        <v/>
      </c>
      <c r="E43" s="76" t="str">
        <f>Liste_Materiel!E43</f>
        <v>pce/m</v>
      </c>
      <c r="F43" s="76" t="str">
        <f t="shared" si="0"/>
        <v/>
      </c>
      <c r="G43" s="76">
        <f>IF(AND(B43&lt;&gt;"",B43&lt;&gt;"Non trouvé - vérifier",D43&lt;&gt;"",D43&lt;&gt;0),IF(COUNTIF($B$2:B43,B43)=1,1,0),0)</f>
        <v>0</v>
      </c>
    </row>
    <row r="44" spans="1:7" x14ac:dyDescent="0.25">
      <c r="A44" s="76" t="str">
        <f>IF(Liste_Materiel!A44="","","SPK - "&amp;Liste_Materiel!A44)</f>
        <v>SPK - Collecteur 3 - Support 2</v>
      </c>
      <c r="B44" s="76" t="str">
        <f>Liste_Materiel!B44</f>
        <v/>
      </c>
      <c r="C44" s="76" t="str">
        <f>Liste_Materiel!C44</f>
        <v/>
      </c>
      <c r="D44" s="76" t="str">
        <f>Liste_Materiel!D44</f>
        <v/>
      </c>
      <c r="E44" s="76" t="str">
        <f>Liste_Materiel!E44</f>
        <v>pce/m</v>
      </c>
      <c r="F44" s="76" t="str">
        <f t="shared" si="0"/>
        <v/>
      </c>
      <c r="G44" s="76">
        <f>IF(AND(B44&lt;&gt;"",B44&lt;&gt;"Non trouvé - vérifier",D44&lt;&gt;"",D44&lt;&gt;0),IF(COUNTIF($B$2:B44,B44)=1,1,0),0)</f>
        <v>0</v>
      </c>
    </row>
    <row r="45" spans="1:7" x14ac:dyDescent="0.25">
      <c r="A45" s="76" t="str">
        <f>IF(Liste_Materiel!A45="","","SPK - "&amp;Liste_Materiel!A45)</f>
        <v>SPK - Collecteur 3 - Support 2</v>
      </c>
      <c r="B45" s="76" t="str">
        <f>Liste_Materiel!B45</f>
        <v/>
      </c>
      <c r="C45" s="76" t="str">
        <f>Liste_Materiel!C45</f>
        <v/>
      </c>
      <c r="D45" s="76" t="str">
        <f>Liste_Materiel!D45</f>
        <v/>
      </c>
      <c r="E45" s="76" t="str">
        <f>Liste_Materiel!E45</f>
        <v>pce/m</v>
      </c>
      <c r="F45" s="76" t="str">
        <f t="shared" si="0"/>
        <v/>
      </c>
      <c r="G45" s="76">
        <f>IF(AND(B45&lt;&gt;"",B45&lt;&gt;"Non trouvé - vérifier",D45&lt;&gt;"",D45&lt;&gt;0),IF(COUNTIF($B$2:B45,B45)=1,1,0),0)</f>
        <v>0</v>
      </c>
    </row>
    <row r="46" spans="1:7" x14ac:dyDescent="0.25">
      <c r="A46" s="76" t="str">
        <f>IF(Liste_Materiel!A46="","","SPK - "&amp;Liste_Materiel!A46)</f>
        <v>SPK - Collecteur 3 - Support 2</v>
      </c>
      <c r="B46" s="76" t="str">
        <f>Liste_Materiel!B46</f>
        <v/>
      </c>
      <c r="C46" s="76" t="str">
        <f>Liste_Materiel!C46</f>
        <v/>
      </c>
      <c r="D46" s="76" t="str">
        <f>Liste_Materiel!D46</f>
        <v/>
      </c>
      <c r="E46" s="76" t="str">
        <f>Liste_Materiel!E46</f>
        <v>pce/m</v>
      </c>
      <c r="F46" s="76" t="str">
        <f t="shared" si="0"/>
        <v/>
      </c>
      <c r="G46" s="76">
        <f>IF(AND(B46&lt;&gt;"",B46&lt;&gt;"Non trouvé - vérifier",D46&lt;&gt;"",D46&lt;&gt;0),IF(COUNTIF($B$2:B46,B46)=1,1,0),0)</f>
        <v>0</v>
      </c>
    </row>
    <row r="47" spans="1:7" x14ac:dyDescent="0.25">
      <c r="A47" s="76" t="str">
        <f>IF(Liste_Materiel!A47="","","SPK - "&amp;Liste_Materiel!A47)</f>
        <v>SPK - Collecteur 3 - Support 2</v>
      </c>
      <c r="B47" s="76" t="str">
        <f>Liste_Materiel!B47</f>
        <v/>
      </c>
      <c r="C47" s="76" t="str">
        <f>Liste_Materiel!C47</f>
        <v/>
      </c>
      <c r="D47" s="76" t="str">
        <f>Liste_Materiel!D47</f>
        <v/>
      </c>
      <c r="E47" s="76" t="str">
        <f>Liste_Materiel!E47</f>
        <v>pce/m</v>
      </c>
      <c r="F47" s="76" t="str">
        <f t="shared" si="0"/>
        <v/>
      </c>
      <c r="G47" s="76">
        <f>IF(AND(B47&lt;&gt;"",B47&lt;&gt;"Non trouvé - vérifier",D47&lt;&gt;"",D47&lt;&gt;0),IF(COUNTIF($B$2:B47,B47)=1,1,0),0)</f>
        <v>0</v>
      </c>
    </row>
    <row r="48" spans="1:7" x14ac:dyDescent="0.25">
      <c r="A48" s="76" t="str">
        <f>IF(Liste_Materiel!A48="","","SPK - "&amp;Liste_Materiel!A48)</f>
        <v>SPK - Collecteur 3 - Support 2</v>
      </c>
      <c r="B48" s="76" t="str">
        <f>Liste_Materiel!B48</f>
        <v/>
      </c>
      <c r="C48" s="76" t="str">
        <f>Liste_Materiel!C48</f>
        <v/>
      </c>
      <c r="D48" s="76" t="str">
        <f>Liste_Materiel!D48</f>
        <v/>
      </c>
      <c r="E48" s="76" t="str">
        <f>Liste_Materiel!E48</f>
        <v>pce/m</v>
      </c>
      <c r="F48" s="76" t="str">
        <f t="shared" si="0"/>
        <v/>
      </c>
      <c r="G48" s="76">
        <f>IF(AND(B48&lt;&gt;"",B48&lt;&gt;"Non trouvé - vérifier",D48&lt;&gt;"",D48&lt;&gt;0),IF(COUNTIF($B$2:B48,B48)=1,1,0),0)</f>
        <v>0</v>
      </c>
    </row>
    <row r="49" spans="1:7" x14ac:dyDescent="0.25">
      <c r="A49" s="76" t="str">
        <f>IF(Liste_Materiel!A49="","","SPK - "&amp;Liste_Materiel!A49)</f>
        <v>SPK - Collecteur 3 - Support 2</v>
      </c>
      <c r="B49" s="76" t="str">
        <f>Liste_Materiel!B49</f>
        <v/>
      </c>
      <c r="C49" s="76" t="str">
        <f>Liste_Materiel!C49</f>
        <v/>
      </c>
      <c r="D49" s="76" t="str">
        <f>Liste_Materiel!D49</f>
        <v/>
      </c>
      <c r="E49" s="76" t="str">
        <f>Liste_Materiel!E49</f>
        <v>pce/m</v>
      </c>
      <c r="F49" s="76" t="str">
        <f t="shared" si="0"/>
        <v/>
      </c>
      <c r="G49" s="76">
        <f>IF(AND(B49&lt;&gt;"",B49&lt;&gt;"Non trouvé - vérifier",D49&lt;&gt;"",D49&lt;&gt;0),IF(COUNTIF($B$2:B49,B49)=1,1,0),0)</f>
        <v>0</v>
      </c>
    </row>
    <row r="50" spans="1:7" x14ac:dyDescent="0.25">
      <c r="A50" s="76" t="str">
        <f>IF(Liste_Materiel!A50="","","SPK - "&amp;Liste_Materiel!A50)</f>
        <v>SPK - Antenne 1</v>
      </c>
      <c r="B50" s="76" t="str">
        <f>Liste_Materiel!B50</f>
        <v>Non trouvé - vérifier</v>
      </c>
      <c r="C50" s="76" t="str">
        <f>Liste_Materiel!C50</f>
        <v/>
      </c>
      <c r="D50" s="76">
        <f>Liste_Materiel!D50</f>
        <v>0</v>
      </c>
      <c r="E50" s="76" t="str">
        <f>Liste_Materiel!E50</f>
        <v>ml</v>
      </c>
      <c r="F50" s="76" t="str">
        <f t="shared" si="0"/>
        <v/>
      </c>
      <c r="G50" s="76">
        <f>IF(AND(B50&lt;&gt;"",B50&lt;&gt;"Non trouvé - vérifier",D50&lt;&gt;"",D50&lt;&gt;0),IF(COUNTIF($B$2:B50,B50)=1,1,0),0)</f>
        <v>0</v>
      </c>
    </row>
    <row r="51" spans="1:7" x14ac:dyDescent="0.25">
      <c r="A51" s="76" t="str">
        <f>IF(Liste_Materiel!A51="","","SPK - "&amp;Liste_Materiel!A51)</f>
        <v>SPK - Antenne 1</v>
      </c>
      <c r="B51" s="76" t="str">
        <f>Liste_Materiel!B51</f>
        <v>Non trouvé - vérifier</v>
      </c>
      <c r="C51" s="76" t="str">
        <f>Liste_Materiel!C51</f>
        <v/>
      </c>
      <c r="D51" s="79">
        <f>Liste_Materiel!D51</f>
        <v>0</v>
      </c>
      <c r="E51" s="76" t="str">
        <f>Liste_Materiel!E51</f>
        <v>pce</v>
      </c>
      <c r="F51" s="76" t="str">
        <f t="shared" si="0"/>
        <v/>
      </c>
      <c r="G51" s="76">
        <f>IF(AND(B51&lt;&gt;"",B51&lt;&gt;"Non trouvé - vérifier",D51&lt;&gt;"",D51&lt;&gt;0),IF(COUNTIF($B$2:B51,B51)=1,1,0),0)</f>
        <v>0</v>
      </c>
    </row>
    <row r="52" spans="1:7" x14ac:dyDescent="0.25">
      <c r="A52" s="76" t="str">
        <f>IF(Liste_Materiel!A53="","","SPK - "&amp;Liste_Materiel!A53)</f>
        <v>SPK - Antenne 1</v>
      </c>
      <c r="B52" s="76" t="str">
        <f>Liste_Materiel!B53</f>
        <v>Non trouvé - vérifier</v>
      </c>
      <c r="C52" s="76" t="str">
        <f>Liste_Materiel!C53</f>
        <v/>
      </c>
      <c r="D52" s="76">
        <f>Liste_Materiel!D53</f>
        <v>0</v>
      </c>
      <c r="E52" s="76" t="str">
        <f>Liste_Materiel!E53</f>
        <v>pce</v>
      </c>
      <c r="F52" s="76" t="str">
        <f t="shared" si="0"/>
        <v/>
      </c>
      <c r="G52" s="76">
        <f>IF(AND(B52&lt;&gt;"",B52&lt;&gt;"Non trouvé - vérifier",D52&lt;&gt;"",D52&lt;&gt;0),IF(COUNTIF($B$2:B52,B52)=1,1,0),0)</f>
        <v>0</v>
      </c>
    </row>
    <row r="53" spans="1:7" x14ac:dyDescent="0.25">
      <c r="A53" s="76" t="str">
        <f>IF(Liste_Materiel!A54="","","SPK - "&amp;Liste_Materiel!A54)</f>
        <v>SPK - Antenne 1 - fin de ligne</v>
      </c>
      <c r="B53" s="76" t="str">
        <f>Liste_Materiel!B54</f>
        <v>Non trouvé - vérifier</v>
      </c>
      <c r="C53" s="76" t="str">
        <f>Liste_Materiel!C54</f>
        <v/>
      </c>
      <c r="D53" s="79">
        <f>Liste_Materiel!D54</f>
        <v>0</v>
      </c>
      <c r="E53" s="76" t="str">
        <f>Liste_Materiel!E54</f>
        <v>pce</v>
      </c>
      <c r="F53" s="76" t="str">
        <f t="shared" si="0"/>
        <v/>
      </c>
      <c r="G53" s="76">
        <f>IF(AND(B53&lt;&gt;"",B53&lt;&gt;"Non trouvé - vérifier",D53&lt;&gt;"",D53&lt;&gt;0),IF(COUNTIF($B$2:B53,B53)=1,1,0),0)</f>
        <v>0</v>
      </c>
    </row>
    <row r="54" spans="1:7" x14ac:dyDescent="0.25">
      <c r="A54" s="76" t="str">
        <f>IF(Liste_Materiel!A55="","","SPK - "&amp;Liste_Materiel!A55)</f>
        <v>SPK - Antenne 1 - fin de ligne (fond)</v>
      </c>
      <c r="B54" s="76" t="str">
        <f>Liste_Materiel!B55</f>
        <v>Non trouvé - vérifier</v>
      </c>
      <c r="C54" s="76" t="str">
        <f>Liste_Materiel!C55</f>
        <v/>
      </c>
      <c r="D54" s="79">
        <f>Liste_Materiel!D55</f>
        <v>0</v>
      </c>
      <c r="E54" s="76" t="str">
        <f>Liste_Materiel!E55</f>
        <v>pce</v>
      </c>
      <c r="F54" s="76" t="str">
        <f t="shared" si="0"/>
        <v/>
      </c>
      <c r="G54" s="76">
        <f>IF(AND(B54&lt;&gt;"",B54&lt;&gt;"Non trouvé - vérifier",D54&lt;&gt;"",D54&lt;&gt;0),IF(COUNTIF($B$2:B54,B54)=1,1,0),0)</f>
        <v>0</v>
      </c>
    </row>
    <row r="55" spans="1:7" x14ac:dyDescent="0.25">
      <c r="A55" s="76" t="str">
        <f>IF(Liste_Materiel!A56="","","SPK - "&amp;Liste_Materiel!A56)</f>
        <v>SPK - Toiture 1</v>
      </c>
      <c r="B55" s="76" t="str">
        <f>Liste_Materiel!B56</f>
        <v/>
      </c>
      <c r="C55" s="76" t="str">
        <f>Liste_Materiel!C56</f>
        <v/>
      </c>
      <c r="D55" s="76">
        <f>Liste_Materiel!D56</f>
        <v>0</v>
      </c>
      <c r="E55" s="76" t="str">
        <f>Liste_Materiel!E56</f>
        <v>pce</v>
      </c>
      <c r="F55" s="76" t="str">
        <f t="shared" si="0"/>
        <v/>
      </c>
      <c r="G55" s="76">
        <f>IF(AND(B55&lt;&gt;"",B55&lt;&gt;"Non trouvé - vérifier",D55&lt;&gt;"",D55&lt;&gt;0),IF(COUNTIF($B$2:B55,B55)=1,1,0),0)</f>
        <v>0</v>
      </c>
    </row>
    <row r="56" spans="1:7" x14ac:dyDescent="0.25">
      <c r="A56" s="76" t="str">
        <f>IF(Liste_Materiel!A57="","","SPK - "&amp;Liste_Materiel!A57)</f>
        <v>SPK - Toiture 1</v>
      </c>
      <c r="B56" s="76" t="str">
        <f>Liste_Materiel!B57</f>
        <v/>
      </c>
      <c r="C56" s="76" t="str">
        <f>Liste_Materiel!C57</f>
        <v/>
      </c>
      <c r="D56" s="76">
        <f>Liste_Materiel!D57</f>
        <v>0</v>
      </c>
      <c r="E56" s="76" t="str">
        <f>Liste_Materiel!E57</f>
        <v>pce</v>
      </c>
      <c r="F56" s="76" t="str">
        <f t="shared" si="0"/>
        <v/>
      </c>
      <c r="G56" s="76">
        <f>IF(AND(B56&lt;&gt;"",B56&lt;&gt;"Non trouvé - vérifier",D56&lt;&gt;"",D56&lt;&gt;0),IF(COUNTIF($B$2:B56,B56)=1,1,0),0)</f>
        <v>0</v>
      </c>
    </row>
    <row r="57" spans="1:7" x14ac:dyDescent="0.25">
      <c r="A57" s="76" t="str">
        <f>IF(Liste_Materiel!A58="","","SPK - "&amp;Liste_Materiel!A58)</f>
        <v>SPK - TB Placo 1</v>
      </c>
      <c r="B57" s="76" t="str">
        <f>Liste_Materiel!B58</f>
        <v/>
      </c>
      <c r="C57" s="76" t="str">
        <f>Liste_Materiel!C58</f>
        <v/>
      </c>
      <c r="D57" s="78">
        <f>Liste_Materiel!D58</f>
        <v>0</v>
      </c>
      <c r="E57" s="76" t="str">
        <f>Liste_Materiel!E58</f>
        <v>pce</v>
      </c>
      <c r="F57" s="76" t="str">
        <f t="shared" si="0"/>
        <v/>
      </c>
      <c r="G57" s="76">
        <f>IF(AND(B57&lt;&gt;"",B57&lt;&gt;"Non trouvé - vérifier",D57&lt;&gt;"",D57&lt;&gt;0),IF(COUNTIF($B$2:B57,B57)=1,1,0),0)</f>
        <v>0</v>
      </c>
    </row>
    <row r="58" spans="1:7" x14ac:dyDescent="0.25">
      <c r="A58" s="76" t="str">
        <f>IF(Liste_Materiel!A59="","","SPK - "&amp;Liste_Materiel!A59)</f>
        <v>SPK - TB Placo 1</v>
      </c>
      <c r="B58" s="76" t="str">
        <f>Liste_Materiel!B59</f>
        <v/>
      </c>
      <c r="C58" s="76" t="str">
        <f>Liste_Materiel!C59</f>
        <v/>
      </c>
      <c r="D58" s="76">
        <f>Liste_Materiel!D59</f>
        <v>0</v>
      </c>
      <c r="E58" s="76" t="str">
        <f>Liste_Materiel!E59</f>
        <v>ml</v>
      </c>
      <c r="F58" s="76" t="str">
        <f t="shared" si="0"/>
        <v/>
      </c>
      <c r="G58" s="76">
        <f>IF(AND(B58&lt;&gt;"",B58&lt;&gt;"Non trouvé - vérifier",D58&lt;&gt;"",D58&lt;&gt;0),IF(COUNTIF($B$2:B58,B58)=1,1,0),0)</f>
        <v>0</v>
      </c>
    </row>
    <row r="59" spans="1:7" x14ac:dyDescent="0.25">
      <c r="A59" s="76" t="str">
        <f>IF(Liste_Materiel!A60="","","SPK - "&amp;Liste_Materiel!A60)</f>
        <v>SPK - TB Placo 1</v>
      </c>
      <c r="B59" s="76" t="str">
        <f>Liste_Materiel!B60</f>
        <v/>
      </c>
      <c r="C59" s="76" t="str">
        <f>Liste_Materiel!C60</f>
        <v/>
      </c>
      <c r="D59" s="78">
        <f>Liste_Materiel!D60</f>
        <v>0</v>
      </c>
      <c r="E59" s="76" t="str">
        <f>Liste_Materiel!E60</f>
        <v>pce</v>
      </c>
      <c r="F59" s="76" t="str">
        <f t="shared" si="0"/>
        <v/>
      </c>
      <c r="G59" s="76">
        <f>IF(AND(B59&lt;&gt;"",B59&lt;&gt;"Non trouvé - vérifier",D59&lt;&gt;"",D59&lt;&gt;0),IF(COUNTIF($B$2:B59,B59)=1,1,0),0)</f>
        <v>0</v>
      </c>
    </row>
    <row r="60" spans="1:7" x14ac:dyDescent="0.25">
      <c r="A60" s="76" t="str">
        <f>IF(Liste_Materiel!A61="","","SPK - "&amp;Liste_Materiel!A61)</f>
        <v>SPK - TB Placo 1</v>
      </c>
      <c r="B60" s="76" t="str">
        <f>Liste_Materiel!B61</f>
        <v/>
      </c>
      <c r="C60" s="76" t="str">
        <f>Liste_Materiel!C61</f>
        <v/>
      </c>
      <c r="D60" s="78">
        <f>Liste_Materiel!D61</f>
        <v>0</v>
      </c>
      <c r="E60" s="76" t="str">
        <f>Liste_Materiel!E61</f>
        <v>pce</v>
      </c>
      <c r="F60" s="76" t="str">
        <f t="shared" si="0"/>
        <v/>
      </c>
      <c r="G60" s="76">
        <f>IF(AND(B60&lt;&gt;"",B60&lt;&gt;"Non trouvé - vérifier",D60&lt;&gt;"",D60&lt;&gt;0),IF(COUNTIF($B$2:B60,B60)=1,1,0),0)</f>
        <v>0</v>
      </c>
    </row>
    <row r="61" spans="1:7" x14ac:dyDescent="0.25">
      <c r="A61" s="76" t="str">
        <f>IF(Liste_Materiel!A62="","","SPK - "&amp;Liste_Materiel!A62)</f>
        <v>SPK - TB Placo 1</v>
      </c>
      <c r="B61" s="76" t="str">
        <f>Liste_Materiel!B62</f>
        <v/>
      </c>
      <c r="C61" s="76" t="str">
        <f>Liste_Materiel!C62</f>
        <v/>
      </c>
      <c r="D61" s="78">
        <f>Liste_Materiel!D62</f>
        <v>0</v>
      </c>
      <c r="E61" s="76" t="str">
        <f>Liste_Materiel!E62</f>
        <v>pce</v>
      </c>
      <c r="F61" s="76" t="str">
        <f t="shared" si="0"/>
        <v/>
      </c>
      <c r="G61" s="76">
        <f>IF(AND(B61&lt;&gt;"",B61&lt;&gt;"Non trouvé - vérifier",D61&lt;&gt;"",D61&lt;&gt;0),IF(COUNTIF($B$2:B61,B61)=1,1,0),0)</f>
        <v>0</v>
      </c>
    </row>
    <row r="62" spans="1:7" x14ac:dyDescent="0.25">
      <c r="A62" s="76" t="str">
        <f>IF(Liste_Materiel!A63="","","SPK - "&amp;Liste_Materiel!A63)</f>
        <v>SPK - TB Placo 1</v>
      </c>
      <c r="B62" s="76" t="str">
        <f>Liste_Materiel!B63</f>
        <v/>
      </c>
      <c r="C62" s="76" t="str">
        <f>Liste_Materiel!C63</f>
        <v/>
      </c>
      <c r="D62" s="78">
        <f>Liste_Materiel!D63</f>
        <v>0</v>
      </c>
      <c r="E62" s="76" t="str">
        <f>Liste_Materiel!E63</f>
        <v>pce</v>
      </c>
      <c r="F62" s="76" t="str">
        <f t="shared" si="0"/>
        <v/>
      </c>
      <c r="G62" s="76">
        <f>IF(AND(B62&lt;&gt;"",B62&lt;&gt;"Non trouvé - vérifier",D62&lt;&gt;"",D62&lt;&gt;0),IF(COUNTIF($B$2:B62,B62)=1,1,0),0)</f>
        <v>0</v>
      </c>
    </row>
    <row r="63" spans="1:7" x14ac:dyDescent="0.25">
      <c r="A63" s="76" t="str">
        <f>IF(Liste_Materiel!A64="","","SPK - "&amp;Liste_Materiel!A64)</f>
        <v>SPK - TB Faux plaf 1</v>
      </c>
      <c r="B63" s="76" t="str">
        <f>Liste_Materiel!B64</f>
        <v/>
      </c>
      <c r="C63" s="76" t="str">
        <f>Liste_Materiel!C64</f>
        <v/>
      </c>
      <c r="D63" s="76">
        <f>Liste_Materiel!D64</f>
        <v>0</v>
      </c>
      <c r="E63" s="76" t="str">
        <f>Liste_Materiel!E64</f>
        <v>pce</v>
      </c>
      <c r="F63" s="76" t="str">
        <f t="shared" si="0"/>
        <v/>
      </c>
      <c r="G63" s="76">
        <f>IF(AND(B63&lt;&gt;"",B63&lt;&gt;"Non trouvé - vérifier",D63&lt;&gt;"",D63&lt;&gt;0),IF(COUNTIF($B$2:B63,B63)=1,1,0),0)</f>
        <v>0</v>
      </c>
    </row>
    <row r="64" spans="1:7" x14ac:dyDescent="0.25">
      <c r="A64" s="76" t="str">
        <f>IF(Liste_Materiel!A65="","","SPK - "&amp;Liste_Materiel!A65)</f>
        <v>SPK - TB Faux plaf 1</v>
      </c>
      <c r="B64" s="76" t="str">
        <f>Liste_Materiel!B65</f>
        <v/>
      </c>
      <c r="C64" s="76" t="str">
        <f>Liste_Materiel!C65</f>
        <v/>
      </c>
      <c r="D64" s="76">
        <f>Liste_Materiel!D65</f>
        <v>0</v>
      </c>
      <c r="E64" s="76" t="str">
        <f>Liste_Materiel!E65</f>
        <v>pce</v>
      </c>
      <c r="F64" s="76" t="str">
        <f t="shared" si="0"/>
        <v/>
      </c>
      <c r="G64" s="76">
        <f>IF(AND(B64&lt;&gt;"",B64&lt;&gt;"Non trouvé - vérifier",D64&lt;&gt;"",D64&lt;&gt;0),IF(COUNTIF($B$2:B64,B64)=1,1,0),0)</f>
        <v>0</v>
      </c>
    </row>
    <row r="65" spans="1:7" x14ac:dyDescent="0.25">
      <c r="A65" s="76" t="str">
        <f>IF(Liste_Materiel!A66="","","SPK - "&amp;Liste_Materiel!A66)</f>
        <v>SPK - TB Faux plaf 1</v>
      </c>
      <c r="B65" s="76" t="str">
        <f>Liste_Materiel!B66</f>
        <v/>
      </c>
      <c r="C65" s="76" t="str">
        <f>Liste_Materiel!C66</f>
        <v/>
      </c>
      <c r="D65" s="76">
        <f>Liste_Materiel!D66</f>
        <v>0</v>
      </c>
      <c r="E65" s="76" t="str">
        <f>Liste_Materiel!E66</f>
        <v>pce</v>
      </c>
      <c r="F65" s="76" t="str">
        <f t="shared" si="0"/>
        <v/>
      </c>
      <c r="G65" s="76">
        <f>IF(AND(B65&lt;&gt;"",B65&lt;&gt;"Non trouvé - vérifier",D65&lt;&gt;"",D65&lt;&gt;0),IF(COUNTIF($B$2:B65,B65)=1,1,0),0)</f>
        <v>0</v>
      </c>
    </row>
    <row r="66" spans="1:7" x14ac:dyDescent="0.25">
      <c r="A66" s="76" t="str">
        <f>IF(Liste_Materiel!A67="","","SPK - "&amp;Liste_Materiel!A67)</f>
        <v>SPK - TB Faux plaf 1</v>
      </c>
      <c r="B66" s="76" t="str">
        <f>Liste_Materiel!B67</f>
        <v/>
      </c>
      <c r="C66" s="76" t="str">
        <f>Liste_Materiel!C67</f>
        <v/>
      </c>
      <c r="D66" s="76">
        <f>Liste_Materiel!D67</f>
        <v>0</v>
      </c>
      <c r="E66" s="76" t="str">
        <f>Liste_Materiel!E67</f>
        <v>pce</v>
      </c>
      <c r="F66" s="76" t="str">
        <f t="shared" ref="F66:F129" si="1">IF(AND(B66&lt;&gt;"",B66&lt;&gt;"Non trouvé - vérifier",D66&lt;&gt;"",D66&lt;&gt;0),SUMIF($B$2:$B$426,B66,$D$2:$D$426),"")</f>
        <v/>
      </c>
      <c r="G66" s="76">
        <f>IF(AND(B66&lt;&gt;"",B66&lt;&gt;"Non trouvé - vérifier",D66&lt;&gt;"",D66&lt;&gt;0),IF(COUNTIF($B$2:B66,B66)=1,1,0),0)</f>
        <v>0</v>
      </c>
    </row>
    <row r="67" spans="1:7" x14ac:dyDescent="0.25">
      <c r="A67" s="76" t="str">
        <f>IF(Liste_Materiel!A68="","","SPK - "&amp;Liste_Materiel!A68)</f>
        <v>SPK - TB Labo 1</v>
      </c>
      <c r="B67" s="76" t="str">
        <f>Liste_Materiel!B68</f>
        <v/>
      </c>
      <c r="C67" s="76" t="str">
        <f>Liste_Materiel!C68</f>
        <v/>
      </c>
      <c r="D67" s="76">
        <f>Liste_Materiel!D68</f>
        <v>0</v>
      </c>
      <c r="E67" s="76" t="str">
        <f>Liste_Materiel!E68</f>
        <v>pce</v>
      </c>
      <c r="F67" s="76" t="str">
        <f t="shared" si="1"/>
        <v/>
      </c>
      <c r="G67" s="76">
        <f>IF(AND(B67&lt;&gt;"",B67&lt;&gt;"Non trouvé - vérifier",D67&lt;&gt;"",D67&lt;&gt;0),IF(COUNTIF($B$2:B67,B67)=1,1,0),0)</f>
        <v>0</v>
      </c>
    </row>
    <row r="68" spans="1:7" x14ac:dyDescent="0.25">
      <c r="A68" s="76" t="str">
        <f>IF(Liste_Materiel!A69="","","SPK - "&amp;Liste_Materiel!A69)</f>
        <v>SPK - TB Labo 1</v>
      </c>
      <c r="B68" s="76" t="str">
        <f>Liste_Materiel!B69</f>
        <v/>
      </c>
      <c r="C68" s="76" t="str">
        <f>Liste_Materiel!C69</f>
        <v/>
      </c>
      <c r="D68" s="76">
        <f>Liste_Materiel!D69</f>
        <v>0</v>
      </c>
      <c r="E68" s="76" t="str">
        <f>Liste_Materiel!E69</f>
        <v>pce</v>
      </c>
      <c r="F68" s="76" t="str">
        <f t="shared" si="1"/>
        <v/>
      </c>
      <c r="G68" s="76">
        <f>IF(AND(B68&lt;&gt;"",B68&lt;&gt;"Non trouvé - vérifier",D68&lt;&gt;"",D68&lt;&gt;0),IF(COUNTIF($B$2:B68,B68)=1,1,0),0)</f>
        <v>0</v>
      </c>
    </row>
    <row r="69" spans="1:7" x14ac:dyDescent="0.25">
      <c r="A69" s="76" t="str">
        <f>IF(Liste_Materiel!A70="","","SPK - "&amp;Liste_Materiel!A70)</f>
        <v>SPK - TB Labo 1</v>
      </c>
      <c r="B69" s="76" t="str">
        <f>Liste_Materiel!B70</f>
        <v/>
      </c>
      <c r="C69" s="76" t="str">
        <f>Liste_Materiel!C70</f>
        <v/>
      </c>
      <c r="D69" s="76">
        <f>Liste_Materiel!D70</f>
        <v>0</v>
      </c>
      <c r="E69" s="76" t="str">
        <f>Liste_Materiel!E70</f>
        <v>pce</v>
      </c>
      <c r="F69" s="76" t="str">
        <f t="shared" si="1"/>
        <v/>
      </c>
      <c r="G69" s="76">
        <f>IF(AND(B69&lt;&gt;"",B69&lt;&gt;"Non trouvé - vérifier",D69&lt;&gt;"",D69&lt;&gt;0),IF(COUNTIF($B$2:B69,B69)=1,1,0),0)</f>
        <v>0</v>
      </c>
    </row>
    <row r="70" spans="1:7" x14ac:dyDescent="0.25">
      <c r="A70" s="76" t="str">
        <f>IF(Liste_Materiel!A71="","","SPK - "&amp;Liste_Materiel!A71)</f>
        <v>SPK - TB Labo 1</v>
      </c>
      <c r="B70" s="76" t="str">
        <f>Liste_Materiel!B71</f>
        <v/>
      </c>
      <c r="C70" s="76" t="str">
        <f>Liste_Materiel!C71</f>
        <v/>
      </c>
      <c r="D70" s="76">
        <f>Liste_Materiel!D71</f>
        <v>0</v>
      </c>
      <c r="E70" s="76" t="str">
        <f>Liste_Materiel!E71</f>
        <v>pce</v>
      </c>
      <c r="F70" s="76" t="str">
        <f t="shared" si="1"/>
        <v/>
      </c>
      <c r="G70" s="76">
        <f>IF(AND(B70&lt;&gt;"",B70&lt;&gt;"Non trouvé - vérifier",D70&lt;&gt;"",D70&lt;&gt;0),IF(COUNTIF($B$2:B70,B70)=1,1,0),0)</f>
        <v>0</v>
      </c>
    </row>
    <row r="71" spans="1:7" x14ac:dyDescent="0.25">
      <c r="A71" s="76" t="str">
        <f>IF(Liste_Materiel!A72="","","SPK - "&amp;Liste_Materiel!A72)</f>
        <v>SPK - Tête sprinkler 1</v>
      </c>
      <c r="B71" s="76" t="str">
        <f>Liste_Materiel!B72</f>
        <v>Non trouvé - vérifier</v>
      </c>
      <c r="C71" s="76" t="str">
        <f>Liste_Materiel!C72</f>
        <v/>
      </c>
      <c r="D71" s="78">
        <f>Liste_Materiel!D72</f>
        <v>0</v>
      </c>
      <c r="E71" s="76" t="str">
        <f>Liste_Materiel!E72</f>
        <v>pce</v>
      </c>
      <c r="F71" s="76" t="str">
        <f t="shared" si="1"/>
        <v/>
      </c>
      <c r="G71" s="76">
        <f>IF(AND(B71&lt;&gt;"",B71&lt;&gt;"Non trouvé - vérifier",D71&lt;&gt;"",D71&lt;&gt;0),IF(COUNTIF($B$2:B71,B71)=1,1,0),0)</f>
        <v>0</v>
      </c>
    </row>
    <row r="72" spans="1:7" x14ac:dyDescent="0.25">
      <c r="A72" s="76" t="str">
        <f>IF(Liste_Materiel!A73="","","SPK - "&amp;Liste_Materiel!A73)</f>
        <v>SPK - Antenne 1 - Support 1</v>
      </c>
      <c r="B72" s="76" t="str">
        <f>Liste_Materiel!B73</f>
        <v/>
      </c>
      <c r="C72" s="76" t="str">
        <f>Liste_Materiel!C73</f>
        <v/>
      </c>
      <c r="D72" s="76" t="str">
        <f>Liste_Materiel!D73</f>
        <v/>
      </c>
      <c r="E72" s="76" t="str">
        <f>Liste_Materiel!E73</f>
        <v>pce/m</v>
      </c>
      <c r="F72" s="76" t="str">
        <f t="shared" si="1"/>
        <v/>
      </c>
      <c r="G72" s="76">
        <f>IF(AND(B72&lt;&gt;"",B72&lt;&gt;"Non trouvé - vérifier",D72&lt;&gt;"",D72&lt;&gt;0),IF(COUNTIF($B$2:B72,B72)=1,1,0),0)</f>
        <v>0</v>
      </c>
    </row>
    <row r="73" spans="1:7" x14ac:dyDescent="0.25">
      <c r="A73" s="76" t="str">
        <f>IF(Liste_Materiel!A74="","","SPK - "&amp;Liste_Materiel!A74)</f>
        <v>SPK - Antenne 1 - Support 1</v>
      </c>
      <c r="B73" s="76" t="str">
        <f>Liste_Materiel!B74</f>
        <v/>
      </c>
      <c r="C73" s="76" t="str">
        <f>Liste_Materiel!C74</f>
        <v/>
      </c>
      <c r="D73" s="76" t="str">
        <f>Liste_Materiel!D74</f>
        <v/>
      </c>
      <c r="E73" s="76" t="str">
        <f>Liste_Materiel!E74</f>
        <v>pce/m</v>
      </c>
      <c r="F73" s="76" t="str">
        <f t="shared" si="1"/>
        <v/>
      </c>
      <c r="G73" s="76">
        <f>IF(AND(B73&lt;&gt;"",B73&lt;&gt;"Non trouvé - vérifier",D73&lt;&gt;"",D73&lt;&gt;0),IF(COUNTIF($B$2:B73,B73)=1,1,0),0)</f>
        <v>0</v>
      </c>
    </row>
    <row r="74" spans="1:7" x14ac:dyDescent="0.25">
      <c r="A74" s="76" t="str">
        <f>IF(Liste_Materiel!A75="","","SPK - "&amp;Liste_Materiel!A75)</f>
        <v>SPK - Antenne 1 - Support 1</v>
      </c>
      <c r="B74" s="76" t="str">
        <f>Liste_Materiel!B75</f>
        <v/>
      </c>
      <c r="C74" s="76" t="str">
        <f>Liste_Materiel!C75</f>
        <v/>
      </c>
      <c r="D74" s="76" t="str">
        <f>Liste_Materiel!D75</f>
        <v/>
      </c>
      <c r="E74" s="76" t="str">
        <f>Liste_Materiel!E75</f>
        <v>pce/m</v>
      </c>
      <c r="F74" s="76" t="str">
        <f t="shared" si="1"/>
        <v/>
      </c>
      <c r="G74" s="76">
        <f>IF(AND(B74&lt;&gt;"",B74&lt;&gt;"Non trouvé - vérifier",D74&lt;&gt;"",D74&lt;&gt;0),IF(COUNTIF($B$2:B74,B74)=1,1,0),0)</f>
        <v>0</v>
      </c>
    </row>
    <row r="75" spans="1:7" x14ac:dyDescent="0.25">
      <c r="A75" s="76" t="str">
        <f>IF(Liste_Materiel!A76="","","SPK - "&amp;Liste_Materiel!A76)</f>
        <v>SPK - Antenne 1 - Support 1</v>
      </c>
      <c r="B75" s="76" t="str">
        <f>Liste_Materiel!B76</f>
        <v/>
      </c>
      <c r="C75" s="76" t="str">
        <f>Liste_Materiel!C76</f>
        <v/>
      </c>
      <c r="D75" s="76" t="str">
        <f>Liste_Materiel!D76</f>
        <v/>
      </c>
      <c r="E75" s="76" t="str">
        <f>Liste_Materiel!E76</f>
        <v>pce/m</v>
      </c>
      <c r="F75" s="76" t="str">
        <f t="shared" si="1"/>
        <v/>
      </c>
      <c r="G75" s="76">
        <f>IF(AND(B75&lt;&gt;"",B75&lt;&gt;"Non trouvé - vérifier",D75&lt;&gt;"",D75&lt;&gt;0),IF(COUNTIF($B$2:B75,B75)=1,1,0),0)</f>
        <v>0</v>
      </c>
    </row>
    <row r="76" spans="1:7" x14ac:dyDescent="0.25">
      <c r="A76" s="76" t="str">
        <f>IF(Liste_Materiel!A77="","","SPK - "&amp;Liste_Materiel!A77)</f>
        <v>SPK - Antenne 1 - Support 1</v>
      </c>
      <c r="B76" s="76" t="str">
        <f>Liste_Materiel!B77</f>
        <v/>
      </c>
      <c r="C76" s="76" t="str">
        <f>Liste_Materiel!C77</f>
        <v/>
      </c>
      <c r="D76" s="76" t="str">
        <f>Liste_Materiel!D77</f>
        <v/>
      </c>
      <c r="E76" s="76" t="str">
        <f>Liste_Materiel!E77</f>
        <v>pce/m</v>
      </c>
      <c r="F76" s="76" t="str">
        <f t="shared" si="1"/>
        <v/>
      </c>
      <c r="G76" s="76">
        <f>IF(AND(B76&lt;&gt;"",B76&lt;&gt;"Non trouvé - vérifier",D76&lt;&gt;"",D76&lt;&gt;0),IF(COUNTIF($B$2:B76,B76)=1,1,0),0)</f>
        <v>0</v>
      </c>
    </row>
    <row r="77" spans="1:7" x14ac:dyDescent="0.25">
      <c r="A77" s="76" t="str">
        <f>IF(Liste_Materiel!A78="","","SPK - "&amp;Liste_Materiel!A78)</f>
        <v>SPK - Antenne 1 - Support 1</v>
      </c>
      <c r="B77" s="76" t="str">
        <f>Liste_Materiel!B78</f>
        <v/>
      </c>
      <c r="C77" s="76" t="str">
        <f>Liste_Materiel!C78</f>
        <v/>
      </c>
      <c r="D77" s="76" t="str">
        <f>Liste_Materiel!D78</f>
        <v/>
      </c>
      <c r="E77" s="76" t="str">
        <f>Liste_Materiel!E78</f>
        <v>pce/m</v>
      </c>
      <c r="F77" s="76" t="str">
        <f t="shared" si="1"/>
        <v/>
      </c>
      <c r="G77" s="76">
        <f>IF(AND(B77&lt;&gt;"",B77&lt;&gt;"Non trouvé - vérifier",D77&lt;&gt;"",D77&lt;&gt;0),IF(COUNTIF($B$2:B77,B77)=1,1,0),0)</f>
        <v>0</v>
      </c>
    </row>
    <row r="78" spans="1:7" x14ac:dyDescent="0.25">
      <c r="A78" s="76" t="str">
        <f>IF(Liste_Materiel!A79="","","SPK - "&amp;Liste_Materiel!A79)</f>
        <v>SPK - Antenne 1 - Support 2</v>
      </c>
      <c r="B78" s="76" t="str">
        <f>Liste_Materiel!B79</f>
        <v/>
      </c>
      <c r="C78" s="76" t="str">
        <f>Liste_Materiel!C79</f>
        <v/>
      </c>
      <c r="D78" s="76" t="str">
        <f>Liste_Materiel!D79</f>
        <v/>
      </c>
      <c r="E78" s="76" t="str">
        <f>Liste_Materiel!E79</f>
        <v>pce/m</v>
      </c>
      <c r="F78" s="76" t="str">
        <f t="shared" si="1"/>
        <v/>
      </c>
      <c r="G78" s="76">
        <f>IF(AND(B78&lt;&gt;"",B78&lt;&gt;"Non trouvé - vérifier",D78&lt;&gt;"",D78&lt;&gt;0),IF(COUNTIF($B$2:B78,B78)=1,1,0),0)</f>
        <v>0</v>
      </c>
    </row>
    <row r="79" spans="1:7" x14ac:dyDescent="0.25">
      <c r="A79" s="76" t="str">
        <f>IF(Liste_Materiel!A80="","","SPK - "&amp;Liste_Materiel!A80)</f>
        <v>SPK - Antenne 1 - Support 2</v>
      </c>
      <c r="B79" s="76" t="str">
        <f>Liste_Materiel!B80</f>
        <v/>
      </c>
      <c r="C79" s="76" t="str">
        <f>Liste_Materiel!C80</f>
        <v/>
      </c>
      <c r="D79" s="76" t="str">
        <f>Liste_Materiel!D80</f>
        <v/>
      </c>
      <c r="E79" s="76" t="str">
        <f>Liste_Materiel!E80</f>
        <v>pce/m</v>
      </c>
      <c r="F79" s="76" t="str">
        <f t="shared" si="1"/>
        <v/>
      </c>
      <c r="G79" s="76">
        <f>IF(AND(B79&lt;&gt;"",B79&lt;&gt;"Non trouvé - vérifier",D79&lt;&gt;"",D79&lt;&gt;0),IF(COUNTIF($B$2:B79,B79)=1,1,0),0)</f>
        <v>0</v>
      </c>
    </row>
    <row r="80" spans="1:7" x14ac:dyDescent="0.25">
      <c r="A80" s="76" t="str">
        <f>IF(Liste_Materiel!A81="","","SPK - "&amp;Liste_Materiel!A81)</f>
        <v>SPK - Antenne 1 - Support 2</v>
      </c>
      <c r="B80" s="76" t="str">
        <f>Liste_Materiel!B81</f>
        <v/>
      </c>
      <c r="C80" s="76" t="str">
        <f>Liste_Materiel!C81</f>
        <v/>
      </c>
      <c r="D80" s="76" t="str">
        <f>Liste_Materiel!D81</f>
        <v/>
      </c>
      <c r="E80" s="76" t="str">
        <f>Liste_Materiel!E81</f>
        <v>pce/m</v>
      </c>
      <c r="F80" s="76" t="str">
        <f t="shared" si="1"/>
        <v/>
      </c>
      <c r="G80" s="76">
        <f>IF(AND(B80&lt;&gt;"",B80&lt;&gt;"Non trouvé - vérifier",D80&lt;&gt;"",D80&lt;&gt;0),IF(COUNTIF($B$2:B80,B80)=1,1,0),0)</f>
        <v>0</v>
      </c>
    </row>
    <row r="81" spans="1:7" x14ac:dyDescent="0.25">
      <c r="A81" s="76" t="str">
        <f>IF(Liste_Materiel!A82="","","SPK - "&amp;Liste_Materiel!A82)</f>
        <v>SPK - Antenne 1 - Support 2</v>
      </c>
      <c r="B81" s="76" t="str">
        <f>Liste_Materiel!B82</f>
        <v/>
      </c>
      <c r="C81" s="76" t="str">
        <f>Liste_Materiel!C82</f>
        <v/>
      </c>
      <c r="D81" s="76" t="str">
        <f>Liste_Materiel!D82</f>
        <v/>
      </c>
      <c r="E81" s="76" t="str">
        <f>Liste_Materiel!E82</f>
        <v>pce/m</v>
      </c>
      <c r="F81" s="76" t="str">
        <f t="shared" si="1"/>
        <v/>
      </c>
      <c r="G81" s="76">
        <f>IF(AND(B81&lt;&gt;"",B81&lt;&gt;"Non trouvé - vérifier",D81&lt;&gt;"",D81&lt;&gt;0),IF(COUNTIF($B$2:B81,B81)=1,1,0),0)</f>
        <v>0</v>
      </c>
    </row>
    <row r="82" spans="1:7" x14ac:dyDescent="0.25">
      <c r="A82" s="76" t="str">
        <f>IF(Liste_Materiel!A83="","","SPK - "&amp;Liste_Materiel!A83)</f>
        <v>SPK - Antenne 1 - Support 2</v>
      </c>
      <c r="B82" s="76" t="str">
        <f>Liste_Materiel!B83</f>
        <v/>
      </c>
      <c r="C82" s="76" t="str">
        <f>Liste_Materiel!C83</f>
        <v/>
      </c>
      <c r="D82" s="76" t="str">
        <f>Liste_Materiel!D83</f>
        <v/>
      </c>
      <c r="E82" s="76" t="str">
        <f>Liste_Materiel!E83</f>
        <v>pce/m</v>
      </c>
      <c r="F82" s="76" t="str">
        <f t="shared" si="1"/>
        <v/>
      </c>
      <c r="G82" s="76">
        <f>IF(AND(B82&lt;&gt;"",B82&lt;&gt;"Non trouvé - vérifier",D82&lt;&gt;"",D82&lt;&gt;0),IF(COUNTIF($B$2:B82,B82)=1,1,0),0)</f>
        <v>0</v>
      </c>
    </row>
    <row r="83" spans="1:7" x14ac:dyDescent="0.25">
      <c r="A83" s="76" t="str">
        <f>IF(Liste_Materiel!A84="","","SPK - "&amp;Liste_Materiel!A84)</f>
        <v>SPK - Antenne 1 - Support 2</v>
      </c>
      <c r="B83" s="76" t="str">
        <f>Liste_Materiel!B84</f>
        <v/>
      </c>
      <c r="C83" s="76" t="str">
        <f>Liste_Materiel!C84</f>
        <v/>
      </c>
      <c r="D83" s="76" t="str">
        <f>Liste_Materiel!D84</f>
        <v/>
      </c>
      <c r="E83" s="76" t="str">
        <f>Liste_Materiel!E84</f>
        <v>pce/m</v>
      </c>
      <c r="F83" s="76" t="str">
        <f t="shared" si="1"/>
        <v/>
      </c>
      <c r="G83" s="76">
        <f>IF(AND(B83&lt;&gt;"",B83&lt;&gt;"Non trouvé - vérifier",D83&lt;&gt;"",D83&lt;&gt;0),IF(COUNTIF($B$2:B83,B83)=1,1,0),0)</f>
        <v>0</v>
      </c>
    </row>
    <row r="84" spans="1:7" x14ac:dyDescent="0.25">
      <c r="A84" s="76" t="str">
        <f>IF(Liste_Materiel!A85="","","SPK - "&amp;Liste_Materiel!A85)</f>
        <v>SPK - Antenne 2</v>
      </c>
      <c r="B84" s="76" t="str">
        <f>Liste_Materiel!B85</f>
        <v>Non trouvé - vérifier</v>
      </c>
      <c r="C84" s="76" t="str">
        <f>Liste_Materiel!C85</f>
        <v/>
      </c>
      <c r="D84" s="76">
        <f>Liste_Materiel!D85</f>
        <v>0</v>
      </c>
      <c r="E84" s="76" t="str">
        <f>Liste_Materiel!E85</f>
        <v>ml</v>
      </c>
      <c r="F84" s="76" t="str">
        <f t="shared" si="1"/>
        <v/>
      </c>
      <c r="G84" s="76">
        <f>IF(AND(B84&lt;&gt;"",B84&lt;&gt;"Non trouvé - vérifier",D84&lt;&gt;"",D84&lt;&gt;0),IF(COUNTIF($B$2:B84,B84)=1,1,0),0)</f>
        <v>0</v>
      </c>
    </row>
    <row r="85" spans="1:7" x14ac:dyDescent="0.25">
      <c r="A85" s="76" t="str">
        <f>IF(Liste_Materiel!A87="","","SPK - "&amp;Liste_Materiel!A87)</f>
        <v>SPK - Antenne 2</v>
      </c>
      <c r="B85" s="76" t="str">
        <f>Liste_Materiel!B87</f>
        <v>Non trouvé - vérifier</v>
      </c>
      <c r="C85" s="76" t="str">
        <f>Liste_Materiel!C87</f>
        <v/>
      </c>
      <c r="D85" s="78">
        <f>Liste_Materiel!D87</f>
        <v>0</v>
      </c>
      <c r="E85" s="76" t="str">
        <f>Liste_Materiel!E87</f>
        <v>pce</v>
      </c>
      <c r="F85" s="76" t="str">
        <f t="shared" si="1"/>
        <v/>
      </c>
      <c r="G85" s="76">
        <f>IF(AND(B85&lt;&gt;"",B85&lt;&gt;"Non trouvé - vérifier",D85&lt;&gt;"",D85&lt;&gt;0),IF(COUNTIF($B$2:B85,B85)=1,1,0),0)</f>
        <v>0</v>
      </c>
    </row>
    <row r="86" spans="1:7" x14ac:dyDescent="0.25">
      <c r="A86" s="76" t="str">
        <f>IF(Liste_Materiel!A88="","","SPK - "&amp;Liste_Materiel!A88)</f>
        <v>SPK - Antenne 2</v>
      </c>
      <c r="B86" s="76" t="str">
        <f>Liste_Materiel!B88</f>
        <v>Non trouvé - vérifier</v>
      </c>
      <c r="C86" s="76" t="str">
        <f>Liste_Materiel!C88</f>
        <v/>
      </c>
      <c r="D86" s="76">
        <f>Liste_Materiel!D88</f>
        <v>0</v>
      </c>
      <c r="E86" s="76" t="str">
        <f>Liste_Materiel!E88</f>
        <v>pce</v>
      </c>
      <c r="F86" s="76" t="str">
        <f t="shared" si="1"/>
        <v/>
      </c>
      <c r="G86" s="76">
        <f>IF(AND(B86&lt;&gt;"",B86&lt;&gt;"Non trouvé - vérifier",D86&lt;&gt;"",D86&lt;&gt;0),IF(COUNTIF($B$2:B86,B86)=1,1,0),0)</f>
        <v>0</v>
      </c>
    </row>
    <row r="87" spans="1:7" x14ac:dyDescent="0.25">
      <c r="A87" s="76" t="str">
        <f>IF(Liste_Materiel!A89="","","SPK - "&amp;Liste_Materiel!A89)</f>
        <v>SPK - Antenne 2 - fin de ligne</v>
      </c>
      <c r="B87" s="76" t="str">
        <f>Liste_Materiel!B89</f>
        <v>Non trouvé - vérifier</v>
      </c>
      <c r="C87" s="76" t="str">
        <f>Liste_Materiel!C89</f>
        <v/>
      </c>
      <c r="D87" s="78">
        <f>Liste_Materiel!D89</f>
        <v>0</v>
      </c>
      <c r="E87" s="76" t="str">
        <f>Liste_Materiel!E89</f>
        <v>pce</v>
      </c>
      <c r="F87" s="76" t="str">
        <f t="shared" si="1"/>
        <v/>
      </c>
      <c r="G87" s="76">
        <f>IF(AND(B87&lt;&gt;"",B87&lt;&gt;"Non trouvé - vérifier",D87&lt;&gt;"",D87&lt;&gt;0),IF(COUNTIF($B$2:B87,B87)=1,1,0),0)</f>
        <v>0</v>
      </c>
    </row>
    <row r="88" spans="1:7" x14ac:dyDescent="0.25">
      <c r="A88" s="76" t="str">
        <f>IF(Liste_Materiel!A90="","","SPK - "&amp;Liste_Materiel!A90)</f>
        <v>SPK - Antenne 2 - fin de ligne (fond)</v>
      </c>
      <c r="B88" s="76" t="str">
        <f>Liste_Materiel!B90</f>
        <v>Non trouvé - vérifier</v>
      </c>
      <c r="C88" s="76" t="str">
        <f>Liste_Materiel!C90</f>
        <v/>
      </c>
      <c r="D88" s="78">
        <f>Liste_Materiel!D90</f>
        <v>0</v>
      </c>
      <c r="E88" s="76" t="str">
        <f>Liste_Materiel!E90</f>
        <v>pce</v>
      </c>
      <c r="F88" s="76" t="str">
        <f t="shared" si="1"/>
        <v/>
      </c>
      <c r="G88" s="76">
        <f>IF(AND(B88&lt;&gt;"",B88&lt;&gt;"Non trouvé - vérifier",D88&lt;&gt;"",D88&lt;&gt;0),IF(COUNTIF($B$2:B88,B88)=1,1,0),0)</f>
        <v>0</v>
      </c>
    </row>
    <row r="89" spans="1:7" x14ac:dyDescent="0.25">
      <c r="A89" s="76" t="str">
        <f>IF(Liste_Materiel!A91="","","SPK - "&amp;Liste_Materiel!A91)</f>
        <v>SPK - Toiture 2</v>
      </c>
      <c r="B89" s="76" t="str">
        <f>Liste_Materiel!B91</f>
        <v/>
      </c>
      <c r="C89" s="76" t="str">
        <f>Liste_Materiel!C91</f>
        <v/>
      </c>
      <c r="D89" s="78">
        <f>Liste_Materiel!D91</f>
        <v>0</v>
      </c>
      <c r="E89" s="76" t="str">
        <f>Liste_Materiel!E91</f>
        <v>pce</v>
      </c>
      <c r="F89" s="76" t="str">
        <f t="shared" si="1"/>
        <v/>
      </c>
      <c r="G89" s="76">
        <f>IF(AND(B89&lt;&gt;"",B89&lt;&gt;"Non trouvé - vérifier",D89&lt;&gt;"",D89&lt;&gt;0),IF(COUNTIF($B$2:B89,B89)=1,1,0),0)</f>
        <v>0</v>
      </c>
    </row>
    <row r="90" spans="1:7" x14ac:dyDescent="0.25">
      <c r="A90" s="76" t="str">
        <f>IF(Liste_Materiel!A92="","","SPK - "&amp;Liste_Materiel!A92)</f>
        <v>SPK - Toiture 2</v>
      </c>
      <c r="B90" s="76" t="str">
        <f>Liste_Materiel!B92</f>
        <v/>
      </c>
      <c r="C90" s="76" t="str">
        <f>Liste_Materiel!C92</f>
        <v/>
      </c>
      <c r="D90" s="76">
        <f>Liste_Materiel!D92</f>
        <v>0</v>
      </c>
      <c r="E90" s="76" t="str">
        <f>Liste_Materiel!E92</f>
        <v>pce</v>
      </c>
      <c r="F90" s="76" t="str">
        <f t="shared" si="1"/>
        <v/>
      </c>
      <c r="G90" s="76">
        <f>IF(AND(B90&lt;&gt;"",B90&lt;&gt;"Non trouvé - vérifier",D90&lt;&gt;"",D90&lt;&gt;0),IF(COUNTIF($B$2:B90,B90)=1,1,0),0)</f>
        <v>0</v>
      </c>
    </row>
    <row r="91" spans="1:7" x14ac:dyDescent="0.25">
      <c r="A91" s="76" t="str">
        <f>IF(Liste_Materiel!A93="","","SPK - "&amp;Liste_Materiel!A93)</f>
        <v>SPK - TB Placo 2</v>
      </c>
      <c r="B91" s="76" t="str">
        <f>Liste_Materiel!B93</f>
        <v/>
      </c>
      <c r="C91" s="76" t="str">
        <f>Liste_Materiel!C93</f>
        <v/>
      </c>
      <c r="D91" s="76">
        <f>Liste_Materiel!D93</f>
        <v>0</v>
      </c>
      <c r="E91" s="76" t="str">
        <f>Liste_Materiel!E93</f>
        <v>pce</v>
      </c>
      <c r="F91" s="76" t="str">
        <f t="shared" si="1"/>
        <v/>
      </c>
      <c r="G91" s="76">
        <f>IF(AND(B91&lt;&gt;"",B91&lt;&gt;"Non trouvé - vérifier",D91&lt;&gt;"",D91&lt;&gt;0),IF(COUNTIF($B$2:B91,B91)=1,1,0),0)</f>
        <v>0</v>
      </c>
    </row>
    <row r="92" spans="1:7" x14ac:dyDescent="0.25">
      <c r="A92" s="76" t="str">
        <f>IF(Liste_Materiel!A94="","","SPK - "&amp;Liste_Materiel!A94)</f>
        <v>SPK - TB Placo 2</v>
      </c>
      <c r="B92" s="76" t="str">
        <f>Liste_Materiel!B94</f>
        <v/>
      </c>
      <c r="C92" s="76" t="str">
        <f>Liste_Materiel!C94</f>
        <v/>
      </c>
      <c r="D92" s="76">
        <f>Liste_Materiel!D94</f>
        <v>0</v>
      </c>
      <c r="E92" s="76" t="str">
        <f>Liste_Materiel!E94</f>
        <v>ml</v>
      </c>
      <c r="F92" s="76" t="str">
        <f t="shared" si="1"/>
        <v/>
      </c>
      <c r="G92" s="76">
        <f>IF(AND(B92&lt;&gt;"",B92&lt;&gt;"Non trouvé - vérifier",D92&lt;&gt;"",D92&lt;&gt;0),IF(COUNTIF($B$2:B92,B92)=1,1,0),0)</f>
        <v>0</v>
      </c>
    </row>
    <row r="93" spans="1:7" x14ac:dyDescent="0.25">
      <c r="A93" s="76" t="str">
        <f>IF(Liste_Materiel!A95="","","SPK - "&amp;Liste_Materiel!A95)</f>
        <v>SPK - TB Placo 2</v>
      </c>
      <c r="B93" s="76" t="str">
        <f>Liste_Materiel!B95</f>
        <v/>
      </c>
      <c r="C93" s="76" t="str">
        <f>Liste_Materiel!C95</f>
        <v/>
      </c>
      <c r="D93" s="76">
        <f>Liste_Materiel!D95</f>
        <v>0</v>
      </c>
      <c r="E93" s="76" t="str">
        <f>Liste_Materiel!E95</f>
        <v>pce</v>
      </c>
      <c r="F93" s="76" t="str">
        <f t="shared" si="1"/>
        <v/>
      </c>
      <c r="G93" s="76">
        <f>IF(AND(B93&lt;&gt;"",B93&lt;&gt;"Non trouvé - vérifier",D93&lt;&gt;"",D93&lt;&gt;0),IF(COUNTIF($B$2:B93,B93)=1,1,0),0)</f>
        <v>0</v>
      </c>
    </row>
    <row r="94" spans="1:7" x14ac:dyDescent="0.25">
      <c r="A94" s="76" t="str">
        <f>IF(Liste_Materiel!A96="","","SPK - "&amp;Liste_Materiel!A96)</f>
        <v>SPK - TB Placo 2</v>
      </c>
      <c r="B94" s="76" t="str">
        <f>Liste_Materiel!B96</f>
        <v/>
      </c>
      <c r="C94" s="76" t="str">
        <f>Liste_Materiel!C96</f>
        <v/>
      </c>
      <c r="D94" s="76">
        <f>Liste_Materiel!D96</f>
        <v>0</v>
      </c>
      <c r="E94" s="76" t="str">
        <f>Liste_Materiel!E96</f>
        <v>pce</v>
      </c>
      <c r="F94" s="76" t="str">
        <f t="shared" si="1"/>
        <v/>
      </c>
      <c r="G94" s="76">
        <f>IF(AND(B94&lt;&gt;"",B94&lt;&gt;"Non trouvé - vérifier",D94&lt;&gt;"",D94&lt;&gt;0),IF(COUNTIF($B$2:B94,B94)=1,1,0),0)</f>
        <v>0</v>
      </c>
    </row>
    <row r="95" spans="1:7" x14ac:dyDescent="0.25">
      <c r="A95" s="76" t="str">
        <f>IF(Liste_Materiel!A97="","","SPK - "&amp;Liste_Materiel!A97)</f>
        <v>SPK - TB Placo 2</v>
      </c>
      <c r="B95" s="76" t="str">
        <f>Liste_Materiel!B97</f>
        <v/>
      </c>
      <c r="C95" s="76" t="str">
        <f>Liste_Materiel!C97</f>
        <v/>
      </c>
      <c r="D95" s="76">
        <f>Liste_Materiel!D97</f>
        <v>0</v>
      </c>
      <c r="E95" s="76" t="str">
        <f>Liste_Materiel!E97</f>
        <v>pce</v>
      </c>
      <c r="F95" s="76" t="str">
        <f t="shared" si="1"/>
        <v/>
      </c>
      <c r="G95" s="76">
        <f>IF(AND(B95&lt;&gt;"",B95&lt;&gt;"Non trouvé - vérifier",D95&lt;&gt;"",D95&lt;&gt;0),IF(COUNTIF($B$2:B95,B95)=1,1,0),0)</f>
        <v>0</v>
      </c>
    </row>
    <row r="96" spans="1:7" x14ac:dyDescent="0.25">
      <c r="A96" s="76" t="str">
        <f>IF(Liste_Materiel!A98="","","SPK - "&amp;Liste_Materiel!A98)</f>
        <v>SPK - TB Placo 2</v>
      </c>
      <c r="B96" s="76" t="str">
        <f>Liste_Materiel!B98</f>
        <v/>
      </c>
      <c r="C96" s="76" t="str">
        <f>Liste_Materiel!C98</f>
        <v/>
      </c>
      <c r="D96" s="76">
        <f>Liste_Materiel!D98</f>
        <v>0</v>
      </c>
      <c r="E96" s="76" t="str">
        <f>Liste_Materiel!E98</f>
        <v>pce</v>
      </c>
      <c r="F96" s="76" t="str">
        <f t="shared" si="1"/>
        <v/>
      </c>
      <c r="G96" s="76">
        <f>IF(AND(B96&lt;&gt;"",B96&lt;&gt;"Non trouvé - vérifier",D96&lt;&gt;"",D96&lt;&gt;0),IF(COUNTIF($B$2:B96,B96)=1,1,0),0)</f>
        <v>0</v>
      </c>
    </row>
    <row r="97" spans="1:7" x14ac:dyDescent="0.25">
      <c r="A97" s="76" t="str">
        <f>IF(Liste_Materiel!A99="","","SPK - "&amp;Liste_Materiel!A99)</f>
        <v>SPK - TB Faux plaf 2</v>
      </c>
      <c r="B97" s="76" t="str">
        <f>Liste_Materiel!B99</f>
        <v/>
      </c>
      <c r="C97" s="76" t="str">
        <f>Liste_Materiel!C99</f>
        <v/>
      </c>
      <c r="D97" s="76">
        <f>Liste_Materiel!D99</f>
        <v>0</v>
      </c>
      <c r="E97" s="76" t="str">
        <f>Liste_Materiel!E99</f>
        <v>pce</v>
      </c>
      <c r="F97" s="76" t="str">
        <f t="shared" si="1"/>
        <v/>
      </c>
      <c r="G97" s="76">
        <f>IF(AND(B97&lt;&gt;"",B97&lt;&gt;"Non trouvé - vérifier",D97&lt;&gt;"",D97&lt;&gt;0),IF(COUNTIF($B$2:B97,B97)=1,1,0),0)</f>
        <v>0</v>
      </c>
    </row>
    <row r="98" spans="1:7" x14ac:dyDescent="0.25">
      <c r="A98" s="76" t="str">
        <f>IF(Liste_Materiel!A100="","","SPK - "&amp;Liste_Materiel!A100)</f>
        <v>SPK - TB Faux plaf 2</v>
      </c>
      <c r="B98" s="76" t="str">
        <f>Liste_Materiel!B100</f>
        <v/>
      </c>
      <c r="C98" s="76" t="str">
        <f>Liste_Materiel!C100</f>
        <v/>
      </c>
      <c r="D98" s="76">
        <f>Liste_Materiel!D100</f>
        <v>0</v>
      </c>
      <c r="E98" s="76" t="str">
        <f>Liste_Materiel!E100</f>
        <v>pce</v>
      </c>
      <c r="F98" s="76" t="str">
        <f t="shared" si="1"/>
        <v/>
      </c>
      <c r="G98" s="76">
        <f>IF(AND(B98&lt;&gt;"",B98&lt;&gt;"Non trouvé - vérifier",D98&lt;&gt;"",D98&lt;&gt;0),IF(COUNTIF($B$2:B98,B98)=1,1,0),0)</f>
        <v>0</v>
      </c>
    </row>
    <row r="99" spans="1:7" x14ac:dyDescent="0.25">
      <c r="A99" s="76" t="str">
        <f>IF(Liste_Materiel!A101="","","SPK - "&amp;Liste_Materiel!A101)</f>
        <v>SPK - TB Faux plaf 2</v>
      </c>
      <c r="B99" s="76" t="str">
        <f>Liste_Materiel!B101</f>
        <v/>
      </c>
      <c r="C99" s="76" t="str">
        <f>Liste_Materiel!C101</f>
        <v/>
      </c>
      <c r="D99" s="76">
        <f>Liste_Materiel!D101</f>
        <v>0</v>
      </c>
      <c r="E99" s="76" t="str">
        <f>Liste_Materiel!E101</f>
        <v>pce</v>
      </c>
      <c r="F99" s="76" t="str">
        <f t="shared" si="1"/>
        <v/>
      </c>
      <c r="G99" s="76">
        <f>IF(AND(B99&lt;&gt;"",B99&lt;&gt;"Non trouvé - vérifier",D99&lt;&gt;"",D99&lt;&gt;0),IF(COUNTIF($B$2:B99,B99)=1,1,0),0)</f>
        <v>0</v>
      </c>
    </row>
    <row r="100" spans="1:7" x14ac:dyDescent="0.25">
      <c r="A100" s="76" t="str">
        <f>IF(Liste_Materiel!A102="","","SPK - "&amp;Liste_Materiel!A102)</f>
        <v>SPK - TB Faux plaf 2</v>
      </c>
      <c r="B100" s="76" t="str">
        <f>Liste_Materiel!B102</f>
        <v/>
      </c>
      <c r="C100" s="76" t="str">
        <f>Liste_Materiel!C102</f>
        <v/>
      </c>
      <c r="D100" s="76">
        <f>Liste_Materiel!D102</f>
        <v>0</v>
      </c>
      <c r="E100" s="76" t="str">
        <f>Liste_Materiel!E102</f>
        <v>pce</v>
      </c>
      <c r="F100" s="76" t="str">
        <f t="shared" si="1"/>
        <v/>
      </c>
      <c r="G100" s="76">
        <f>IF(AND(B100&lt;&gt;"",B100&lt;&gt;"Non trouvé - vérifier",D100&lt;&gt;"",D100&lt;&gt;0),IF(COUNTIF($B$2:B100,B100)=1,1,0),0)</f>
        <v>0</v>
      </c>
    </row>
    <row r="101" spans="1:7" x14ac:dyDescent="0.25">
      <c r="A101" s="76" t="str">
        <f>IF(Liste_Materiel!A103="","","SPK - "&amp;Liste_Materiel!A103)</f>
        <v>SPK - TB Labo 2</v>
      </c>
      <c r="B101" s="76" t="str">
        <f>Liste_Materiel!B103</f>
        <v/>
      </c>
      <c r="C101" s="76" t="str">
        <f>Liste_Materiel!C103</f>
        <v/>
      </c>
      <c r="D101" s="76">
        <f>Liste_Materiel!D103</f>
        <v>0</v>
      </c>
      <c r="E101" s="76" t="str">
        <f>Liste_Materiel!E103</f>
        <v>pce</v>
      </c>
      <c r="F101" s="76" t="str">
        <f t="shared" si="1"/>
        <v/>
      </c>
      <c r="G101" s="76">
        <f>IF(AND(B101&lt;&gt;"",B101&lt;&gt;"Non trouvé - vérifier",D101&lt;&gt;"",D101&lt;&gt;0),IF(COUNTIF($B$2:B101,B101)=1,1,0),0)</f>
        <v>0</v>
      </c>
    </row>
    <row r="102" spans="1:7" x14ac:dyDescent="0.25">
      <c r="A102" s="76" t="str">
        <f>IF(Liste_Materiel!A104="","","SPK - "&amp;Liste_Materiel!A104)</f>
        <v>SPK - TB Labo 2</v>
      </c>
      <c r="B102" s="76" t="str">
        <f>Liste_Materiel!B104</f>
        <v/>
      </c>
      <c r="C102" s="76" t="str">
        <f>Liste_Materiel!C104</f>
        <v/>
      </c>
      <c r="D102" s="76">
        <f>Liste_Materiel!D104</f>
        <v>0</v>
      </c>
      <c r="E102" s="76" t="str">
        <f>Liste_Materiel!E104</f>
        <v>pce</v>
      </c>
      <c r="F102" s="76" t="str">
        <f t="shared" si="1"/>
        <v/>
      </c>
      <c r="G102" s="76">
        <f>IF(AND(B102&lt;&gt;"",B102&lt;&gt;"Non trouvé - vérifier",D102&lt;&gt;"",D102&lt;&gt;0),IF(COUNTIF($B$2:B102,B102)=1,1,0),0)</f>
        <v>0</v>
      </c>
    </row>
    <row r="103" spans="1:7" x14ac:dyDescent="0.25">
      <c r="A103" s="76" t="str">
        <f>IF(Liste_Materiel!A105="","","SPK - "&amp;Liste_Materiel!A105)</f>
        <v>SPK - TB Labo 2</v>
      </c>
      <c r="B103" s="76" t="str">
        <f>Liste_Materiel!B105</f>
        <v/>
      </c>
      <c r="C103" s="76" t="str">
        <f>Liste_Materiel!C105</f>
        <v/>
      </c>
      <c r="D103" s="76">
        <f>Liste_Materiel!D105</f>
        <v>0</v>
      </c>
      <c r="E103" s="76" t="str">
        <f>Liste_Materiel!E105</f>
        <v>pce</v>
      </c>
      <c r="F103" s="76" t="str">
        <f t="shared" si="1"/>
        <v/>
      </c>
      <c r="G103" s="76">
        <f>IF(AND(B103&lt;&gt;"",B103&lt;&gt;"Non trouvé - vérifier",D103&lt;&gt;"",D103&lt;&gt;0),IF(COUNTIF($B$2:B103,B103)=1,1,0),0)</f>
        <v>0</v>
      </c>
    </row>
    <row r="104" spans="1:7" x14ac:dyDescent="0.25">
      <c r="A104" s="76" t="str">
        <f>IF(Liste_Materiel!A106="","","SPK - "&amp;Liste_Materiel!A106)</f>
        <v>SPK - TB Labo 2</v>
      </c>
      <c r="B104" s="76" t="str">
        <f>Liste_Materiel!B106</f>
        <v/>
      </c>
      <c r="C104" s="76" t="str">
        <f>Liste_Materiel!C106</f>
        <v/>
      </c>
      <c r="D104" s="76">
        <f>Liste_Materiel!D106</f>
        <v>0</v>
      </c>
      <c r="E104" s="76" t="str">
        <f>Liste_Materiel!E106</f>
        <v>pce</v>
      </c>
      <c r="F104" s="76" t="str">
        <f t="shared" si="1"/>
        <v/>
      </c>
      <c r="G104" s="76">
        <f>IF(AND(B104&lt;&gt;"",B104&lt;&gt;"Non trouvé - vérifier",D104&lt;&gt;"",D104&lt;&gt;0),IF(COUNTIF($B$2:B104,B104)=1,1,0),0)</f>
        <v>0</v>
      </c>
    </row>
    <row r="105" spans="1:7" x14ac:dyDescent="0.25">
      <c r="A105" s="76" t="str">
        <f>IF(Liste_Materiel!A107="","","SPK - "&amp;Liste_Materiel!A107)</f>
        <v>SPK - Tête sprinkler 2</v>
      </c>
      <c r="B105" s="76" t="str">
        <f>Liste_Materiel!B107</f>
        <v>Non trouvé - vérifier</v>
      </c>
      <c r="C105" s="76" t="str">
        <f>Liste_Materiel!C107</f>
        <v/>
      </c>
      <c r="D105" s="78">
        <f>Liste_Materiel!D107</f>
        <v>0</v>
      </c>
      <c r="E105" s="76" t="str">
        <f>Liste_Materiel!E107</f>
        <v>pce</v>
      </c>
      <c r="F105" s="76" t="str">
        <f t="shared" si="1"/>
        <v/>
      </c>
      <c r="G105" s="76">
        <f>IF(AND(B105&lt;&gt;"",B105&lt;&gt;"Non trouvé - vérifier",D105&lt;&gt;"",D105&lt;&gt;0),IF(COUNTIF($B$2:B105,B105)=1,1,0),0)</f>
        <v>0</v>
      </c>
    </row>
    <row r="106" spans="1:7" x14ac:dyDescent="0.25">
      <c r="A106" s="76" t="str">
        <f>IF(Liste_Materiel!A108="","","SPK - "&amp;Liste_Materiel!A108)</f>
        <v>SPK - Antenne 2 - Support 1</v>
      </c>
      <c r="B106" s="76" t="str">
        <f>Liste_Materiel!B108</f>
        <v/>
      </c>
      <c r="C106" s="76" t="str">
        <f>Liste_Materiel!C108</f>
        <v/>
      </c>
      <c r="D106" s="76" t="str">
        <f>Liste_Materiel!D108</f>
        <v/>
      </c>
      <c r="E106" s="76" t="str">
        <f>Liste_Materiel!E108</f>
        <v>pce/m</v>
      </c>
      <c r="F106" s="76" t="str">
        <f t="shared" si="1"/>
        <v/>
      </c>
      <c r="G106" s="76">
        <f>IF(AND(B106&lt;&gt;"",B106&lt;&gt;"Non trouvé - vérifier",D106&lt;&gt;"",D106&lt;&gt;0),IF(COUNTIF($B$2:B106,B106)=1,1,0),0)</f>
        <v>0</v>
      </c>
    </row>
    <row r="107" spans="1:7" x14ac:dyDescent="0.25">
      <c r="A107" s="76" t="str">
        <f>IF(Liste_Materiel!A109="","","SPK - "&amp;Liste_Materiel!A109)</f>
        <v>SPK - Antenne 2 - Support 1</v>
      </c>
      <c r="B107" s="76" t="str">
        <f>Liste_Materiel!B109</f>
        <v/>
      </c>
      <c r="C107" s="76" t="str">
        <f>Liste_Materiel!C109</f>
        <v/>
      </c>
      <c r="D107" s="76" t="str">
        <f>Liste_Materiel!D109</f>
        <v/>
      </c>
      <c r="E107" s="76" t="str">
        <f>Liste_Materiel!E109</f>
        <v>pce/m</v>
      </c>
      <c r="F107" s="76" t="str">
        <f t="shared" si="1"/>
        <v/>
      </c>
      <c r="G107" s="76">
        <f>IF(AND(B107&lt;&gt;"",B107&lt;&gt;"Non trouvé - vérifier",D107&lt;&gt;"",D107&lt;&gt;0),IF(COUNTIF($B$2:B107,B107)=1,1,0),0)</f>
        <v>0</v>
      </c>
    </row>
    <row r="108" spans="1:7" x14ac:dyDescent="0.25">
      <c r="A108" s="76" t="str">
        <f>IF(Liste_Materiel!A110="","","SPK - "&amp;Liste_Materiel!A110)</f>
        <v>SPK - Antenne 2 - Support 1</v>
      </c>
      <c r="B108" s="76" t="str">
        <f>Liste_Materiel!B110</f>
        <v/>
      </c>
      <c r="C108" s="76" t="str">
        <f>Liste_Materiel!C110</f>
        <v/>
      </c>
      <c r="D108" s="76" t="str">
        <f>Liste_Materiel!D110</f>
        <v/>
      </c>
      <c r="E108" s="76" t="str">
        <f>Liste_Materiel!E110</f>
        <v>pce/m</v>
      </c>
      <c r="F108" s="76" t="str">
        <f t="shared" si="1"/>
        <v/>
      </c>
      <c r="G108" s="76">
        <f>IF(AND(B108&lt;&gt;"",B108&lt;&gt;"Non trouvé - vérifier",D108&lt;&gt;"",D108&lt;&gt;0),IF(COUNTIF($B$2:B108,B108)=1,1,0),0)</f>
        <v>0</v>
      </c>
    </row>
    <row r="109" spans="1:7" x14ac:dyDescent="0.25">
      <c r="A109" s="76" t="str">
        <f>IF(Liste_Materiel!A111="","","SPK - "&amp;Liste_Materiel!A111)</f>
        <v>SPK - Antenne 2 - Support 1</v>
      </c>
      <c r="B109" s="76" t="str">
        <f>Liste_Materiel!B111</f>
        <v/>
      </c>
      <c r="C109" s="76" t="str">
        <f>Liste_Materiel!C111</f>
        <v/>
      </c>
      <c r="D109" s="76" t="str">
        <f>Liste_Materiel!D111</f>
        <v/>
      </c>
      <c r="E109" s="76" t="str">
        <f>Liste_Materiel!E111</f>
        <v>pce/m</v>
      </c>
      <c r="F109" s="76" t="str">
        <f t="shared" si="1"/>
        <v/>
      </c>
      <c r="G109" s="76">
        <f>IF(AND(B109&lt;&gt;"",B109&lt;&gt;"Non trouvé - vérifier",D109&lt;&gt;"",D109&lt;&gt;0),IF(COUNTIF($B$2:B109,B109)=1,1,0),0)</f>
        <v>0</v>
      </c>
    </row>
    <row r="110" spans="1:7" x14ac:dyDescent="0.25">
      <c r="A110" s="76" t="str">
        <f>IF(Liste_Materiel!A112="","","SPK - "&amp;Liste_Materiel!A112)</f>
        <v>SPK - Antenne 2 - Support 1</v>
      </c>
      <c r="B110" s="76" t="str">
        <f>Liste_Materiel!B112</f>
        <v/>
      </c>
      <c r="C110" s="76" t="str">
        <f>Liste_Materiel!C112</f>
        <v/>
      </c>
      <c r="D110" s="76" t="str">
        <f>Liste_Materiel!D112</f>
        <v/>
      </c>
      <c r="E110" s="76" t="str">
        <f>Liste_Materiel!E112</f>
        <v>pce/m</v>
      </c>
      <c r="F110" s="76" t="str">
        <f t="shared" si="1"/>
        <v/>
      </c>
      <c r="G110" s="76">
        <f>IF(AND(B110&lt;&gt;"",B110&lt;&gt;"Non trouvé - vérifier",D110&lt;&gt;"",D110&lt;&gt;0),IF(COUNTIF($B$2:B110,B110)=1,1,0),0)</f>
        <v>0</v>
      </c>
    </row>
    <row r="111" spans="1:7" x14ac:dyDescent="0.25">
      <c r="A111" s="76" t="str">
        <f>IF(Liste_Materiel!A113="","","SPK - "&amp;Liste_Materiel!A113)</f>
        <v>SPK - Antenne 2 - Support 1</v>
      </c>
      <c r="B111" s="76" t="str">
        <f>Liste_Materiel!B113</f>
        <v/>
      </c>
      <c r="C111" s="76" t="str">
        <f>Liste_Materiel!C113</f>
        <v/>
      </c>
      <c r="D111" s="76" t="str">
        <f>Liste_Materiel!D113</f>
        <v/>
      </c>
      <c r="E111" s="76" t="str">
        <f>Liste_Materiel!E113</f>
        <v>pce/m</v>
      </c>
      <c r="F111" s="76" t="str">
        <f t="shared" si="1"/>
        <v/>
      </c>
      <c r="G111" s="76">
        <f>IF(AND(B111&lt;&gt;"",B111&lt;&gt;"Non trouvé - vérifier",D111&lt;&gt;"",D111&lt;&gt;0),IF(COUNTIF($B$2:B111,B111)=1,1,0),0)</f>
        <v>0</v>
      </c>
    </row>
    <row r="112" spans="1:7" x14ac:dyDescent="0.25">
      <c r="A112" s="76" t="str">
        <f>IF(Liste_Materiel!A114="","","SPK - "&amp;Liste_Materiel!A114)</f>
        <v>SPK - Antenne 2 - Support 2</v>
      </c>
      <c r="B112" s="76" t="str">
        <f>Liste_Materiel!B114</f>
        <v/>
      </c>
      <c r="C112" s="76" t="str">
        <f>Liste_Materiel!C114</f>
        <v/>
      </c>
      <c r="D112" s="76" t="str">
        <f>Liste_Materiel!D114</f>
        <v/>
      </c>
      <c r="E112" s="76" t="str">
        <f>Liste_Materiel!E114</f>
        <v>pce/m</v>
      </c>
      <c r="F112" s="76" t="str">
        <f t="shared" si="1"/>
        <v/>
      </c>
      <c r="G112" s="76">
        <f>IF(AND(B112&lt;&gt;"",B112&lt;&gt;"Non trouvé - vérifier",D112&lt;&gt;"",D112&lt;&gt;0),IF(COUNTIF($B$2:B112,B112)=1,1,0),0)</f>
        <v>0</v>
      </c>
    </row>
    <row r="113" spans="1:7" x14ac:dyDescent="0.25">
      <c r="A113" s="76" t="str">
        <f>IF(Liste_Materiel!A115="","","SPK - "&amp;Liste_Materiel!A115)</f>
        <v>SPK - Antenne 2 - Support 2</v>
      </c>
      <c r="B113" s="76" t="str">
        <f>Liste_Materiel!B115</f>
        <v/>
      </c>
      <c r="C113" s="76" t="str">
        <f>Liste_Materiel!C115</f>
        <v/>
      </c>
      <c r="D113" s="76" t="str">
        <f>Liste_Materiel!D115</f>
        <v/>
      </c>
      <c r="E113" s="76" t="str">
        <f>Liste_Materiel!E115</f>
        <v>pce/m</v>
      </c>
      <c r="F113" s="76" t="str">
        <f t="shared" si="1"/>
        <v/>
      </c>
      <c r="G113" s="76">
        <f>IF(AND(B113&lt;&gt;"",B113&lt;&gt;"Non trouvé - vérifier",D113&lt;&gt;"",D113&lt;&gt;0),IF(COUNTIF($B$2:B113,B113)=1,1,0),0)</f>
        <v>0</v>
      </c>
    </row>
    <row r="114" spans="1:7" x14ac:dyDescent="0.25">
      <c r="A114" s="76" t="str">
        <f>IF(Liste_Materiel!A116="","","SPK - "&amp;Liste_Materiel!A116)</f>
        <v>SPK - Antenne 2 - Support 2</v>
      </c>
      <c r="B114" s="76" t="str">
        <f>Liste_Materiel!B116</f>
        <v/>
      </c>
      <c r="C114" s="76" t="str">
        <f>Liste_Materiel!C116</f>
        <v/>
      </c>
      <c r="D114" s="76" t="str">
        <f>Liste_Materiel!D116</f>
        <v/>
      </c>
      <c r="E114" s="76" t="str">
        <f>Liste_Materiel!E116</f>
        <v>pce/m</v>
      </c>
      <c r="F114" s="76" t="str">
        <f t="shared" si="1"/>
        <v/>
      </c>
      <c r="G114" s="76">
        <f>IF(AND(B114&lt;&gt;"",B114&lt;&gt;"Non trouvé - vérifier",D114&lt;&gt;"",D114&lt;&gt;0),IF(COUNTIF($B$2:B114,B114)=1,1,0),0)</f>
        <v>0</v>
      </c>
    </row>
    <row r="115" spans="1:7" x14ac:dyDescent="0.25">
      <c r="A115" s="76" t="str">
        <f>IF(Liste_Materiel!A117="","","SPK - "&amp;Liste_Materiel!A117)</f>
        <v>SPK - Antenne 2 - Support 2</v>
      </c>
      <c r="B115" s="76" t="str">
        <f>Liste_Materiel!B117</f>
        <v/>
      </c>
      <c r="C115" s="76" t="str">
        <f>Liste_Materiel!C117</f>
        <v/>
      </c>
      <c r="D115" s="76" t="str">
        <f>Liste_Materiel!D117</f>
        <v/>
      </c>
      <c r="E115" s="76" t="str">
        <f>Liste_Materiel!E117</f>
        <v>pce/m</v>
      </c>
      <c r="F115" s="76" t="str">
        <f t="shared" si="1"/>
        <v/>
      </c>
      <c r="G115" s="76">
        <f>IF(AND(B115&lt;&gt;"",B115&lt;&gt;"Non trouvé - vérifier",D115&lt;&gt;"",D115&lt;&gt;0),IF(COUNTIF($B$2:B115,B115)=1,1,0),0)</f>
        <v>0</v>
      </c>
    </row>
    <row r="116" spans="1:7" x14ac:dyDescent="0.25">
      <c r="A116" s="76" t="str">
        <f>IF(Liste_Materiel!A118="","","SPK - "&amp;Liste_Materiel!A118)</f>
        <v>SPK - Antenne 2 - Support 2</v>
      </c>
      <c r="B116" s="76" t="str">
        <f>Liste_Materiel!B118</f>
        <v/>
      </c>
      <c r="C116" s="76" t="str">
        <f>Liste_Materiel!C118</f>
        <v/>
      </c>
      <c r="D116" s="76" t="str">
        <f>Liste_Materiel!D118</f>
        <v/>
      </c>
      <c r="E116" s="76" t="str">
        <f>Liste_Materiel!E118</f>
        <v>pce/m</v>
      </c>
      <c r="F116" s="76" t="str">
        <f t="shared" si="1"/>
        <v/>
      </c>
      <c r="G116" s="76">
        <f>IF(AND(B116&lt;&gt;"",B116&lt;&gt;"Non trouvé - vérifier",D116&lt;&gt;"",D116&lt;&gt;0),IF(COUNTIF($B$2:B116,B116)=1,1,0),0)</f>
        <v>0</v>
      </c>
    </row>
    <row r="117" spans="1:7" x14ac:dyDescent="0.25">
      <c r="A117" s="76" t="str">
        <f>IF(Liste_Materiel!A119="","","SPK - "&amp;Liste_Materiel!A119)</f>
        <v>SPK - Antenne 2 - Support 2</v>
      </c>
      <c r="B117" s="76" t="str">
        <f>Liste_Materiel!B119</f>
        <v/>
      </c>
      <c r="C117" s="76" t="str">
        <f>Liste_Materiel!C119</f>
        <v/>
      </c>
      <c r="D117" s="76" t="str">
        <f>Liste_Materiel!D119</f>
        <v/>
      </c>
      <c r="E117" s="76" t="str">
        <f>Liste_Materiel!E119</f>
        <v>pce/m</v>
      </c>
      <c r="F117" s="76" t="str">
        <f t="shared" si="1"/>
        <v/>
      </c>
      <c r="G117" s="76">
        <f>IF(AND(B117&lt;&gt;"",B117&lt;&gt;"Non trouvé - vérifier",D117&lt;&gt;"",D117&lt;&gt;0),IF(COUNTIF($B$2:B117,B117)=1,1,0),0)</f>
        <v>0</v>
      </c>
    </row>
    <row r="118" spans="1:7" x14ac:dyDescent="0.25">
      <c r="A118" s="76" t="str">
        <f>IF(Liste_Materiel!A120="","","SPK - "&amp;Liste_Materiel!A120)</f>
        <v>SPK - Antenne 3</v>
      </c>
      <c r="B118" s="76" t="str">
        <f>Liste_Materiel!B120</f>
        <v>Non trouvé - vérifier</v>
      </c>
      <c r="C118" s="76" t="str">
        <f>Liste_Materiel!C120</f>
        <v/>
      </c>
      <c r="D118" s="76">
        <f>Liste_Materiel!D120</f>
        <v>0</v>
      </c>
      <c r="E118" s="76" t="str">
        <f>Liste_Materiel!E120</f>
        <v>ml</v>
      </c>
      <c r="F118" s="76" t="str">
        <f t="shared" si="1"/>
        <v/>
      </c>
      <c r="G118" s="76">
        <f>IF(AND(B118&lt;&gt;"",B118&lt;&gt;"Non trouvé - vérifier",D118&lt;&gt;"",D118&lt;&gt;0),IF(COUNTIF($B$2:B118,B118)=1,1,0),0)</f>
        <v>0</v>
      </c>
    </row>
    <row r="119" spans="1:7" x14ac:dyDescent="0.25">
      <c r="A119" s="76" t="str">
        <f>IF(Liste_Materiel!A122="","","SPK - "&amp;Liste_Materiel!A122)</f>
        <v>SPK - Antenne 3</v>
      </c>
      <c r="B119" s="76" t="str">
        <f>Liste_Materiel!B122</f>
        <v>Non trouvé - vérifier</v>
      </c>
      <c r="C119" s="76" t="str">
        <f>Liste_Materiel!C122</f>
        <v/>
      </c>
      <c r="D119" s="78">
        <f>Liste_Materiel!D122</f>
        <v>0</v>
      </c>
      <c r="E119" s="76" t="str">
        <f>Liste_Materiel!E122</f>
        <v>pce</v>
      </c>
      <c r="F119" s="76" t="str">
        <f t="shared" si="1"/>
        <v/>
      </c>
      <c r="G119" s="76">
        <f>IF(AND(B119&lt;&gt;"",B119&lt;&gt;"Non trouvé - vérifier",D119&lt;&gt;"",D119&lt;&gt;0),IF(COUNTIF($B$2:B119,B119)=1,1,0),0)</f>
        <v>0</v>
      </c>
    </row>
    <row r="120" spans="1:7" x14ac:dyDescent="0.25">
      <c r="A120" s="76" t="str">
        <f>IF(Liste_Materiel!A123="","","SPK - "&amp;Liste_Materiel!A123)</f>
        <v>SPK - Antenne 3</v>
      </c>
      <c r="B120" s="76" t="str">
        <f>Liste_Materiel!B123</f>
        <v>Non trouvé - vérifier</v>
      </c>
      <c r="C120" s="76" t="str">
        <f>Liste_Materiel!C123</f>
        <v/>
      </c>
      <c r="D120" s="76">
        <f>Liste_Materiel!D123</f>
        <v>0</v>
      </c>
      <c r="E120" s="76" t="str">
        <f>Liste_Materiel!E123</f>
        <v>pce</v>
      </c>
      <c r="F120" s="76" t="str">
        <f t="shared" si="1"/>
        <v/>
      </c>
      <c r="G120" s="76">
        <f>IF(AND(B120&lt;&gt;"",B120&lt;&gt;"Non trouvé - vérifier",D120&lt;&gt;"",D120&lt;&gt;0),IF(COUNTIF($B$2:B120,B120)=1,1,0),0)</f>
        <v>0</v>
      </c>
    </row>
    <row r="121" spans="1:7" x14ac:dyDescent="0.25">
      <c r="A121" s="76" t="str">
        <f>IF(Liste_Materiel!A124="","","SPK - "&amp;Liste_Materiel!A124)</f>
        <v>SPK - Antenne 3 - fin de ligne</v>
      </c>
      <c r="B121" s="76" t="str">
        <f>Liste_Materiel!B124</f>
        <v>Non trouvé - vérifier</v>
      </c>
      <c r="C121" s="76" t="str">
        <f>Liste_Materiel!C124</f>
        <v/>
      </c>
      <c r="D121" s="78">
        <f>Liste_Materiel!D124</f>
        <v>0</v>
      </c>
      <c r="E121" s="76" t="str">
        <f>Liste_Materiel!E124</f>
        <v>pce</v>
      </c>
      <c r="F121" s="76" t="str">
        <f t="shared" si="1"/>
        <v/>
      </c>
      <c r="G121" s="76">
        <f>IF(AND(B121&lt;&gt;"",B121&lt;&gt;"Non trouvé - vérifier",D121&lt;&gt;"",D121&lt;&gt;0),IF(COUNTIF($B$2:B121,B121)=1,1,0),0)</f>
        <v>0</v>
      </c>
    </row>
    <row r="122" spans="1:7" x14ac:dyDescent="0.25">
      <c r="A122" s="76" t="str">
        <f>IF(Liste_Materiel!A125="","","SPK - "&amp;Liste_Materiel!A125)</f>
        <v>SPK - Antenne 3 - fin de ligne (fond)</v>
      </c>
      <c r="B122" s="76" t="str">
        <f>Liste_Materiel!B125</f>
        <v>Non trouvé - vérifier</v>
      </c>
      <c r="C122" s="76" t="str">
        <f>Liste_Materiel!C125</f>
        <v/>
      </c>
      <c r="D122" s="78">
        <f>Liste_Materiel!D125</f>
        <v>0</v>
      </c>
      <c r="E122" s="76" t="str">
        <f>Liste_Materiel!E125</f>
        <v>pce</v>
      </c>
      <c r="F122" s="76" t="str">
        <f t="shared" si="1"/>
        <v/>
      </c>
      <c r="G122" s="76">
        <f>IF(AND(B122&lt;&gt;"",B122&lt;&gt;"Non trouvé - vérifier",D122&lt;&gt;"",D122&lt;&gt;0),IF(COUNTIF($B$2:B122,B122)=1,1,0),0)</f>
        <v>0</v>
      </c>
    </row>
    <row r="123" spans="1:7" x14ac:dyDescent="0.25">
      <c r="A123" s="76" t="str">
        <f>IF(Liste_Materiel!A126="","","SPK - "&amp;Liste_Materiel!A126)</f>
        <v>SPK - Toiture 3</v>
      </c>
      <c r="B123" s="76" t="str">
        <f>Liste_Materiel!B126</f>
        <v/>
      </c>
      <c r="C123" s="76" t="str">
        <f>Liste_Materiel!C126</f>
        <v/>
      </c>
      <c r="D123" s="76">
        <f>Liste_Materiel!D126</f>
        <v>0</v>
      </c>
      <c r="E123" s="76" t="str">
        <f>Liste_Materiel!E126</f>
        <v>pce</v>
      </c>
      <c r="F123" s="76" t="str">
        <f t="shared" si="1"/>
        <v/>
      </c>
      <c r="G123" s="76">
        <f>IF(AND(B123&lt;&gt;"",B123&lt;&gt;"Non trouvé - vérifier",D123&lt;&gt;"",D123&lt;&gt;0),IF(COUNTIF($B$2:B123,B123)=1,1,0),0)</f>
        <v>0</v>
      </c>
    </row>
    <row r="124" spans="1:7" x14ac:dyDescent="0.25">
      <c r="A124" s="76" t="str">
        <f>IF(Liste_Materiel!A127="","","SPK - "&amp;Liste_Materiel!A127)</f>
        <v>SPK - Toiture 3</v>
      </c>
      <c r="B124" s="76" t="str">
        <f>Liste_Materiel!B127</f>
        <v/>
      </c>
      <c r="C124" s="76" t="str">
        <f>Liste_Materiel!C127</f>
        <v/>
      </c>
      <c r="D124" s="76">
        <f>Liste_Materiel!D127</f>
        <v>0</v>
      </c>
      <c r="E124" s="76" t="str">
        <f>Liste_Materiel!E127</f>
        <v>pce</v>
      </c>
      <c r="F124" s="76" t="str">
        <f t="shared" si="1"/>
        <v/>
      </c>
      <c r="G124" s="76">
        <f>IF(AND(B124&lt;&gt;"",B124&lt;&gt;"Non trouvé - vérifier",D124&lt;&gt;"",D124&lt;&gt;0),IF(COUNTIF($B$2:B124,B124)=1,1,0),0)</f>
        <v>0</v>
      </c>
    </row>
    <row r="125" spans="1:7" x14ac:dyDescent="0.25">
      <c r="A125" s="76" t="str">
        <f>IF(Liste_Materiel!A128="","","SPK - "&amp;Liste_Materiel!A128)</f>
        <v>SPK - TB Placo 3</v>
      </c>
      <c r="B125" s="76" t="str">
        <f>Liste_Materiel!B128</f>
        <v/>
      </c>
      <c r="C125" s="76" t="str">
        <f>Liste_Materiel!C128</f>
        <v/>
      </c>
      <c r="D125" s="76">
        <f>Liste_Materiel!D128</f>
        <v>0</v>
      </c>
      <c r="E125" s="76" t="str">
        <f>Liste_Materiel!E128</f>
        <v>pce</v>
      </c>
      <c r="F125" s="76" t="str">
        <f t="shared" si="1"/>
        <v/>
      </c>
      <c r="G125" s="76">
        <f>IF(AND(B125&lt;&gt;"",B125&lt;&gt;"Non trouvé - vérifier",D125&lt;&gt;"",D125&lt;&gt;0),IF(COUNTIF($B$2:B125,B125)=1,1,0),0)</f>
        <v>0</v>
      </c>
    </row>
    <row r="126" spans="1:7" x14ac:dyDescent="0.25">
      <c r="A126" s="76" t="str">
        <f>IF(Liste_Materiel!A129="","","SPK - "&amp;Liste_Materiel!A129)</f>
        <v>SPK - TB Placo 3</v>
      </c>
      <c r="B126" s="76" t="str">
        <f>Liste_Materiel!B129</f>
        <v/>
      </c>
      <c r="C126" s="76" t="str">
        <f>Liste_Materiel!C129</f>
        <v/>
      </c>
      <c r="D126" s="76">
        <f>Liste_Materiel!D129</f>
        <v>0</v>
      </c>
      <c r="E126" s="76" t="str">
        <f>Liste_Materiel!E129</f>
        <v>ml</v>
      </c>
      <c r="F126" s="76" t="str">
        <f t="shared" si="1"/>
        <v/>
      </c>
      <c r="G126" s="76">
        <f>IF(AND(B126&lt;&gt;"",B126&lt;&gt;"Non trouvé - vérifier",D126&lt;&gt;"",D126&lt;&gt;0),IF(COUNTIF($B$2:B126,B126)=1,1,0),0)</f>
        <v>0</v>
      </c>
    </row>
    <row r="127" spans="1:7" x14ac:dyDescent="0.25">
      <c r="A127" s="76" t="str">
        <f>IF(Liste_Materiel!A130="","","SPK - "&amp;Liste_Materiel!A130)</f>
        <v>SPK - TB Placo 3</v>
      </c>
      <c r="B127" s="76" t="str">
        <f>Liste_Materiel!B130</f>
        <v/>
      </c>
      <c r="C127" s="76" t="str">
        <f>Liste_Materiel!C130</f>
        <v/>
      </c>
      <c r="D127" s="76">
        <f>Liste_Materiel!D130</f>
        <v>0</v>
      </c>
      <c r="E127" s="76" t="str">
        <f>Liste_Materiel!E130</f>
        <v>pce</v>
      </c>
      <c r="F127" s="76" t="str">
        <f t="shared" si="1"/>
        <v/>
      </c>
      <c r="G127" s="76">
        <f>IF(AND(B127&lt;&gt;"",B127&lt;&gt;"Non trouvé - vérifier",D127&lt;&gt;"",D127&lt;&gt;0),IF(COUNTIF($B$2:B127,B127)=1,1,0),0)</f>
        <v>0</v>
      </c>
    </row>
    <row r="128" spans="1:7" x14ac:dyDescent="0.25">
      <c r="A128" s="76" t="str">
        <f>IF(Liste_Materiel!A131="","","SPK - "&amp;Liste_Materiel!A131)</f>
        <v>SPK - TB Placo 3</v>
      </c>
      <c r="B128" s="76" t="str">
        <f>Liste_Materiel!B131</f>
        <v/>
      </c>
      <c r="C128" s="76" t="str">
        <f>Liste_Materiel!C131</f>
        <v/>
      </c>
      <c r="D128" s="76">
        <f>Liste_Materiel!D131</f>
        <v>0</v>
      </c>
      <c r="E128" s="76" t="str">
        <f>Liste_Materiel!E131</f>
        <v>pce</v>
      </c>
      <c r="F128" s="76" t="str">
        <f t="shared" si="1"/>
        <v/>
      </c>
      <c r="G128" s="76">
        <f>IF(AND(B128&lt;&gt;"",B128&lt;&gt;"Non trouvé - vérifier",D128&lt;&gt;"",D128&lt;&gt;0),IF(COUNTIF($B$2:B128,B128)=1,1,0),0)</f>
        <v>0</v>
      </c>
    </row>
    <row r="129" spans="1:7" x14ac:dyDescent="0.25">
      <c r="A129" s="76" t="str">
        <f>IF(Liste_Materiel!A132="","","SPK - "&amp;Liste_Materiel!A132)</f>
        <v>SPK - TB Placo 3</v>
      </c>
      <c r="B129" s="76" t="str">
        <f>Liste_Materiel!B132</f>
        <v/>
      </c>
      <c r="C129" s="76" t="str">
        <f>Liste_Materiel!C132</f>
        <v/>
      </c>
      <c r="D129" s="76">
        <f>Liste_Materiel!D132</f>
        <v>0</v>
      </c>
      <c r="E129" s="76" t="str">
        <f>Liste_Materiel!E132</f>
        <v>pce</v>
      </c>
      <c r="F129" s="76" t="str">
        <f t="shared" si="1"/>
        <v/>
      </c>
      <c r="G129" s="76">
        <f>IF(AND(B129&lt;&gt;"",B129&lt;&gt;"Non trouvé - vérifier",D129&lt;&gt;"",D129&lt;&gt;0),IF(COUNTIF($B$2:B129,B129)=1,1,0),0)</f>
        <v>0</v>
      </c>
    </row>
    <row r="130" spans="1:7" x14ac:dyDescent="0.25">
      <c r="A130" s="76" t="str">
        <f>IF(Liste_Materiel!A133="","","SPK - "&amp;Liste_Materiel!A133)</f>
        <v>SPK - TB Placo 3</v>
      </c>
      <c r="B130" s="76" t="str">
        <f>Liste_Materiel!B133</f>
        <v/>
      </c>
      <c r="C130" s="76" t="str">
        <f>Liste_Materiel!C133</f>
        <v/>
      </c>
      <c r="D130" s="76">
        <f>Liste_Materiel!D133</f>
        <v>0</v>
      </c>
      <c r="E130" s="76" t="str">
        <f>Liste_Materiel!E133</f>
        <v>pce</v>
      </c>
      <c r="F130" s="76" t="str">
        <f t="shared" ref="F130:F193" si="2">IF(AND(B130&lt;&gt;"",B130&lt;&gt;"Non trouvé - vérifier",D130&lt;&gt;"",D130&lt;&gt;0),SUMIF($B$2:$B$426,B130,$D$2:$D$426),"")</f>
        <v/>
      </c>
      <c r="G130" s="76">
        <f>IF(AND(B130&lt;&gt;"",B130&lt;&gt;"Non trouvé - vérifier",D130&lt;&gt;"",D130&lt;&gt;0),IF(COUNTIF($B$2:B130,B130)=1,1,0),0)</f>
        <v>0</v>
      </c>
    </row>
    <row r="131" spans="1:7" x14ac:dyDescent="0.25">
      <c r="A131" s="76" t="str">
        <f>IF(Liste_Materiel!A134="","","SPK - "&amp;Liste_Materiel!A134)</f>
        <v>SPK - TB Faux plaf 3</v>
      </c>
      <c r="B131" s="76" t="str">
        <f>Liste_Materiel!B134</f>
        <v/>
      </c>
      <c r="C131" s="76" t="str">
        <f>Liste_Materiel!C134</f>
        <v/>
      </c>
      <c r="D131" s="76">
        <f>Liste_Materiel!D134</f>
        <v>0</v>
      </c>
      <c r="E131" s="76" t="str">
        <f>Liste_Materiel!E134</f>
        <v>pce</v>
      </c>
      <c r="F131" s="76" t="str">
        <f t="shared" si="2"/>
        <v/>
      </c>
      <c r="G131" s="76">
        <f>IF(AND(B131&lt;&gt;"",B131&lt;&gt;"Non trouvé - vérifier",D131&lt;&gt;"",D131&lt;&gt;0),IF(COUNTIF($B$2:B131,B131)=1,1,0),0)</f>
        <v>0</v>
      </c>
    </row>
    <row r="132" spans="1:7" x14ac:dyDescent="0.25">
      <c r="A132" s="76" t="str">
        <f>IF(Liste_Materiel!A135="","","SPK - "&amp;Liste_Materiel!A135)</f>
        <v>SPK - TB Faux plaf 3</v>
      </c>
      <c r="B132" s="76" t="str">
        <f>Liste_Materiel!B135</f>
        <v/>
      </c>
      <c r="C132" s="76" t="str">
        <f>Liste_Materiel!C135</f>
        <v/>
      </c>
      <c r="D132" s="76">
        <f>Liste_Materiel!D135</f>
        <v>0</v>
      </c>
      <c r="E132" s="76" t="str">
        <f>Liste_Materiel!E135</f>
        <v>pce</v>
      </c>
      <c r="F132" s="76" t="str">
        <f t="shared" si="2"/>
        <v/>
      </c>
      <c r="G132" s="76">
        <f>IF(AND(B132&lt;&gt;"",B132&lt;&gt;"Non trouvé - vérifier",D132&lt;&gt;"",D132&lt;&gt;0),IF(COUNTIF($B$2:B132,B132)=1,1,0),0)</f>
        <v>0</v>
      </c>
    </row>
    <row r="133" spans="1:7" x14ac:dyDescent="0.25">
      <c r="A133" s="76" t="str">
        <f>IF(Liste_Materiel!A136="","","SPK - "&amp;Liste_Materiel!A136)</f>
        <v>SPK - TB Faux plaf 3</v>
      </c>
      <c r="B133" s="76" t="str">
        <f>Liste_Materiel!B136</f>
        <v/>
      </c>
      <c r="C133" s="76" t="str">
        <f>Liste_Materiel!C136</f>
        <v/>
      </c>
      <c r="D133" s="76">
        <f>Liste_Materiel!D136</f>
        <v>0</v>
      </c>
      <c r="E133" s="76" t="str">
        <f>Liste_Materiel!E136</f>
        <v>pce</v>
      </c>
      <c r="F133" s="76" t="str">
        <f t="shared" si="2"/>
        <v/>
      </c>
      <c r="G133" s="76">
        <f>IF(AND(B133&lt;&gt;"",B133&lt;&gt;"Non trouvé - vérifier",D133&lt;&gt;"",D133&lt;&gt;0),IF(COUNTIF($B$2:B133,B133)=1,1,0),0)</f>
        <v>0</v>
      </c>
    </row>
    <row r="134" spans="1:7" x14ac:dyDescent="0.25">
      <c r="A134" s="76" t="str">
        <f>IF(Liste_Materiel!A137="","","SPK - "&amp;Liste_Materiel!A137)</f>
        <v>SPK - TB Faux plaf 3</v>
      </c>
      <c r="B134" s="76" t="str">
        <f>Liste_Materiel!B137</f>
        <v/>
      </c>
      <c r="C134" s="76" t="str">
        <f>Liste_Materiel!C137</f>
        <v/>
      </c>
      <c r="D134" s="76">
        <f>Liste_Materiel!D137</f>
        <v>0</v>
      </c>
      <c r="E134" s="76" t="str">
        <f>Liste_Materiel!E137</f>
        <v>pce</v>
      </c>
      <c r="F134" s="76" t="str">
        <f t="shared" si="2"/>
        <v/>
      </c>
      <c r="G134" s="76">
        <f>IF(AND(B134&lt;&gt;"",B134&lt;&gt;"Non trouvé - vérifier",D134&lt;&gt;"",D134&lt;&gt;0),IF(COUNTIF($B$2:B134,B134)=1,1,0),0)</f>
        <v>0</v>
      </c>
    </row>
    <row r="135" spans="1:7" x14ac:dyDescent="0.25">
      <c r="A135" s="76" t="str">
        <f>IF(Liste_Materiel!A138="","","SPK - "&amp;Liste_Materiel!A138)</f>
        <v>SPK - TB Labo 3</v>
      </c>
      <c r="B135" s="76" t="str">
        <f>Liste_Materiel!B138</f>
        <v/>
      </c>
      <c r="C135" s="76" t="str">
        <f>Liste_Materiel!C138</f>
        <v/>
      </c>
      <c r="D135" s="76">
        <f>Liste_Materiel!D138</f>
        <v>0</v>
      </c>
      <c r="E135" s="76" t="str">
        <f>Liste_Materiel!E138</f>
        <v>pce</v>
      </c>
      <c r="F135" s="76" t="str">
        <f t="shared" si="2"/>
        <v/>
      </c>
      <c r="G135" s="76">
        <f>IF(AND(B135&lt;&gt;"",B135&lt;&gt;"Non trouvé - vérifier",D135&lt;&gt;"",D135&lt;&gt;0),IF(COUNTIF($B$2:B135,B135)=1,1,0),0)</f>
        <v>0</v>
      </c>
    </row>
    <row r="136" spans="1:7" x14ac:dyDescent="0.25">
      <c r="A136" s="76" t="str">
        <f>IF(Liste_Materiel!A139="","","SPK - "&amp;Liste_Materiel!A139)</f>
        <v>SPK - TB Labo 3</v>
      </c>
      <c r="B136" s="76" t="str">
        <f>Liste_Materiel!B139</f>
        <v/>
      </c>
      <c r="C136" s="76" t="str">
        <f>Liste_Materiel!C139</f>
        <v/>
      </c>
      <c r="D136" s="76">
        <f>Liste_Materiel!D139</f>
        <v>0</v>
      </c>
      <c r="E136" s="76" t="str">
        <f>Liste_Materiel!E139</f>
        <v>pce</v>
      </c>
      <c r="F136" s="76" t="str">
        <f t="shared" si="2"/>
        <v/>
      </c>
      <c r="G136" s="76">
        <f>IF(AND(B136&lt;&gt;"",B136&lt;&gt;"Non trouvé - vérifier",D136&lt;&gt;"",D136&lt;&gt;0),IF(COUNTIF($B$2:B136,B136)=1,1,0),0)</f>
        <v>0</v>
      </c>
    </row>
    <row r="137" spans="1:7" x14ac:dyDescent="0.25">
      <c r="A137" s="76" t="str">
        <f>IF(Liste_Materiel!A140="","","SPK - "&amp;Liste_Materiel!A140)</f>
        <v>SPK - TB Labo 3</v>
      </c>
      <c r="B137" s="76" t="str">
        <f>Liste_Materiel!B140</f>
        <v/>
      </c>
      <c r="C137" s="76" t="str">
        <f>Liste_Materiel!C140</f>
        <v/>
      </c>
      <c r="D137" s="76">
        <f>Liste_Materiel!D140</f>
        <v>0</v>
      </c>
      <c r="E137" s="76" t="str">
        <f>Liste_Materiel!E140</f>
        <v>pce</v>
      </c>
      <c r="F137" s="76" t="str">
        <f t="shared" si="2"/>
        <v/>
      </c>
      <c r="G137" s="76">
        <f>IF(AND(B137&lt;&gt;"",B137&lt;&gt;"Non trouvé - vérifier",D137&lt;&gt;"",D137&lt;&gt;0),IF(COUNTIF($B$2:B137,B137)=1,1,0),0)</f>
        <v>0</v>
      </c>
    </row>
    <row r="138" spans="1:7" x14ac:dyDescent="0.25">
      <c r="A138" s="76" t="str">
        <f>IF(Liste_Materiel!A141="","","SPK - "&amp;Liste_Materiel!A141)</f>
        <v>SPK - TB Labo 3</v>
      </c>
      <c r="B138" s="76" t="str">
        <f>Liste_Materiel!B141</f>
        <v/>
      </c>
      <c r="C138" s="76" t="str">
        <f>Liste_Materiel!C141</f>
        <v/>
      </c>
      <c r="D138" s="76">
        <f>Liste_Materiel!D141</f>
        <v>0</v>
      </c>
      <c r="E138" s="76" t="str">
        <f>Liste_Materiel!E141</f>
        <v>pce</v>
      </c>
      <c r="F138" s="76" t="str">
        <f t="shared" si="2"/>
        <v/>
      </c>
      <c r="G138" s="76">
        <f>IF(AND(B138&lt;&gt;"",B138&lt;&gt;"Non trouvé - vérifier",D138&lt;&gt;"",D138&lt;&gt;0),IF(COUNTIF($B$2:B138,B138)=1,1,0),0)</f>
        <v>0</v>
      </c>
    </row>
    <row r="139" spans="1:7" x14ac:dyDescent="0.25">
      <c r="A139" s="76" t="str">
        <f>IF(Liste_Materiel!A142="","","SPK - "&amp;Liste_Materiel!A142)</f>
        <v>SPK - Tête sprinkler 3</v>
      </c>
      <c r="B139" s="76" t="str">
        <f>Liste_Materiel!B142</f>
        <v>Non trouvé - vérifier</v>
      </c>
      <c r="C139" s="76" t="str">
        <f>Liste_Materiel!C142</f>
        <v/>
      </c>
      <c r="D139" s="78">
        <f>Liste_Materiel!D142</f>
        <v>0</v>
      </c>
      <c r="E139" s="76" t="str">
        <f>Liste_Materiel!E142</f>
        <v>pce</v>
      </c>
      <c r="F139" s="76" t="str">
        <f t="shared" si="2"/>
        <v/>
      </c>
      <c r="G139" s="76">
        <f>IF(AND(B139&lt;&gt;"",B139&lt;&gt;"Non trouvé - vérifier",D139&lt;&gt;"",D139&lt;&gt;0),IF(COUNTIF($B$2:B139,B139)=1,1,0),0)</f>
        <v>0</v>
      </c>
    </row>
    <row r="140" spans="1:7" x14ac:dyDescent="0.25">
      <c r="A140" s="76" t="str">
        <f>IF(Liste_Materiel!A143="","","SPK - "&amp;Liste_Materiel!A143)</f>
        <v>SPK - Antenne 3 - Support 1</v>
      </c>
      <c r="B140" s="76" t="str">
        <f>Liste_Materiel!B143</f>
        <v/>
      </c>
      <c r="C140" s="76" t="str">
        <f>Liste_Materiel!C143</f>
        <v/>
      </c>
      <c r="D140" s="76" t="str">
        <f>Liste_Materiel!D143</f>
        <v/>
      </c>
      <c r="E140" s="76" t="str">
        <f>Liste_Materiel!E143</f>
        <v>pce/m</v>
      </c>
      <c r="F140" s="76" t="str">
        <f t="shared" si="2"/>
        <v/>
      </c>
      <c r="G140" s="76">
        <f>IF(AND(B140&lt;&gt;"",B140&lt;&gt;"Non trouvé - vérifier",D140&lt;&gt;"",D140&lt;&gt;0),IF(COUNTIF($B$2:B140,B140)=1,1,0),0)</f>
        <v>0</v>
      </c>
    </row>
    <row r="141" spans="1:7" x14ac:dyDescent="0.25">
      <c r="A141" s="76" t="str">
        <f>IF(Liste_Materiel!A144="","","SPK - "&amp;Liste_Materiel!A144)</f>
        <v>SPK - Antenne 3 - Support 1</v>
      </c>
      <c r="B141" s="76" t="str">
        <f>Liste_Materiel!B144</f>
        <v/>
      </c>
      <c r="C141" s="76" t="str">
        <f>Liste_Materiel!C144</f>
        <v/>
      </c>
      <c r="D141" s="76" t="str">
        <f>Liste_Materiel!D144</f>
        <v/>
      </c>
      <c r="E141" s="76" t="str">
        <f>Liste_Materiel!E144</f>
        <v>pce/m</v>
      </c>
      <c r="F141" s="76" t="str">
        <f t="shared" si="2"/>
        <v/>
      </c>
      <c r="G141" s="76">
        <f>IF(AND(B141&lt;&gt;"",B141&lt;&gt;"Non trouvé - vérifier",D141&lt;&gt;"",D141&lt;&gt;0),IF(COUNTIF($B$2:B141,B141)=1,1,0),0)</f>
        <v>0</v>
      </c>
    </row>
    <row r="142" spans="1:7" x14ac:dyDescent="0.25">
      <c r="A142" s="76" t="str">
        <f>IF(Liste_Materiel!A145="","","SPK - "&amp;Liste_Materiel!A145)</f>
        <v>SPK - Antenne 3 - Support 1</v>
      </c>
      <c r="B142" s="76" t="str">
        <f>Liste_Materiel!B145</f>
        <v/>
      </c>
      <c r="C142" s="76" t="str">
        <f>Liste_Materiel!C145</f>
        <v/>
      </c>
      <c r="D142" s="76" t="str">
        <f>Liste_Materiel!D145</f>
        <v/>
      </c>
      <c r="E142" s="76" t="str">
        <f>Liste_Materiel!E145</f>
        <v>pce/m</v>
      </c>
      <c r="F142" s="76" t="str">
        <f t="shared" si="2"/>
        <v/>
      </c>
      <c r="G142" s="76">
        <f>IF(AND(B142&lt;&gt;"",B142&lt;&gt;"Non trouvé - vérifier",D142&lt;&gt;"",D142&lt;&gt;0),IF(COUNTIF($B$2:B142,B142)=1,1,0),0)</f>
        <v>0</v>
      </c>
    </row>
    <row r="143" spans="1:7" x14ac:dyDescent="0.25">
      <c r="A143" s="76" t="str">
        <f>IF(Liste_Materiel!A146="","","SPK - "&amp;Liste_Materiel!A146)</f>
        <v>SPK - Antenne 3 - Support 1</v>
      </c>
      <c r="B143" s="76" t="str">
        <f>Liste_Materiel!B146</f>
        <v/>
      </c>
      <c r="C143" s="76" t="str">
        <f>Liste_Materiel!C146</f>
        <v/>
      </c>
      <c r="D143" s="76" t="str">
        <f>Liste_Materiel!D146</f>
        <v/>
      </c>
      <c r="E143" s="76" t="str">
        <f>Liste_Materiel!E146</f>
        <v>pce/m</v>
      </c>
      <c r="F143" s="76" t="str">
        <f t="shared" si="2"/>
        <v/>
      </c>
      <c r="G143" s="76">
        <f>IF(AND(B143&lt;&gt;"",B143&lt;&gt;"Non trouvé - vérifier",D143&lt;&gt;"",D143&lt;&gt;0),IF(COUNTIF($B$2:B143,B143)=1,1,0),0)</f>
        <v>0</v>
      </c>
    </row>
    <row r="144" spans="1:7" x14ac:dyDescent="0.25">
      <c r="A144" s="76" t="str">
        <f>IF(Liste_Materiel!A147="","","SPK - "&amp;Liste_Materiel!A147)</f>
        <v>SPK - Antenne 3 - Support 1</v>
      </c>
      <c r="B144" s="76" t="str">
        <f>Liste_Materiel!B147</f>
        <v/>
      </c>
      <c r="C144" s="76" t="str">
        <f>Liste_Materiel!C147</f>
        <v/>
      </c>
      <c r="D144" s="76" t="str">
        <f>Liste_Materiel!D147</f>
        <v/>
      </c>
      <c r="E144" s="76" t="str">
        <f>Liste_Materiel!E147</f>
        <v>pce/m</v>
      </c>
      <c r="F144" s="76" t="str">
        <f t="shared" si="2"/>
        <v/>
      </c>
      <c r="G144" s="76">
        <f>IF(AND(B144&lt;&gt;"",B144&lt;&gt;"Non trouvé - vérifier",D144&lt;&gt;"",D144&lt;&gt;0),IF(COUNTIF($B$2:B144,B144)=1,1,0),0)</f>
        <v>0</v>
      </c>
    </row>
    <row r="145" spans="1:7" x14ac:dyDescent="0.25">
      <c r="A145" s="76" t="str">
        <f>IF(Liste_Materiel!A148="","","SPK - "&amp;Liste_Materiel!A148)</f>
        <v>SPK - Antenne 3 - Support 1</v>
      </c>
      <c r="B145" s="76" t="str">
        <f>Liste_Materiel!B148</f>
        <v/>
      </c>
      <c r="C145" s="76" t="str">
        <f>Liste_Materiel!C148</f>
        <v/>
      </c>
      <c r="D145" s="76" t="str">
        <f>Liste_Materiel!D148</f>
        <v/>
      </c>
      <c r="E145" s="76" t="str">
        <f>Liste_Materiel!E148</f>
        <v>pce/m</v>
      </c>
      <c r="F145" s="76" t="str">
        <f t="shared" si="2"/>
        <v/>
      </c>
      <c r="G145" s="76">
        <f>IF(AND(B145&lt;&gt;"",B145&lt;&gt;"Non trouvé - vérifier",D145&lt;&gt;"",D145&lt;&gt;0),IF(COUNTIF($B$2:B145,B145)=1,1,0),0)</f>
        <v>0</v>
      </c>
    </row>
    <row r="146" spans="1:7" x14ac:dyDescent="0.25">
      <c r="A146" s="76" t="str">
        <f>IF(Liste_Materiel!A149="","","SPK - "&amp;Liste_Materiel!A149)</f>
        <v>SPK - Antenne 3 - Support 2</v>
      </c>
      <c r="B146" s="76" t="str">
        <f>Liste_Materiel!B149</f>
        <v/>
      </c>
      <c r="C146" s="76" t="str">
        <f>Liste_Materiel!C149</f>
        <v/>
      </c>
      <c r="D146" s="76" t="str">
        <f>Liste_Materiel!D149</f>
        <v/>
      </c>
      <c r="E146" s="76" t="str">
        <f>Liste_Materiel!E149</f>
        <v>pce/m</v>
      </c>
      <c r="F146" s="76" t="str">
        <f t="shared" si="2"/>
        <v/>
      </c>
      <c r="G146" s="76">
        <f>IF(AND(B146&lt;&gt;"",B146&lt;&gt;"Non trouvé - vérifier",D146&lt;&gt;"",D146&lt;&gt;0),IF(COUNTIF($B$2:B146,B146)=1,1,0),0)</f>
        <v>0</v>
      </c>
    </row>
    <row r="147" spans="1:7" x14ac:dyDescent="0.25">
      <c r="A147" s="76" t="str">
        <f>IF(Liste_Materiel!A150="","","SPK - "&amp;Liste_Materiel!A150)</f>
        <v>SPK - Antenne 3 - Support 2</v>
      </c>
      <c r="B147" s="76" t="str">
        <f>Liste_Materiel!B150</f>
        <v/>
      </c>
      <c r="C147" s="76" t="str">
        <f>Liste_Materiel!C150</f>
        <v/>
      </c>
      <c r="D147" s="76" t="str">
        <f>Liste_Materiel!D150</f>
        <v/>
      </c>
      <c r="E147" s="76" t="str">
        <f>Liste_Materiel!E150</f>
        <v>pce/m</v>
      </c>
      <c r="F147" s="76" t="str">
        <f t="shared" si="2"/>
        <v/>
      </c>
      <c r="G147" s="76">
        <f>IF(AND(B147&lt;&gt;"",B147&lt;&gt;"Non trouvé - vérifier",D147&lt;&gt;"",D147&lt;&gt;0),IF(COUNTIF($B$2:B147,B147)=1,1,0),0)</f>
        <v>0</v>
      </c>
    </row>
    <row r="148" spans="1:7" x14ac:dyDescent="0.25">
      <c r="A148" s="76" t="str">
        <f>IF(Liste_Materiel!A151="","","SPK - "&amp;Liste_Materiel!A151)</f>
        <v>SPK - Antenne 3 - Support 2</v>
      </c>
      <c r="B148" s="76" t="str">
        <f>Liste_Materiel!B151</f>
        <v/>
      </c>
      <c r="C148" s="76" t="str">
        <f>Liste_Materiel!C151</f>
        <v/>
      </c>
      <c r="D148" s="76" t="str">
        <f>Liste_Materiel!D151</f>
        <v/>
      </c>
      <c r="E148" s="76" t="str">
        <f>Liste_Materiel!E151</f>
        <v>pce/m</v>
      </c>
      <c r="F148" s="76" t="str">
        <f t="shared" si="2"/>
        <v/>
      </c>
      <c r="G148" s="76">
        <f>IF(AND(B148&lt;&gt;"",B148&lt;&gt;"Non trouvé - vérifier",D148&lt;&gt;"",D148&lt;&gt;0),IF(COUNTIF($B$2:B148,B148)=1,1,0),0)</f>
        <v>0</v>
      </c>
    </row>
    <row r="149" spans="1:7" x14ac:dyDescent="0.25">
      <c r="A149" s="76" t="str">
        <f>IF(Liste_Materiel!A152="","","SPK - "&amp;Liste_Materiel!A152)</f>
        <v>SPK - Antenne 3 - Support 2</v>
      </c>
      <c r="B149" s="76" t="str">
        <f>Liste_Materiel!B152</f>
        <v/>
      </c>
      <c r="C149" s="76" t="str">
        <f>Liste_Materiel!C152</f>
        <v/>
      </c>
      <c r="D149" s="76" t="str">
        <f>Liste_Materiel!D152</f>
        <v/>
      </c>
      <c r="E149" s="76" t="str">
        <f>Liste_Materiel!E152</f>
        <v>pce/m</v>
      </c>
      <c r="F149" s="76" t="str">
        <f t="shared" si="2"/>
        <v/>
      </c>
      <c r="G149" s="76">
        <f>IF(AND(B149&lt;&gt;"",B149&lt;&gt;"Non trouvé - vérifier",D149&lt;&gt;"",D149&lt;&gt;0),IF(COUNTIF($B$2:B149,B149)=1,1,0),0)</f>
        <v>0</v>
      </c>
    </row>
    <row r="150" spans="1:7" x14ac:dyDescent="0.25">
      <c r="A150" s="76" t="str">
        <f>IF(Liste_Materiel!A153="","","SPK - "&amp;Liste_Materiel!A153)</f>
        <v>SPK - Antenne 3 - Support 2</v>
      </c>
      <c r="B150" s="76" t="str">
        <f>Liste_Materiel!B153</f>
        <v/>
      </c>
      <c r="C150" s="76" t="str">
        <f>Liste_Materiel!C153</f>
        <v/>
      </c>
      <c r="D150" s="76" t="str">
        <f>Liste_Materiel!D153</f>
        <v/>
      </c>
      <c r="E150" s="76" t="str">
        <f>Liste_Materiel!E153</f>
        <v>pce/m</v>
      </c>
      <c r="F150" s="76" t="str">
        <f t="shared" si="2"/>
        <v/>
      </c>
      <c r="G150" s="76">
        <f>IF(AND(B150&lt;&gt;"",B150&lt;&gt;"Non trouvé - vérifier",D150&lt;&gt;"",D150&lt;&gt;0),IF(COUNTIF($B$2:B150,B150)=1,1,0),0)</f>
        <v>0</v>
      </c>
    </row>
    <row r="151" spans="1:7" x14ac:dyDescent="0.25">
      <c r="A151" s="76" t="str">
        <f>IF(Liste_Materiel!A154="","","SPK - "&amp;Liste_Materiel!A154)</f>
        <v>SPK - Antenne 3 - Support 2</v>
      </c>
      <c r="B151" s="76" t="str">
        <f>Liste_Materiel!B154</f>
        <v/>
      </c>
      <c r="C151" s="76" t="str">
        <f>Liste_Materiel!C154</f>
        <v/>
      </c>
      <c r="D151" s="76" t="str">
        <f>Liste_Materiel!D154</f>
        <v/>
      </c>
      <c r="E151" s="76" t="str">
        <f>Liste_Materiel!E154</f>
        <v>pce/m</v>
      </c>
      <c r="F151" s="76" t="str">
        <f t="shared" si="2"/>
        <v/>
      </c>
      <c r="G151" s="76">
        <f>IF(AND(B151&lt;&gt;"",B151&lt;&gt;"Non trouvé - vérifier",D151&lt;&gt;"",D151&lt;&gt;0),IF(COUNTIF($B$2:B151,B151)=1,1,0),0)</f>
        <v>0</v>
      </c>
    </row>
    <row r="152" spans="1:7" x14ac:dyDescent="0.25">
      <c r="A152" s="76" t="str">
        <f>IF(Liste_Materiel!A155="","","SPK - "&amp;Liste_Materiel!A155)</f>
        <v>SPK - Consommable</v>
      </c>
      <c r="B152" s="76" t="str">
        <f>Liste_Materiel!B155</f>
        <v>KOLMAT360</v>
      </c>
      <c r="C152" s="76" t="str">
        <f>Liste_Materiel!C155</f>
        <v>KOLMAT POT DE 360ML</v>
      </c>
      <c r="D152" s="76">
        <f>Liste_Materiel!D155</f>
        <v>0</v>
      </c>
      <c r="E152" s="76" t="str">
        <f>Liste_Materiel!E155</f>
        <v>pot</v>
      </c>
      <c r="F152" s="76" t="str">
        <f t="shared" si="2"/>
        <v/>
      </c>
      <c r="G152" s="76">
        <f>IF(AND(B152&lt;&gt;"",B152&lt;&gt;"Non trouvé - vérifier",D152&lt;&gt;"",D152&lt;&gt;0),IF(COUNTIF($B$2:B152,B152)=1,1,0),0)</f>
        <v>0</v>
      </c>
    </row>
    <row r="153" spans="1:7" x14ac:dyDescent="0.25">
      <c r="A153" s="76" t="str">
        <f>IF(Liste_Materiel!A156="","","SPK - "&amp;Liste_Materiel!A156)</f>
        <v>SPK - Consommable</v>
      </c>
      <c r="B153" s="76" t="str">
        <f>Liste_Materiel!B156</f>
        <v>FILASSE200</v>
      </c>
      <c r="C153" s="76" t="str">
        <f>Liste_Materiel!C156</f>
        <v>FILASSE POUPEE DE 200 GR</v>
      </c>
      <c r="D153" s="76">
        <f>Liste_Materiel!D156</f>
        <v>0</v>
      </c>
      <c r="E153" s="76" t="str">
        <f>Liste_Materiel!E156</f>
        <v>unité</v>
      </c>
      <c r="F153" s="76" t="str">
        <f t="shared" si="2"/>
        <v/>
      </c>
      <c r="G153" s="76">
        <f>IF(AND(B153&lt;&gt;"",B153&lt;&gt;"Non trouvé - vérifier",D153&lt;&gt;"",D153&lt;&gt;0),IF(COUNTIF($B$2:B153,B153)=1,1,0),0)</f>
        <v>0</v>
      </c>
    </row>
    <row r="154" spans="1:7" x14ac:dyDescent="0.25">
      <c r="A154" s="76" t="str">
        <f>IF(Liste_Materiel!A157="","","SPK - "&amp;Liste_Materiel!A157)</f>
        <v>SPK - Consommable</v>
      </c>
      <c r="B154" s="76" t="str">
        <f>Liste_Materiel!B157</f>
        <v>TEFLON</v>
      </c>
      <c r="C154" s="76" t="str">
        <f>Liste_Materiel!C157</f>
        <v>TEFLON</v>
      </c>
      <c r="D154" s="76">
        <f>Liste_Materiel!D157</f>
        <v>0</v>
      </c>
      <c r="E154" s="76" t="str">
        <f>Liste_Materiel!E157</f>
        <v>unité</v>
      </c>
      <c r="F154" s="76" t="str">
        <f t="shared" si="2"/>
        <v/>
      </c>
      <c r="G154" s="76">
        <f>IF(AND(B154&lt;&gt;"",B154&lt;&gt;"Non trouvé - vérifier",D154&lt;&gt;"",D154&lt;&gt;0),IF(COUNTIF($B$2:B154,B154)=1,1,0),0)</f>
        <v>0</v>
      </c>
    </row>
    <row r="155" spans="1:7" x14ac:dyDescent="0.25">
      <c r="A155" s="76" t="str">
        <f>IF(Liste_Materiel!A158="","","SPK - "&amp;Liste_Materiel!A158)</f>
        <v>SPK - Consommable</v>
      </c>
      <c r="B155" s="76" t="str">
        <f>Liste_Materiel!B158</f>
        <v>GRAISSEGRUVLOCK</v>
      </c>
      <c r="C155" s="76" t="str">
        <f>Liste_Materiel!C158</f>
        <v>GRAISSE GRUVLOCK RACCORD RAINURE 1 KG</v>
      </c>
      <c r="D155" s="78">
        <f>Liste_Materiel!D158</f>
        <v>0</v>
      </c>
      <c r="E155" s="76" t="str">
        <f>Liste_Materiel!E158</f>
        <v>kg</v>
      </c>
      <c r="F155" s="76" t="str">
        <f t="shared" si="2"/>
        <v/>
      </c>
      <c r="G155" s="76">
        <f>IF(AND(B155&lt;&gt;"",B155&lt;&gt;"Non trouvé - vérifier",D155&lt;&gt;"",D155&lt;&gt;0),IF(COUNTIF($B$2:B155,B155)=1,1,0),0)</f>
        <v>0</v>
      </c>
    </row>
    <row r="156" spans="1:7" x14ac:dyDescent="0.25">
      <c r="A156" s="76" t="str">
        <f>IF(Liste_Materiel!A159="","","SPK - "&amp;Liste_Materiel!A159)</f>
        <v>SPK - Consommable</v>
      </c>
      <c r="B156" s="76" t="str">
        <f>Liste_Materiel!B159</f>
        <v/>
      </c>
      <c r="C156" s="76" t="str">
        <f>Liste_Materiel!C159</f>
        <v/>
      </c>
      <c r="D156" s="78">
        <f>Liste_Materiel!D159</f>
        <v>0</v>
      </c>
      <c r="E156" s="76" t="str">
        <f>Liste_Materiel!E159</f>
        <v>unité</v>
      </c>
      <c r="F156" s="76" t="str">
        <f t="shared" si="2"/>
        <v/>
      </c>
      <c r="G156" s="76">
        <f>IF(AND(B156&lt;&gt;"",B156&lt;&gt;"Non trouvé - vérifier",D156&lt;&gt;"",D156&lt;&gt;0),IF(COUNTIF($B$2:B156,B156)=1,1,0),0)</f>
        <v>0</v>
      </c>
    </row>
    <row r="157" spans="1:7" x14ac:dyDescent="0.25">
      <c r="A157" s="76" t="str">
        <f>IF(Liste_Materiel!A160="","","SPK - "&amp;Liste_Materiel!A160)</f>
        <v>SPK - Matériel divers 1</v>
      </c>
      <c r="B157" s="76" t="str">
        <f>Liste_Materiel!B160</f>
        <v/>
      </c>
      <c r="C157" s="76" t="str">
        <f>Liste_Materiel!C160</f>
        <v/>
      </c>
      <c r="D157" s="78" t="str">
        <f>Liste_Materiel!D160</f>
        <v/>
      </c>
      <c r="E157" s="76" t="str">
        <f>Liste_Materiel!E160</f>
        <v>pce</v>
      </c>
      <c r="F157" s="76" t="str">
        <f t="shared" si="2"/>
        <v/>
      </c>
      <c r="G157" s="76">
        <f>IF(AND(B157&lt;&gt;"",B157&lt;&gt;"Non trouvé - vérifier",D157&lt;&gt;"",D157&lt;&gt;0),IF(COUNTIF($B$2:B157,B157)=1,1,0),0)</f>
        <v>0</v>
      </c>
    </row>
    <row r="158" spans="1:7" x14ac:dyDescent="0.25">
      <c r="A158" s="76" t="str">
        <f>IF(Liste_Materiel!A161="","","SPK - "&amp;Liste_Materiel!A161)</f>
        <v>SPK - Matériel divers 2</v>
      </c>
      <c r="B158" s="76" t="str">
        <f>Liste_Materiel!B161</f>
        <v/>
      </c>
      <c r="C158" s="79" t="str">
        <f>Liste_Materiel!C161</f>
        <v/>
      </c>
      <c r="D158" s="76" t="str">
        <f>Liste_Materiel!D161</f>
        <v/>
      </c>
      <c r="E158" s="76" t="str">
        <f>Liste_Materiel!E161</f>
        <v>pce</v>
      </c>
      <c r="F158" s="76" t="str">
        <f t="shared" si="2"/>
        <v/>
      </c>
      <c r="G158" s="76">
        <f>IF(AND(B158&lt;&gt;"",B158&lt;&gt;"Non trouvé - vérifier",D158&lt;&gt;"",D158&lt;&gt;0),IF(COUNTIF($B$2:B158,B158)=1,1,0),0)</f>
        <v>0</v>
      </c>
    </row>
    <row r="159" spans="1:7" x14ac:dyDescent="0.25">
      <c r="A159" s="76" t="str">
        <f>IF(Liste_Materiel!A162="","","SPK - "&amp;Liste_Materiel!A162)</f>
        <v>SPK - Matériel divers 3</v>
      </c>
      <c r="B159" s="76" t="str">
        <f>Liste_Materiel!B162</f>
        <v/>
      </c>
      <c r="C159" s="76" t="str">
        <f>Liste_Materiel!C162</f>
        <v/>
      </c>
      <c r="D159" s="76" t="str">
        <f>Liste_Materiel!D162</f>
        <v/>
      </c>
      <c r="E159" s="76" t="str">
        <f>Liste_Materiel!E162</f>
        <v>pce</v>
      </c>
      <c r="F159" s="76" t="str">
        <f t="shared" si="2"/>
        <v/>
      </c>
      <c r="G159" s="76">
        <f>IF(AND(B159&lt;&gt;"",B159&lt;&gt;"Non trouvé - vérifier",D159&lt;&gt;"",D159&lt;&gt;0),IF(COUNTIF($B$2:B159,B159)=1,1,0),0)</f>
        <v>0</v>
      </c>
    </row>
    <row r="160" spans="1:7" x14ac:dyDescent="0.25">
      <c r="A160" s="76" t="str">
        <f>IF(Liste_Materiel!A163="","","SPK - "&amp;Liste_Materiel!A163)</f>
        <v>SPK - Matériel divers 4</v>
      </c>
      <c r="B160" s="76" t="str">
        <f>Liste_Materiel!B163</f>
        <v/>
      </c>
      <c r="C160" s="76" t="str">
        <f>Liste_Materiel!C163</f>
        <v/>
      </c>
      <c r="D160" s="76" t="str">
        <f>Liste_Materiel!D163</f>
        <v/>
      </c>
      <c r="E160" s="76" t="str">
        <f>Liste_Materiel!E163</f>
        <v>pce</v>
      </c>
      <c r="F160" s="76" t="str">
        <f t="shared" si="2"/>
        <v/>
      </c>
      <c r="G160" s="76">
        <f>IF(AND(B160&lt;&gt;"",B160&lt;&gt;"Non trouvé - vérifier",D160&lt;&gt;"",D160&lt;&gt;0),IF(COUNTIF($B$2:B160,B160)=1,1,0),0)</f>
        <v>0</v>
      </c>
    </row>
    <row r="161" spans="1:7" x14ac:dyDescent="0.25">
      <c r="A161" s="76" t="str">
        <f>IF(Liste_Materiel!A164="","","SPK - "&amp;Liste_Materiel!A164)</f>
        <v>SPK - Matériel divers 5</v>
      </c>
      <c r="B161" s="76" t="str">
        <f>Liste_Materiel!B164</f>
        <v/>
      </c>
      <c r="C161" s="76" t="str">
        <f>Liste_Materiel!C164</f>
        <v/>
      </c>
      <c r="D161" s="76" t="str">
        <f>Liste_Materiel!D164</f>
        <v/>
      </c>
      <c r="E161" s="76" t="str">
        <f>Liste_Materiel!E164</f>
        <v>pce</v>
      </c>
      <c r="F161" s="76" t="str">
        <f t="shared" si="2"/>
        <v/>
      </c>
      <c r="G161" s="76">
        <f>IF(AND(B161&lt;&gt;"",B161&lt;&gt;"Non trouvé - vérifier",D161&lt;&gt;"",D161&lt;&gt;0),IF(COUNTIF($B$2:B161,B161)=1,1,0),0)</f>
        <v>0</v>
      </c>
    </row>
    <row r="162" spans="1:7" x14ac:dyDescent="0.25">
      <c r="A162" s="76" t="str">
        <f>IF(Liste_Materiel!A165="","","SPK - "&amp;Liste_Materiel!A165)</f>
        <v>SPK - Matériel divers 6</v>
      </c>
      <c r="B162" s="76" t="str">
        <f>Liste_Materiel!B165</f>
        <v/>
      </c>
      <c r="C162" s="76" t="str">
        <f>Liste_Materiel!C165</f>
        <v/>
      </c>
      <c r="D162" s="76" t="str">
        <f>Liste_Materiel!D165</f>
        <v/>
      </c>
      <c r="E162" s="76" t="str">
        <f>Liste_Materiel!E165</f>
        <v>pce</v>
      </c>
      <c r="F162" s="76" t="str">
        <f t="shared" si="2"/>
        <v/>
      </c>
      <c r="G162" s="76">
        <f>IF(AND(B162&lt;&gt;"",B162&lt;&gt;"Non trouvé - vérifier",D162&lt;&gt;"",D162&lt;&gt;0),IF(COUNTIF($B$2:B162,B162)=1,1,0),0)</f>
        <v>0</v>
      </c>
    </row>
    <row r="163" spans="1:7" x14ac:dyDescent="0.25">
      <c r="A163" s="76" t="str">
        <f>IF(Liste_Materiel!A166="","","SPK - "&amp;Liste_Materiel!A166)</f>
        <v>SPK - Matériel divers 7</v>
      </c>
      <c r="B163" s="76" t="str">
        <f>Liste_Materiel!B166</f>
        <v/>
      </c>
      <c r="C163" s="76" t="str">
        <f>Liste_Materiel!C166</f>
        <v/>
      </c>
      <c r="D163" s="76" t="str">
        <f>Liste_Materiel!D166</f>
        <v/>
      </c>
      <c r="E163" s="76" t="str">
        <f>Liste_Materiel!E166</f>
        <v>pce</v>
      </c>
      <c r="F163" s="76" t="str">
        <f t="shared" si="2"/>
        <v/>
      </c>
      <c r="G163" s="76">
        <f>IF(AND(B163&lt;&gt;"",B163&lt;&gt;"Non trouvé - vérifier",D163&lt;&gt;"",D163&lt;&gt;0),IF(COUNTIF($B$2:B163,B163)=1,1,0),0)</f>
        <v>0</v>
      </c>
    </row>
    <row r="164" spans="1:7" x14ac:dyDescent="0.25">
      <c r="A164" s="76" t="str">
        <f>IF(Liste_Materiel!A167="","","SPK - "&amp;Liste_Materiel!A167)</f>
        <v>SPK - Matériel divers 8</v>
      </c>
      <c r="B164" s="76" t="str">
        <f>Liste_Materiel!B167</f>
        <v/>
      </c>
      <c r="C164" s="76" t="str">
        <f>Liste_Materiel!C167</f>
        <v/>
      </c>
      <c r="D164" s="76" t="str">
        <f>Liste_Materiel!D167</f>
        <v/>
      </c>
      <c r="E164" s="76" t="str">
        <f>Liste_Materiel!E167</f>
        <v>pce</v>
      </c>
      <c r="F164" s="76" t="str">
        <f t="shared" si="2"/>
        <v/>
      </c>
      <c r="G164" s="76">
        <f>IF(AND(B164&lt;&gt;"",B164&lt;&gt;"Non trouvé - vérifier",D164&lt;&gt;"",D164&lt;&gt;0),IF(COUNTIF($B$2:B164,B164)=1,1,0),0)</f>
        <v>0</v>
      </c>
    </row>
    <row r="165" spans="1:7" x14ac:dyDescent="0.25">
      <c r="A165" s="76" t="str">
        <f>IF(Liste_Materiel!A168="","","SPK - "&amp;Liste_Materiel!A168)</f>
        <v>SPK - Matériel divers 9</v>
      </c>
      <c r="B165" s="76" t="str">
        <f>Liste_Materiel!B168</f>
        <v/>
      </c>
      <c r="C165" s="76" t="str">
        <f>Liste_Materiel!C168</f>
        <v/>
      </c>
      <c r="D165" s="76" t="str">
        <f>Liste_Materiel!D168</f>
        <v/>
      </c>
      <c r="E165" s="76" t="str">
        <f>Liste_Materiel!E168</f>
        <v>pce</v>
      </c>
      <c r="F165" s="76" t="str">
        <f t="shared" si="2"/>
        <v/>
      </c>
      <c r="G165" s="76">
        <f>IF(AND(B165&lt;&gt;"",B165&lt;&gt;"Non trouvé - vérifier",D165&lt;&gt;"",D165&lt;&gt;0),IF(COUNTIF($B$2:B165,B165)=1,1,0),0)</f>
        <v>0</v>
      </c>
    </row>
    <row r="166" spans="1:7" x14ac:dyDescent="0.25">
      <c r="A166" s="76" t="str">
        <f>IF(Liste_Materiel!A169="","","SPK - "&amp;Liste_Materiel!A169)</f>
        <v>SPK - Matériel divers 10</v>
      </c>
      <c r="B166" s="76" t="str">
        <f>Liste_Materiel!B169</f>
        <v/>
      </c>
      <c r="C166" s="76" t="str">
        <f>Liste_Materiel!C169</f>
        <v/>
      </c>
      <c r="D166" s="76" t="str">
        <f>Liste_Materiel!D169</f>
        <v/>
      </c>
      <c r="E166" s="76" t="str">
        <f>Liste_Materiel!E169</f>
        <v>pce</v>
      </c>
      <c r="F166" s="76" t="str">
        <f t="shared" si="2"/>
        <v/>
      </c>
      <c r="G166" s="76">
        <f>IF(AND(B166&lt;&gt;"",B166&lt;&gt;"Non trouvé - vérifier",D166&lt;&gt;"",D166&lt;&gt;0),IF(COUNTIF($B$2:B166,B166)=1,1,0),0)</f>
        <v>0</v>
      </c>
    </row>
    <row r="167" spans="1:7" x14ac:dyDescent="0.25">
      <c r="A167" s="76" t="str">
        <f>IF(Liste_Materiel!A170="","","SPK - "&amp;Liste_Materiel!A170)</f>
        <v>SPK - Collecteur 4</v>
      </c>
      <c r="B167" s="76" t="str">
        <f>Liste_Materiel!B170</f>
        <v>Non trouvé - vérifier</v>
      </c>
      <c r="C167" s="76" t="str">
        <f>Liste_Materiel!C170</f>
        <v/>
      </c>
      <c r="D167" s="78">
        <f>Liste_Materiel!D170</f>
        <v>0</v>
      </c>
      <c r="E167" s="76" t="str">
        <f>Liste_Materiel!E170</f>
        <v>ml</v>
      </c>
      <c r="F167" s="76" t="str">
        <f t="shared" si="2"/>
        <v/>
      </c>
      <c r="G167" s="76">
        <f>IF(AND(B167&lt;&gt;"",B167&lt;&gt;"Non trouvé - vérifier",D167&lt;&gt;"",D167&lt;&gt;0),IF(COUNTIF($B$2:B167,B167)=1,1,0),0)</f>
        <v>0</v>
      </c>
    </row>
    <row r="168" spans="1:7" x14ac:dyDescent="0.25">
      <c r="A168" s="76" t="str">
        <f>IF(Liste_Materiel!A171="","","SPK - "&amp;Liste_Materiel!A171)</f>
        <v>SPK - Collecteur 4</v>
      </c>
      <c r="B168" s="76" t="str">
        <f>Liste_Materiel!B171</f>
        <v>Non trouvé - vérifier</v>
      </c>
      <c r="C168" s="76" t="str">
        <f>Liste_Materiel!C171</f>
        <v/>
      </c>
      <c r="D168" s="78">
        <f>Liste_Materiel!D171</f>
        <v>0</v>
      </c>
      <c r="E168" s="76" t="str">
        <f>Liste_Materiel!E171</f>
        <v>pce</v>
      </c>
      <c r="F168" s="76" t="str">
        <f t="shared" si="2"/>
        <v/>
      </c>
      <c r="G168" s="76">
        <f>IF(AND(B168&lt;&gt;"",B168&lt;&gt;"Non trouvé - vérifier",D168&lt;&gt;"",D168&lt;&gt;0),IF(COUNTIF($B$2:B168,B168)=1,1,0),0)</f>
        <v>0</v>
      </c>
    </row>
    <row r="169" spans="1:7" x14ac:dyDescent="0.25">
      <c r="A169" s="76" t="str">
        <f>IF(Liste_Materiel!A172="","","SPK - "&amp;Liste_Materiel!A172)</f>
        <v>SPK - Collecteur 4</v>
      </c>
      <c r="B169" s="76" t="str">
        <f>Liste_Materiel!B172</f>
        <v>Non trouvé - vérifier</v>
      </c>
      <c r="C169" s="76" t="str">
        <f>Liste_Materiel!C172</f>
        <v/>
      </c>
      <c r="D169" s="76">
        <f>Liste_Materiel!D172</f>
        <v>1</v>
      </c>
      <c r="E169" s="76" t="str">
        <f>Liste_Materiel!E172</f>
        <v>pce</v>
      </c>
      <c r="F169" s="76" t="str">
        <f t="shared" si="2"/>
        <v/>
      </c>
      <c r="G169" s="76">
        <f>IF(AND(B169&lt;&gt;"",B169&lt;&gt;"Non trouvé - vérifier",D169&lt;&gt;"",D169&lt;&gt;0),IF(COUNTIF($B$2:B169,B169)=1,1,0),0)</f>
        <v>0</v>
      </c>
    </row>
    <row r="170" spans="1:7" x14ac:dyDescent="0.25">
      <c r="A170" s="76" t="str">
        <f>IF(Liste_Materiel!A173="","","SPK - "&amp;Liste_Materiel!A173)</f>
        <v>SPK - Collecteur 4</v>
      </c>
      <c r="B170" s="76" t="str">
        <f>Liste_Materiel!B173</f>
        <v>Non trouvé - vérifier</v>
      </c>
      <c r="C170" s="76" t="str">
        <f>Liste_Materiel!C173</f>
        <v/>
      </c>
      <c r="D170" s="76">
        <f>Liste_Materiel!D173</f>
        <v>0</v>
      </c>
      <c r="E170" s="76" t="str">
        <f>Liste_Materiel!E173</f>
        <v>pce</v>
      </c>
      <c r="F170" s="76" t="str">
        <f t="shared" si="2"/>
        <v/>
      </c>
      <c r="G170" s="76">
        <f>IF(AND(B170&lt;&gt;"",B170&lt;&gt;"Non trouvé - vérifier",D170&lt;&gt;"",D170&lt;&gt;0),IF(COUNTIF($B$2:B170,B170)=1,1,0),0)</f>
        <v>0</v>
      </c>
    </row>
    <row r="171" spans="1:7" x14ac:dyDescent="0.25">
      <c r="A171" s="76" t="str">
        <f>IF(Liste_Materiel!A174="","","SPK - "&amp;Liste_Materiel!A174)</f>
        <v>SPK - Collecteur 1 - Support 3</v>
      </c>
      <c r="B171" s="76" t="str">
        <f>Liste_Materiel!B174</f>
        <v/>
      </c>
      <c r="C171" s="76" t="str">
        <f>Liste_Materiel!C174</f>
        <v/>
      </c>
      <c r="D171" s="76" t="str">
        <f>Liste_Materiel!D174</f>
        <v/>
      </c>
      <c r="E171" s="76" t="str">
        <f>Liste_Materiel!E174</f>
        <v>pce/m</v>
      </c>
      <c r="F171" s="76" t="str">
        <f t="shared" si="2"/>
        <v/>
      </c>
      <c r="G171" s="76">
        <f>IF(AND(B171&lt;&gt;"",B171&lt;&gt;"Non trouvé - vérifier",D171&lt;&gt;"",D171&lt;&gt;0),IF(COUNTIF($B$2:B171,B171)=1,1,0),0)</f>
        <v>0</v>
      </c>
    </row>
    <row r="172" spans="1:7" x14ac:dyDescent="0.25">
      <c r="A172" s="76" t="str">
        <f>IF(Liste_Materiel!A175="","","SPK - "&amp;Liste_Materiel!A175)</f>
        <v>SPK - Collecteur 1 - Support 3</v>
      </c>
      <c r="B172" s="76" t="str">
        <f>Liste_Materiel!B175</f>
        <v/>
      </c>
      <c r="C172" s="76" t="str">
        <f>Liste_Materiel!C175</f>
        <v/>
      </c>
      <c r="D172" s="76" t="str">
        <f>Liste_Materiel!D175</f>
        <v/>
      </c>
      <c r="E172" s="76" t="str">
        <f>Liste_Materiel!E175</f>
        <v>pce/m</v>
      </c>
      <c r="F172" s="76" t="str">
        <f t="shared" si="2"/>
        <v/>
      </c>
      <c r="G172" s="76">
        <f>IF(AND(B172&lt;&gt;"",B172&lt;&gt;"Non trouvé - vérifier",D172&lt;&gt;"",D172&lt;&gt;0),IF(COUNTIF($B$2:B172,B172)=1,1,0),0)</f>
        <v>0</v>
      </c>
    </row>
    <row r="173" spans="1:7" x14ac:dyDescent="0.25">
      <c r="A173" s="76" t="str">
        <f>IF(Liste_Materiel!A176="","","SPK - "&amp;Liste_Materiel!A176)</f>
        <v>SPK - Collecteur 1 - Support 3</v>
      </c>
      <c r="B173" s="76" t="str">
        <f>Liste_Materiel!B176</f>
        <v/>
      </c>
      <c r="C173" s="76" t="str">
        <f>Liste_Materiel!C176</f>
        <v/>
      </c>
      <c r="D173" s="76" t="str">
        <f>Liste_Materiel!D176</f>
        <v/>
      </c>
      <c r="E173" s="76" t="str">
        <f>Liste_Materiel!E176</f>
        <v>pce/m</v>
      </c>
      <c r="F173" s="76" t="str">
        <f t="shared" si="2"/>
        <v/>
      </c>
      <c r="G173" s="76">
        <f>IF(AND(B173&lt;&gt;"",B173&lt;&gt;"Non trouvé - vérifier",D173&lt;&gt;"",D173&lt;&gt;0),IF(COUNTIF($B$2:B173,B173)=1,1,0),0)</f>
        <v>0</v>
      </c>
    </row>
    <row r="174" spans="1:7" x14ac:dyDescent="0.25">
      <c r="A174" s="76" t="str">
        <f>IF(Liste_Materiel!A177="","","SPK - "&amp;Liste_Materiel!A177)</f>
        <v>SPK - Collecteur 1 - Support 3</v>
      </c>
      <c r="B174" s="76" t="str">
        <f>Liste_Materiel!B177</f>
        <v/>
      </c>
      <c r="C174" s="76" t="str">
        <f>Liste_Materiel!C177</f>
        <v/>
      </c>
      <c r="D174" s="76" t="str">
        <f>Liste_Materiel!D177</f>
        <v/>
      </c>
      <c r="E174" s="76" t="str">
        <f>Liste_Materiel!E177</f>
        <v>pce/m</v>
      </c>
      <c r="F174" s="76" t="str">
        <f t="shared" si="2"/>
        <v/>
      </c>
      <c r="G174" s="76">
        <f>IF(AND(B174&lt;&gt;"",B174&lt;&gt;"Non trouvé - vérifier",D174&lt;&gt;"",D174&lt;&gt;0),IF(COUNTIF($B$2:B174,B174)=1,1,0),0)</f>
        <v>0</v>
      </c>
    </row>
    <row r="175" spans="1:7" x14ac:dyDescent="0.25">
      <c r="A175" s="76" t="str">
        <f>IF(Liste_Materiel!A178="","","SPK - "&amp;Liste_Materiel!A178)</f>
        <v>SPK - Collecteur 1 - Support 3</v>
      </c>
      <c r="B175" s="76" t="str">
        <f>Liste_Materiel!B178</f>
        <v/>
      </c>
      <c r="C175" s="76" t="str">
        <f>Liste_Materiel!C178</f>
        <v/>
      </c>
      <c r="D175" s="76" t="str">
        <f>Liste_Materiel!D178</f>
        <v/>
      </c>
      <c r="E175" s="76" t="str">
        <f>Liste_Materiel!E178</f>
        <v>pce/m</v>
      </c>
      <c r="F175" s="76" t="str">
        <f t="shared" si="2"/>
        <v/>
      </c>
      <c r="G175" s="76">
        <f>IF(AND(B175&lt;&gt;"",B175&lt;&gt;"Non trouvé - vérifier",D175&lt;&gt;"",D175&lt;&gt;0),IF(COUNTIF($B$2:B175,B175)=1,1,0),0)</f>
        <v>0</v>
      </c>
    </row>
    <row r="176" spans="1:7" x14ac:dyDescent="0.25">
      <c r="A176" s="76" t="str">
        <f>IF(Liste_Materiel!A179="","","SPK - "&amp;Liste_Materiel!A179)</f>
        <v>SPK - Collecteur 1 - Support 3</v>
      </c>
      <c r="B176" s="76" t="str">
        <f>Liste_Materiel!B179</f>
        <v/>
      </c>
      <c r="C176" s="76" t="str">
        <f>Liste_Materiel!C179</f>
        <v/>
      </c>
      <c r="D176" s="76" t="str">
        <f>Liste_Materiel!D179</f>
        <v/>
      </c>
      <c r="E176" s="76" t="str">
        <f>Liste_Materiel!E179</f>
        <v>pce/m</v>
      </c>
      <c r="F176" s="76" t="str">
        <f t="shared" si="2"/>
        <v/>
      </c>
      <c r="G176" s="76">
        <f>IF(AND(B176&lt;&gt;"",B176&lt;&gt;"Non trouvé - vérifier",D176&lt;&gt;"",D176&lt;&gt;0),IF(COUNTIF($B$2:B176,B176)=1,1,0),0)</f>
        <v>0</v>
      </c>
    </row>
    <row r="177" spans="1:7" x14ac:dyDescent="0.25">
      <c r="A177" s="76" t="str">
        <f>IF(Liste_Materiel!A180="","","SPK - "&amp;Liste_Materiel!A180)</f>
        <v>SPK - Collecteur 2 - Support 3</v>
      </c>
      <c r="B177" s="76" t="str">
        <f>Liste_Materiel!B180</f>
        <v/>
      </c>
      <c r="C177" s="76" t="str">
        <f>Liste_Materiel!C180</f>
        <v/>
      </c>
      <c r="D177" s="76" t="str">
        <f>Liste_Materiel!D180</f>
        <v/>
      </c>
      <c r="E177" s="76" t="str">
        <f>Liste_Materiel!E180</f>
        <v>pce/m</v>
      </c>
      <c r="F177" s="76" t="str">
        <f t="shared" si="2"/>
        <v/>
      </c>
      <c r="G177" s="76">
        <f>IF(AND(B177&lt;&gt;"",B177&lt;&gt;"Non trouvé - vérifier",D177&lt;&gt;"",D177&lt;&gt;0),IF(COUNTIF($B$2:B177,B177)=1,1,0),0)</f>
        <v>0</v>
      </c>
    </row>
    <row r="178" spans="1:7" x14ac:dyDescent="0.25">
      <c r="A178" s="76" t="str">
        <f>IF(Liste_Materiel!A181="","","SPK - "&amp;Liste_Materiel!A181)</f>
        <v>SPK - Collecteur 2 - Support 3</v>
      </c>
      <c r="B178" s="76" t="str">
        <f>Liste_Materiel!B181</f>
        <v/>
      </c>
      <c r="C178" s="76" t="str">
        <f>Liste_Materiel!C181</f>
        <v/>
      </c>
      <c r="D178" s="76" t="str">
        <f>Liste_Materiel!D181</f>
        <v/>
      </c>
      <c r="E178" s="76" t="str">
        <f>Liste_Materiel!E181</f>
        <v>pce/m</v>
      </c>
      <c r="F178" s="76" t="str">
        <f t="shared" si="2"/>
        <v/>
      </c>
      <c r="G178" s="76">
        <f>IF(AND(B178&lt;&gt;"",B178&lt;&gt;"Non trouvé - vérifier",D178&lt;&gt;"",D178&lt;&gt;0),IF(COUNTIF($B$2:B178,B178)=1,1,0),0)</f>
        <v>0</v>
      </c>
    </row>
    <row r="179" spans="1:7" x14ac:dyDescent="0.25">
      <c r="A179" s="76" t="str">
        <f>IF(Liste_Materiel!A182="","","SPK - "&amp;Liste_Materiel!A182)</f>
        <v>SPK - Collecteur 2 - Support 3</v>
      </c>
      <c r="B179" s="76" t="str">
        <f>Liste_Materiel!B182</f>
        <v/>
      </c>
      <c r="C179" s="76" t="str">
        <f>Liste_Materiel!C182</f>
        <v/>
      </c>
      <c r="D179" s="76" t="str">
        <f>Liste_Materiel!D182</f>
        <v/>
      </c>
      <c r="E179" s="76" t="str">
        <f>Liste_Materiel!E182</f>
        <v>pce/m</v>
      </c>
      <c r="F179" s="76" t="str">
        <f t="shared" si="2"/>
        <v/>
      </c>
      <c r="G179" s="76">
        <f>IF(AND(B179&lt;&gt;"",B179&lt;&gt;"Non trouvé - vérifier",D179&lt;&gt;"",D179&lt;&gt;0),IF(COUNTIF($B$2:B179,B179)=1,1,0),0)</f>
        <v>0</v>
      </c>
    </row>
    <row r="180" spans="1:7" x14ac:dyDescent="0.25">
      <c r="A180" s="76" t="str">
        <f>IF(Liste_Materiel!A183="","","SPK - "&amp;Liste_Materiel!A183)</f>
        <v>SPK - Collecteur 2 - Support 3</v>
      </c>
      <c r="B180" s="76" t="str">
        <f>Liste_Materiel!B183</f>
        <v/>
      </c>
      <c r="C180" s="76" t="str">
        <f>Liste_Materiel!C183</f>
        <v/>
      </c>
      <c r="D180" s="76" t="str">
        <f>Liste_Materiel!D183</f>
        <v/>
      </c>
      <c r="E180" s="76" t="str">
        <f>Liste_Materiel!E183</f>
        <v>pce/m</v>
      </c>
      <c r="F180" s="76" t="str">
        <f t="shared" si="2"/>
        <v/>
      </c>
      <c r="G180" s="76">
        <f>IF(AND(B180&lt;&gt;"",B180&lt;&gt;"Non trouvé - vérifier",D180&lt;&gt;"",D180&lt;&gt;0),IF(COUNTIF($B$2:B180,B180)=1,1,0),0)</f>
        <v>0</v>
      </c>
    </row>
    <row r="181" spans="1:7" x14ac:dyDescent="0.25">
      <c r="A181" s="76" t="str">
        <f>IF(Liste_Materiel!A184="","","SPK - "&amp;Liste_Materiel!A184)</f>
        <v>SPK - Collecteur 2 - Support 3</v>
      </c>
      <c r="B181" s="76" t="str">
        <f>Liste_Materiel!B184</f>
        <v/>
      </c>
      <c r="C181" s="76" t="str">
        <f>Liste_Materiel!C184</f>
        <v/>
      </c>
      <c r="D181" s="76" t="str">
        <f>Liste_Materiel!D184</f>
        <v/>
      </c>
      <c r="E181" s="76" t="str">
        <f>Liste_Materiel!E184</f>
        <v>pce/m</v>
      </c>
      <c r="F181" s="76" t="str">
        <f t="shared" si="2"/>
        <v/>
      </c>
      <c r="G181" s="76">
        <f>IF(AND(B181&lt;&gt;"",B181&lt;&gt;"Non trouvé - vérifier",D181&lt;&gt;"",D181&lt;&gt;0),IF(COUNTIF($B$2:B181,B181)=1,1,0),0)</f>
        <v>0</v>
      </c>
    </row>
    <row r="182" spans="1:7" x14ac:dyDescent="0.25">
      <c r="A182" s="76" t="str">
        <f>IF(Liste_Materiel!A185="","","SPK - "&amp;Liste_Materiel!A185)</f>
        <v>SPK - Collecteur 2 - Support 3</v>
      </c>
      <c r="B182" s="76" t="str">
        <f>Liste_Materiel!B185</f>
        <v/>
      </c>
      <c r="C182" s="76" t="str">
        <f>Liste_Materiel!C185</f>
        <v/>
      </c>
      <c r="D182" s="76" t="str">
        <f>Liste_Materiel!D185</f>
        <v/>
      </c>
      <c r="E182" s="76" t="str">
        <f>Liste_Materiel!E185</f>
        <v>pce/m</v>
      </c>
      <c r="F182" s="76" t="str">
        <f t="shared" si="2"/>
        <v/>
      </c>
      <c r="G182" s="76">
        <f>IF(AND(B182&lt;&gt;"",B182&lt;&gt;"Non trouvé - vérifier",D182&lt;&gt;"",D182&lt;&gt;0),IF(COUNTIF($B$2:B182,B182)=1,1,0),0)</f>
        <v>0</v>
      </c>
    </row>
    <row r="183" spans="1:7" x14ac:dyDescent="0.25">
      <c r="A183" s="76" t="str">
        <f>IF(Liste_Materiel!A186="","","SPK - "&amp;Liste_Materiel!A186)</f>
        <v>SPK - Collecteur 3 - Support 3</v>
      </c>
      <c r="B183" s="76" t="str">
        <f>Liste_Materiel!B186</f>
        <v/>
      </c>
      <c r="C183" s="76" t="str">
        <f>Liste_Materiel!C186</f>
        <v/>
      </c>
      <c r="D183" s="76" t="str">
        <f>Liste_Materiel!D186</f>
        <v/>
      </c>
      <c r="E183" s="76" t="str">
        <f>Liste_Materiel!E186</f>
        <v>pce/m</v>
      </c>
      <c r="F183" s="76" t="str">
        <f t="shared" si="2"/>
        <v/>
      </c>
      <c r="G183" s="76">
        <f>IF(AND(B183&lt;&gt;"",B183&lt;&gt;"Non trouvé - vérifier",D183&lt;&gt;"",D183&lt;&gt;0),IF(COUNTIF($B$2:B183,B183)=1,1,0),0)</f>
        <v>0</v>
      </c>
    </row>
    <row r="184" spans="1:7" x14ac:dyDescent="0.25">
      <c r="A184" s="76" t="str">
        <f>IF(Liste_Materiel!A187="","","SPK - "&amp;Liste_Materiel!A187)</f>
        <v>SPK - Collecteur 3 - Support 3</v>
      </c>
      <c r="B184" s="76" t="str">
        <f>Liste_Materiel!B187</f>
        <v/>
      </c>
      <c r="C184" s="76" t="str">
        <f>Liste_Materiel!C187</f>
        <v/>
      </c>
      <c r="D184" s="76" t="str">
        <f>Liste_Materiel!D187</f>
        <v/>
      </c>
      <c r="E184" s="76" t="str">
        <f>Liste_Materiel!E187</f>
        <v>pce/m</v>
      </c>
      <c r="F184" s="76" t="str">
        <f t="shared" si="2"/>
        <v/>
      </c>
      <c r="G184" s="76">
        <f>IF(AND(B184&lt;&gt;"",B184&lt;&gt;"Non trouvé - vérifier",D184&lt;&gt;"",D184&lt;&gt;0),IF(COUNTIF($B$2:B184,B184)=1,1,0),0)</f>
        <v>0</v>
      </c>
    </row>
    <row r="185" spans="1:7" x14ac:dyDescent="0.25">
      <c r="A185" s="76" t="str">
        <f>IF(Liste_Materiel!A188="","","SPK - "&amp;Liste_Materiel!A188)</f>
        <v>SPK - Collecteur 3 - Support 3</v>
      </c>
      <c r="B185" s="76" t="str">
        <f>Liste_Materiel!B188</f>
        <v/>
      </c>
      <c r="C185" s="76" t="str">
        <f>Liste_Materiel!C188</f>
        <v/>
      </c>
      <c r="D185" s="76" t="str">
        <f>Liste_Materiel!D188</f>
        <v/>
      </c>
      <c r="E185" s="76" t="str">
        <f>Liste_Materiel!E188</f>
        <v>pce/m</v>
      </c>
      <c r="F185" s="76" t="str">
        <f t="shared" si="2"/>
        <v/>
      </c>
      <c r="G185" s="76">
        <f>IF(AND(B185&lt;&gt;"",B185&lt;&gt;"Non trouvé - vérifier",D185&lt;&gt;"",D185&lt;&gt;0),IF(COUNTIF($B$2:B185,B185)=1,1,0),0)</f>
        <v>0</v>
      </c>
    </row>
    <row r="186" spans="1:7" x14ac:dyDescent="0.25">
      <c r="A186" s="76" t="str">
        <f>IF(Liste_Materiel!A189="","","SPK - "&amp;Liste_Materiel!A189)</f>
        <v>SPK - Collecteur 3 - Support 3</v>
      </c>
      <c r="B186" s="76" t="str">
        <f>Liste_Materiel!B189</f>
        <v/>
      </c>
      <c r="C186" s="76" t="str">
        <f>Liste_Materiel!C189</f>
        <v/>
      </c>
      <c r="D186" s="76" t="str">
        <f>Liste_Materiel!D189</f>
        <v/>
      </c>
      <c r="E186" s="76" t="str">
        <f>Liste_Materiel!E189</f>
        <v>pce/m</v>
      </c>
      <c r="F186" s="76" t="str">
        <f t="shared" si="2"/>
        <v/>
      </c>
      <c r="G186" s="76">
        <f>IF(AND(B186&lt;&gt;"",B186&lt;&gt;"Non trouvé - vérifier",D186&lt;&gt;"",D186&lt;&gt;0),IF(COUNTIF($B$2:B186,B186)=1,1,0),0)</f>
        <v>0</v>
      </c>
    </row>
    <row r="187" spans="1:7" x14ac:dyDescent="0.25">
      <c r="A187" s="76" t="str">
        <f>IF(Liste_Materiel!A190="","","SPK - "&amp;Liste_Materiel!A190)</f>
        <v>SPK - Collecteur 3 - Support 3</v>
      </c>
      <c r="B187" s="76" t="str">
        <f>Liste_Materiel!B190</f>
        <v/>
      </c>
      <c r="C187" s="76" t="str">
        <f>Liste_Materiel!C190</f>
        <v/>
      </c>
      <c r="D187" s="76" t="str">
        <f>Liste_Materiel!D190</f>
        <v/>
      </c>
      <c r="E187" s="76" t="str">
        <f>Liste_Materiel!E190</f>
        <v>pce/m</v>
      </c>
      <c r="F187" s="76" t="str">
        <f t="shared" si="2"/>
        <v/>
      </c>
      <c r="G187" s="76">
        <f>IF(AND(B187&lt;&gt;"",B187&lt;&gt;"Non trouvé - vérifier",D187&lt;&gt;"",D187&lt;&gt;0),IF(COUNTIF($B$2:B187,B187)=1,1,0),0)</f>
        <v>0</v>
      </c>
    </row>
    <row r="188" spans="1:7" x14ac:dyDescent="0.25">
      <c r="A188" s="76" t="str">
        <f>IF(Liste_Materiel!A191="","","SPK - "&amp;Liste_Materiel!A191)</f>
        <v>SPK - Collecteur 3 - Support 3</v>
      </c>
      <c r="B188" s="76" t="str">
        <f>Liste_Materiel!B191</f>
        <v/>
      </c>
      <c r="C188" s="76" t="str">
        <f>Liste_Materiel!C191</f>
        <v/>
      </c>
      <c r="D188" s="76" t="str">
        <f>Liste_Materiel!D191</f>
        <v/>
      </c>
      <c r="E188" s="76" t="str">
        <f>Liste_Materiel!E191</f>
        <v>pce/m</v>
      </c>
      <c r="F188" s="76" t="str">
        <f t="shared" si="2"/>
        <v/>
      </c>
      <c r="G188" s="76">
        <f>IF(AND(B188&lt;&gt;"",B188&lt;&gt;"Non trouvé - vérifier",D188&lt;&gt;"",D188&lt;&gt;0),IF(COUNTIF($B$2:B188,B188)=1,1,0),0)</f>
        <v>0</v>
      </c>
    </row>
    <row r="189" spans="1:7" x14ac:dyDescent="0.25">
      <c r="A189" s="76" t="str">
        <f>IF(Liste_Materiel!A192="","","SPK - "&amp;Liste_Materiel!A192)</f>
        <v>SPK - Collecteur 4 - Support 3</v>
      </c>
      <c r="B189" s="76" t="str">
        <f>Liste_Materiel!B192</f>
        <v/>
      </c>
      <c r="C189" s="76" t="str">
        <f>Liste_Materiel!C192</f>
        <v/>
      </c>
      <c r="D189" s="76" t="str">
        <f>Liste_Materiel!D192</f>
        <v/>
      </c>
      <c r="E189" s="76" t="str">
        <f>Liste_Materiel!E192</f>
        <v>pce/m</v>
      </c>
      <c r="F189" s="76" t="str">
        <f t="shared" si="2"/>
        <v/>
      </c>
      <c r="G189" s="76">
        <f>IF(AND(B189&lt;&gt;"",B189&lt;&gt;"Non trouvé - vérifier",D189&lt;&gt;"",D189&lt;&gt;0),IF(COUNTIF($B$2:B189,B189)=1,1,0),0)</f>
        <v>0</v>
      </c>
    </row>
    <row r="190" spans="1:7" x14ac:dyDescent="0.25">
      <c r="A190" s="76" t="str">
        <f>IF(Liste_Materiel!A193="","","SPK - "&amp;Liste_Materiel!A193)</f>
        <v>SPK - Collecteur 4 - Support 3</v>
      </c>
      <c r="B190" s="76" t="str">
        <f>Liste_Materiel!B193</f>
        <v/>
      </c>
      <c r="C190" s="76" t="str">
        <f>Liste_Materiel!C193</f>
        <v/>
      </c>
      <c r="D190" s="76" t="str">
        <f>Liste_Materiel!D193</f>
        <v/>
      </c>
      <c r="E190" s="76" t="str">
        <f>Liste_Materiel!E193</f>
        <v>pce/m</v>
      </c>
      <c r="F190" s="76" t="str">
        <f t="shared" si="2"/>
        <v/>
      </c>
      <c r="G190" s="76">
        <f>IF(AND(B190&lt;&gt;"",B190&lt;&gt;"Non trouvé - vérifier",D190&lt;&gt;"",D190&lt;&gt;0),IF(COUNTIF($B$2:B190,B190)=1,1,0),0)</f>
        <v>0</v>
      </c>
    </row>
    <row r="191" spans="1:7" x14ac:dyDescent="0.25">
      <c r="A191" s="76" t="str">
        <f>IF(Liste_Materiel!A194="","","SPK - "&amp;Liste_Materiel!A194)</f>
        <v>SPK - Collecteur 4 - Support 3</v>
      </c>
      <c r="B191" s="76" t="str">
        <f>Liste_Materiel!B194</f>
        <v/>
      </c>
      <c r="C191" s="76" t="str">
        <f>Liste_Materiel!C194</f>
        <v/>
      </c>
      <c r="D191" s="76" t="str">
        <f>Liste_Materiel!D194</f>
        <v/>
      </c>
      <c r="E191" s="76" t="str">
        <f>Liste_Materiel!E194</f>
        <v>pce/m</v>
      </c>
      <c r="F191" s="76" t="str">
        <f t="shared" si="2"/>
        <v/>
      </c>
      <c r="G191" s="76">
        <f>IF(AND(B191&lt;&gt;"",B191&lt;&gt;"Non trouvé - vérifier",D191&lt;&gt;"",D191&lt;&gt;0),IF(COUNTIF($B$2:B191,B191)=1,1,0),0)</f>
        <v>0</v>
      </c>
    </row>
    <row r="192" spans="1:7" x14ac:dyDescent="0.25">
      <c r="A192" s="76" t="str">
        <f>IF(Liste_Materiel!A195="","","SPK - "&amp;Liste_Materiel!A195)</f>
        <v>SPK - Collecteur 4 - Support 3</v>
      </c>
      <c r="B192" s="76" t="str">
        <f>Liste_Materiel!B195</f>
        <v/>
      </c>
      <c r="C192" s="76" t="str">
        <f>Liste_Materiel!C195</f>
        <v/>
      </c>
      <c r="D192" s="76" t="str">
        <f>Liste_Materiel!D195</f>
        <v/>
      </c>
      <c r="E192" s="76" t="str">
        <f>Liste_Materiel!E195</f>
        <v>pce/m</v>
      </c>
      <c r="F192" s="76" t="str">
        <f t="shared" si="2"/>
        <v/>
      </c>
      <c r="G192" s="76">
        <f>IF(AND(B192&lt;&gt;"",B192&lt;&gt;"Non trouvé - vérifier",D192&lt;&gt;"",D192&lt;&gt;0),IF(COUNTIF($B$2:B192,B192)=1,1,0),0)</f>
        <v>0</v>
      </c>
    </row>
    <row r="193" spans="1:7" x14ac:dyDescent="0.25">
      <c r="A193" s="76" t="str">
        <f>IF(Liste_Materiel!A196="","","SPK - "&amp;Liste_Materiel!A196)</f>
        <v>SPK - Collecteur 4 - Support 3</v>
      </c>
      <c r="B193" s="76" t="str">
        <f>Liste_Materiel!B196</f>
        <v/>
      </c>
      <c r="C193" s="76" t="str">
        <f>Liste_Materiel!C196</f>
        <v/>
      </c>
      <c r="D193" s="76" t="str">
        <f>Liste_Materiel!D196</f>
        <v/>
      </c>
      <c r="E193" s="76" t="str">
        <f>Liste_Materiel!E196</f>
        <v>pce/m</v>
      </c>
      <c r="F193" s="76" t="str">
        <f t="shared" si="2"/>
        <v/>
      </c>
      <c r="G193" s="76">
        <f>IF(AND(B193&lt;&gt;"",B193&lt;&gt;"Non trouvé - vérifier",D193&lt;&gt;"",D193&lt;&gt;0),IF(COUNTIF($B$2:B193,B193)=1,1,0),0)</f>
        <v>0</v>
      </c>
    </row>
    <row r="194" spans="1:7" x14ac:dyDescent="0.25">
      <c r="A194" s="76" t="str">
        <f>IF(Liste_Materiel!A197="","","SPK - "&amp;Liste_Materiel!A197)</f>
        <v>SPK - Collecteur 4 - Support 3</v>
      </c>
      <c r="B194" s="76" t="str">
        <f>Liste_Materiel!B197</f>
        <v/>
      </c>
      <c r="C194" s="76" t="str">
        <f>Liste_Materiel!C197</f>
        <v/>
      </c>
      <c r="D194" s="76" t="str">
        <f>Liste_Materiel!D197</f>
        <v/>
      </c>
      <c r="E194" s="76" t="str">
        <f>Liste_Materiel!E197</f>
        <v>pce/m</v>
      </c>
      <c r="F194" s="76" t="str">
        <f t="shared" ref="F194:F244" si="3">IF(AND(B194&lt;&gt;"",B194&lt;&gt;"Non trouvé - vérifier",D194&lt;&gt;"",D194&lt;&gt;0),SUMIF($B$2:$B$426,B194,$D$2:$D$426),"")</f>
        <v/>
      </c>
      <c r="G194" s="76">
        <f>IF(AND(B194&lt;&gt;"",B194&lt;&gt;"Non trouvé - vérifier",D194&lt;&gt;"",D194&lt;&gt;0),IF(COUNTIF($B$2:B194,B194)=1,1,0),0)</f>
        <v>0</v>
      </c>
    </row>
    <row r="195" spans="1:7" x14ac:dyDescent="0.25">
      <c r="A195" s="76" t="str">
        <f>IF(Liste_Materiel!A198="","","SPK - "&amp;Liste_Materiel!A198)</f>
        <v>SPK - Antenne 4</v>
      </c>
      <c r="B195" s="76" t="str">
        <f>Liste_Materiel!B198</f>
        <v>Non trouvé - vérifier</v>
      </c>
      <c r="C195" s="76" t="str">
        <f>Liste_Materiel!C198</f>
        <v/>
      </c>
      <c r="D195" s="76">
        <f>Liste_Materiel!D198</f>
        <v>0</v>
      </c>
      <c r="E195" s="76" t="str">
        <f>Liste_Materiel!E198</f>
        <v>ml</v>
      </c>
      <c r="F195" s="76" t="str">
        <f t="shared" si="3"/>
        <v/>
      </c>
      <c r="G195" s="76">
        <f>IF(AND(B195&lt;&gt;"",B195&lt;&gt;"Non trouvé - vérifier",D195&lt;&gt;"",D195&lt;&gt;0),IF(COUNTIF($B$2:B195,B195)=1,1,0),0)</f>
        <v>0</v>
      </c>
    </row>
    <row r="196" spans="1:7" x14ac:dyDescent="0.25">
      <c r="A196" s="76" t="str">
        <f>IF(Liste_Materiel!A199="","","SPK - "&amp;Liste_Materiel!A199)</f>
        <v>SPK - Antenne 4</v>
      </c>
      <c r="B196" s="76" t="str">
        <f>Liste_Materiel!B199</f>
        <v>Non trouvé - vérifier</v>
      </c>
      <c r="C196" s="76" t="str">
        <f>Liste_Materiel!C199</f>
        <v/>
      </c>
      <c r="D196" s="78">
        <f>Liste_Materiel!D199</f>
        <v>0</v>
      </c>
      <c r="E196" s="76" t="str">
        <f>Liste_Materiel!E199</f>
        <v>pce</v>
      </c>
      <c r="F196" s="76" t="str">
        <f t="shared" si="3"/>
        <v/>
      </c>
      <c r="G196" s="76">
        <f>IF(AND(B196&lt;&gt;"",B196&lt;&gt;"Non trouvé - vérifier",D196&lt;&gt;"",D196&lt;&gt;0),IF(COUNTIF($B$2:B196,B196)=1,1,0),0)</f>
        <v>0</v>
      </c>
    </row>
    <row r="197" spans="1:7" x14ac:dyDescent="0.25">
      <c r="A197" s="76" t="str">
        <f>IF(Liste_Materiel!A200="","","SPK - "&amp;Liste_Materiel!A200)</f>
        <v>SPK - Antenne 4</v>
      </c>
      <c r="B197" s="76" t="str">
        <f>Liste_Materiel!B200</f>
        <v>Non trouvé - vérifier</v>
      </c>
      <c r="C197" s="76" t="str">
        <f>Liste_Materiel!C200</f>
        <v/>
      </c>
      <c r="D197" s="76">
        <f>Liste_Materiel!D200</f>
        <v>0</v>
      </c>
      <c r="E197" s="76" t="str">
        <f>Liste_Materiel!E200</f>
        <v>pce</v>
      </c>
      <c r="F197" s="76" t="str">
        <f t="shared" si="3"/>
        <v/>
      </c>
      <c r="G197" s="76">
        <f>IF(AND(B197&lt;&gt;"",B197&lt;&gt;"Non trouvé - vérifier",D197&lt;&gt;"",D197&lt;&gt;0),IF(COUNTIF($B$2:B197,B197)=1,1,0),0)</f>
        <v>0</v>
      </c>
    </row>
    <row r="198" spans="1:7" x14ac:dyDescent="0.25">
      <c r="A198" s="76" t="str">
        <f>IF(Liste_Materiel!A201="","","SPK - "&amp;Liste_Materiel!A201)</f>
        <v>SPK - Antenne 4 - fin de ligne</v>
      </c>
      <c r="B198" s="76" t="str">
        <f>Liste_Materiel!B201</f>
        <v>Non trouvé - vérifier</v>
      </c>
      <c r="C198" s="76" t="str">
        <f>Liste_Materiel!C201</f>
        <v/>
      </c>
      <c r="D198" s="78">
        <f>Liste_Materiel!D201</f>
        <v>0</v>
      </c>
      <c r="E198" s="76" t="str">
        <f>Liste_Materiel!E201</f>
        <v>pce</v>
      </c>
      <c r="F198" s="76" t="str">
        <f t="shared" si="3"/>
        <v/>
      </c>
      <c r="G198" s="76">
        <f>IF(AND(B198&lt;&gt;"",B198&lt;&gt;"Non trouvé - vérifier",D198&lt;&gt;"",D198&lt;&gt;0),IF(COUNTIF($B$2:B198,B198)=1,1,0),0)</f>
        <v>0</v>
      </c>
    </row>
    <row r="199" spans="1:7" x14ac:dyDescent="0.25">
      <c r="A199" s="76" t="str">
        <f>IF(Liste_Materiel!A202="","","SPK - "&amp;Liste_Materiel!A202)</f>
        <v>SPK - Antenne 4 - fin de ligne (fond)</v>
      </c>
      <c r="B199" s="76" t="str">
        <f>Liste_Materiel!B202</f>
        <v>Non trouvé - vérifier</v>
      </c>
      <c r="C199" s="76" t="str">
        <f>Liste_Materiel!C202</f>
        <v/>
      </c>
      <c r="D199" s="78">
        <f>Liste_Materiel!D202</f>
        <v>0</v>
      </c>
      <c r="E199" s="76" t="str">
        <f>Liste_Materiel!E202</f>
        <v>pce</v>
      </c>
      <c r="F199" s="76" t="str">
        <f t="shared" si="3"/>
        <v/>
      </c>
      <c r="G199" s="76">
        <f>IF(AND(B199&lt;&gt;"",B199&lt;&gt;"Non trouvé - vérifier",D199&lt;&gt;"",D199&lt;&gt;0),IF(COUNTIF($B$2:B199,B199)=1,1,0),0)</f>
        <v>0</v>
      </c>
    </row>
    <row r="200" spans="1:7" x14ac:dyDescent="0.25">
      <c r="A200" s="76" t="str">
        <f>IF(Liste_Materiel!A203="","","SPK - "&amp;Liste_Materiel!A203)</f>
        <v>SPK - Toiture 4</v>
      </c>
      <c r="B200" s="76" t="str">
        <f>Liste_Materiel!B203</f>
        <v/>
      </c>
      <c r="C200" s="76" t="str">
        <f>Liste_Materiel!C203</f>
        <v/>
      </c>
      <c r="D200" s="76">
        <f>Liste_Materiel!D203</f>
        <v>0</v>
      </c>
      <c r="E200" s="76" t="str">
        <f>Liste_Materiel!E203</f>
        <v>pce</v>
      </c>
      <c r="F200" s="76" t="str">
        <f t="shared" si="3"/>
        <v/>
      </c>
      <c r="G200" s="76">
        <f>IF(AND(B200&lt;&gt;"",B200&lt;&gt;"Non trouvé - vérifier",D200&lt;&gt;"",D200&lt;&gt;0),IF(COUNTIF($B$2:B200,B200)=1,1,0),0)</f>
        <v>0</v>
      </c>
    </row>
    <row r="201" spans="1:7" x14ac:dyDescent="0.25">
      <c r="A201" s="76" t="str">
        <f>IF(Liste_Materiel!A204="","","SPK - "&amp;Liste_Materiel!A204)</f>
        <v>SPK - Toiture 4</v>
      </c>
      <c r="B201" s="76" t="str">
        <f>Liste_Materiel!B204</f>
        <v/>
      </c>
      <c r="C201" s="76" t="str">
        <f>Liste_Materiel!C204</f>
        <v/>
      </c>
      <c r="D201" s="76">
        <f>Liste_Materiel!D204</f>
        <v>0</v>
      </c>
      <c r="E201" s="76" t="str">
        <f>Liste_Materiel!E204</f>
        <v>pce</v>
      </c>
      <c r="F201" s="76" t="str">
        <f t="shared" si="3"/>
        <v/>
      </c>
      <c r="G201" s="76">
        <f>IF(AND(B201&lt;&gt;"",B201&lt;&gt;"Non trouvé - vérifier",D201&lt;&gt;"",D201&lt;&gt;0),IF(COUNTIF($B$2:B201,B201)=1,1,0),0)</f>
        <v>0</v>
      </c>
    </row>
    <row r="202" spans="1:7" x14ac:dyDescent="0.25">
      <c r="A202" s="76" t="str">
        <f>IF(Liste_Materiel!A205="","","SPK - "&amp;Liste_Materiel!A205)</f>
        <v>SPK - TB Placo 4</v>
      </c>
      <c r="B202" s="76" t="str">
        <f>Liste_Materiel!B205</f>
        <v/>
      </c>
      <c r="C202" s="76" t="str">
        <f>Liste_Materiel!C205</f>
        <v/>
      </c>
      <c r="D202" s="76">
        <f>Liste_Materiel!D205</f>
        <v>0</v>
      </c>
      <c r="E202" s="76" t="str">
        <f>Liste_Materiel!E205</f>
        <v>pce</v>
      </c>
      <c r="F202" s="76" t="str">
        <f t="shared" si="3"/>
        <v/>
      </c>
      <c r="G202" s="76">
        <f>IF(AND(B202&lt;&gt;"",B202&lt;&gt;"Non trouvé - vérifier",D202&lt;&gt;"",D202&lt;&gt;0),IF(COUNTIF($B$2:B202,B202)=1,1,0),0)</f>
        <v>0</v>
      </c>
    </row>
    <row r="203" spans="1:7" x14ac:dyDescent="0.25">
      <c r="A203" s="76" t="str">
        <f>IF(Liste_Materiel!A206="","","SPK - "&amp;Liste_Materiel!A206)</f>
        <v>SPK - TB Placo 4</v>
      </c>
      <c r="B203" s="76" t="str">
        <f>Liste_Materiel!B206</f>
        <v/>
      </c>
      <c r="C203" s="76" t="str">
        <f>Liste_Materiel!C206</f>
        <v/>
      </c>
      <c r="D203" s="76">
        <f>Liste_Materiel!D206</f>
        <v>0</v>
      </c>
      <c r="E203" s="76" t="str">
        <f>Liste_Materiel!E206</f>
        <v>ml</v>
      </c>
      <c r="F203" s="76" t="str">
        <f t="shared" si="3"/>
        <v/>
      </c>
      <c r="G203" s="76">
        <f>IF(AND(B203&lt;&gt;"",B203&lt;&gt;"Non trouvé - vérifier",D203&lt;&gt;"",D203&lt;&gt;0),IF(COUNTIF($B$2:B203,B203)=1,1,0),0)</f>
        <v>0</v>
      </c>
    </row>
    <row r="204" spans="1:7" x14ac:dyDescent="0.25">
      <c r="A204" s="76" t="str">
        <f>IF(Liste_Materiel!A207="","","SPK - "&amp;Liste_Materiel!A207)</f>
        <v>SPK - TB Placo 4</v>
      </c>
      <c r="B204" s="76" t="str">
        <f>Liste_Materiel!B207</f>
        <v/>
      </c>
      <c r="C204" s="76" t="str">
        <f>Liste_Materiel!C207</f>
        <v/>
      </c>
      <c r="D204" s="76">
        <f>Liste_Materiel!D207</f>
        <v>0</v>
      </c>
      <c r="E204" s="76" t="str">
        <f>Liste_Materiel!E207</f>
        <v>pce</v>
      </c>
      <c r="F204" s="76" t="str">
        <f t="shared" si="3"/>
        <v/>
      </c>
      <c r="G204" s="76">
        <f>IF(AND(B204&lt;&gt;"",B204&lt;&gt;"Non trouvé - vérifier",D204&lt;&gt;"",D204&lt;&gt;0),IF(COUNTIF($B$2:B204,B204)=1,1,0),0)</f>
        <v>0</v>
      </c>
    </row>
    <row r="205" spans="1:7" x14ac:dyDescent="0.25">
      <c r="A205" s="76" t="str">
        <f>IF(Liste_Materiel!A208="","","SPK - "&amp;Liste_Materiel!A208)</f>
        <v>SPK - TB Placo 4</v>
      </c>
      <c r="B205" s="76" t="str">
        <f>Liste_Materiel!B208</f>
        <v/>
      </c>
      <c r="C205" s="76" t="str">
        <f>Liste_Materiel!C208</f>
        <v/>
      </c>
      <c r="D205" s="76">
        <f>Liste_Materiel!D208</f>
        <v>0</v>
      </c>
      <c r="E205" s="76" t="str">
        <f>Liste_Materiel!E208</f>
        <v>pce</v>
      </c>
      <c r="F205" s="76" t="str">
        <f t="shared" si="3"/>
        <v/>
      </c>
      <c r="G205" s="76">
        <f>IF(AND(B205&lt;&gt;"",B205&lt;&gt;"Non trouvé - vérifier",D205&lt;&gt;"",D205&lt;&gt;0),IF(COUNTIF($B$2:B205,B205)=1,1,0),0)</f>
        <v>0</v>
      </c>
    </row>
    <row r="206" spans="1:7" x14ac:dyDescent="0.25">
      <c r="A206" s="76" t="str">
        <f>IF(Liste_Materiel!A209="","","SPK - "&amp;Liste_Materiel!A209)</f>
        <v>SPK - TB Placo 4</v>
      </c>
      <c r="B206" s="76" t="str">
        <f>Liste_Materiel!B209</f>
        <v/>
      </c>
      <c r="C206" s="76" t="str">
        <f>Liste_Materiel!C209</f>
        <v/>
      </c>
      <c r="D206" s="76">
        <f>Liste_Materiel!D209</f>
        <v>0</v>
      </c>
      <c r="E206" s="76" t="str">
        <f>Liste_Materiel!E209</f>
        <v>pce</v>
      </c>
      <c r="F206" s="76" t="str">
        <f t="shared" si="3"/>
        <v/>
      </c>
      <c r="G206" s="76">
        <f>IF(AND(B206&lt;&gt;"",B206&lt;&gt;"Non trouvé - vérifier",D206&lt;&gt;"",D206&lt;&gt;0),IF(COUNTIF($B$2:B206,B206)=1,1,0),0)</f>
        <v>0</v>
      </c>
    </row>
    <row r="207" spans="1:7" x14ac:dyDescent="0.25">
      <c r="A207" s="76" t="str">
        <f>IF(Liste_Materiel!A210="","","SPK - "&amp;Liste_Materiel!A210)</f>
        <v>SPK - TB Placo 4</v>
      </c>
      <c r="B207" s="76" t="str">
        <f>Liste_Materiel!B210</f>
        <v/>
      </c>
      <c r="C207" s="76" t="str">
        <f>Liste_Materiel!C210</f>
        <v/>
      </c>
      <c r="D207" s="76">
        <f>Liste_Materiel!D210</f>
        <v>0</v>
      </c>
      <c r="E207" s="76" t="str">
        <f>Liste_Materiel!E210</f>
        <v>pce</v>
      </c>
      <c r="F207" s="76" t="str">
        <f t="shared" si="3"/>
        <v/>
      </c>
      <c r="G207" s="76">
        <f>IF(AND(B207&lt;&gt;"",B207&lt;&gt;"Non trouvé - vérifier",D207&lt;&gt;"",D207&lt;&gt;0),IF(COUNTIF($B$2:B207,B207)=1,1,0),0)</f>
        <v>0</v>
      </c>
    </row>
    <row r="208" spans="1:7" x14ac:dyDescent="0.25">
      <c r="A208" s="76" t="str">
        <f>IF(Liste_Materiel!A211="","","SPK - "&amp;Liste_Materiel!A211)</f>
        <v>SPK - TB Faux plaf 4</v>
      </c>
      <c r="B208" s="76" t="str">
        <f>Liste_Materiel!B211</f>
        <v/>
      </c>
      <c r="C208" s="76" t="str">
        <f>Liste_Materiel!C211</f>
        <v/>
      </c>
      <c r="D208" s="76">
        <f>Liste_Materiel!D211</f>
        <v>0</v>
      </c>
      <c r="E208" s="76" t="str">
        <f>Liste_Materiel!E211</f>
        <v>pce</v>
      </c>
      <c r="F208" s="76" t="str">
        <f t="shared" si="3"/>
        <v/>
      </c>
      <c r="G208" s="76">
        <f>IF(AND(B208&lt;&gt;"",B208&lt;&gt;"Non trouvé - vérifier",D208&lt;&gt;"",D208&lt;&gt;0),IF(COUNTIF($B$2:B208,B208)=1,1,0),0)</f>
        <v>0</v>
      </c>
    </row>
    <row r="209" spans="1:7" x14ac:dyDescent="0.25">
      <c r="A209" s="76" t="str">
        <f>IF(Liste_Materiel!A212="","","SPK - "&amp;Liste_Materiel!A212)</f>
        <v>SPK - TB Faux plaf 4</v>
      </c>
      <c r="B209" s="76" t="str">
        <f>Liste_Materiel!B212</f>
        <v/>
      </c>
      <c r="C209" s="76" t="str">
        <f>Liste_Materiel!C212</f>
        <v/>
      </c>
      <c r="D209" s="76">
        <f>Liste_Materiel!D212</f>
        <v>0</v>
      </c>
      <c r="E209" s="76" t="str">
        <f>Liste_Materiel!E212</f>
        <v>pce</v>
      </c>
      <c r="F209" s="76" t="str">
        <f t="shared" si="3"/>
        <v/>
      </c>
      <c r="G209" s="76">
        <f>IF(AND(B209&lt;&gt;"",B209&lt;&gt;"Non trouvé - vérifier",D209&lt;&gt;"",D209&lt;&gt;0),IF(COUNTIF($B$2:B209,B209)=1,1,0),0)</f>
        <v>0</v>
      </c>
    </row>
    <row r="210" spans="1:7" x14ac:dyDescent="0.25">
      <c r="A210" s="76" t="str">
        <f>IF(Liste_Materiel!A213="","","SPK - "&amp;Liste_Materiel!A213)</f>
        <v>SPK - TB Faux plaf 4</v>
      </c>
      <c r="B210" s="76" t="str">
        <f>Liste_Materiel!B213</f>
        <v/>
      </c>
      <c r="C210" s="76" t="str">
        <f>Liste_Materiel!C213</f>
        <v/>
      </c>
      <c r="D210" s="76">
        <f>Liste_Materiel!D213</f>
        <v>0</v>
      </c>
      <c r="E210" s="76" t="str">
        <f>Liste_Materiel!E213</f>
        <v>pce</v>
      </c>
      <c r="F210" s="76" t="str">
        <f t="shared" si="3"/>
        <v/>
      </c>
      <c r="G210" s="76">
        <f>IF(AND(B210&lt;&gt;"",B210&lt;&gt;"Non trouvé - vérifier",D210&lt;&gt;"",D210&lt;&gt;0),IF(COUNTIF($B$2:B210,B210)=1,1,0),0)</f>
        <v>0</v>
      </c>
    </row>
    <row r="211" spans="1:7" x14ac:dyDescent="0.25">
      <c r="A211" s="76" t="str">
        <f>IF(Liste_Materiel!A214="","","SPK - "&amp;Liste_Materiel!A214)</f>
        <v>SPK - TB Faux plaf 4</v>
      </c>
      <c r="B211" s="76" t="str">
        <f>Liste_Materiel!B214</f>
        <v/>
      </c>
      <c r="C211" s="76" t="str">
        <f>Liste_Materiel!C214</f>
        <v/>
      </c>
      <c r="D211" s="76">
        <f>Liste_Materiel!D214</f>
        <v>0</v>
      </c>
      <c r="E211" s="76" t="str">
        <f>Liste_Materiel!E214</f>
        <v>pce</v>
      </c>
      <c r="F211" s="76" t="str">
        <f t="shared" si="3"/>
        <v/>
      </c>
      <c r="G211" s="76">
        <f>IF(AND(B211&lt;&gt;"",B211&lt;&gt;"Non trouvé - vérifier",D211&lt;&gt;"",D211&lt;&gt;0),IF(COUNTIF($B$2:B211,B211)=1,1,0),0)</f>
        <v>0</v>
      </c>
    </row>
    <row r="212" spans="1:7" x14ac:dyDescent="0.25">
      <c r="A212" s="76" t="str">
        <f>IF(Liste_Materiel!A215="","","SPK - "&amp;Liste_Materiel!A215)</f>
        <v>SPK - TB Labo 4</v>
      </c>
      <c r="B212" s="76" t="str">
        <f>Liste_Materiel!B215</f>
        <v/>
      </c>
      <c r="C212" s="76" t="str">
        <f>Liste_Materiel!C215</f>
        <v/>
      </c>
      <c r="D212" s="76">
        <f>Liste_Materiel!D215</f>
        <v>0</v>
      </c>
      <c r="E212" s="76" t="str">
        <f>Liste_Materiel!E215</f>
        <v>pce</v>
      </c>
      <c r="F212" s="76" t="str">
        <f t="shared" si="3"/>
        <v/>
      </c>
      <c r="G212" s="76">
        <f>IF(AND(B212&lt;&gt;"",B212&lt;&gt;"Non trouvé - vérifier",D212&lt;&gt;"",D212&lt;&gt;0),IF(COUNTIF($B$2:B212,B212)=1,1,0),0)</f>
        <v>0</v>
      </c>
    </row>
    <row r="213" spans="1:7" x14ac:dyDescent="0.25">
      <c r="A213" s="76" t="str">
        <f>IF(Liste_Materiel!A216="","","SPK - "&amp;Liste_Materiel!A216)</f>
        <v>SPK - TB Labo 4</v>
      </c>
      <c r="B213" s="76" t="str">
        <f>Liste_Materiel!B216</f>
        <v/>
      </c>
      <c r="C213" s="76" t="str">
        <f>Liste_Materiel!C216</f>
        <v/>
      </c>
      <c r="D213" s="76">
        <f>Liste_Materiel!D216</f>
        <v>0</v>
      </c>
      <c r="E213" s="76" t="str">
        <f>Liste_Materiel!E216</f>
        <v>pce</v>
      </c>
      <c r="F213" s="76" t="str">
        <f t="shared" si="3"/>
        <v/>
      </c>
      <c r="G213" s="76">
        <f>IF(AND(B213&lt;&gt;"",B213&lt;&gt;"Non trouvé - vérifier",D213&lt;&gt;"",D213&lt;&gt;0),IF(COUNTIF($B$2:B213,B213)=1,1,0),0)</f>
        <v>0</v>
      </c>
    </row>
    <row r="214" spans="1:7" x14ac:dyDescent="0.25">
      <c r="A214" s="76" t="str">
        <f>IF(Liste_Materiel!A217="","","SPK - "&amp;Liste_Materiel!A217)</f>
        <v>SPK - TB Labo 4</v>
      </c>
      <c r="B214" s="76" t="str">
        <f>Liste_Materiel!B217</f>
        <v/>
      </c>
      <c r="C214" s="76" t="str">
        <f>Liste_Materiel!C217</f>
        <v/>
      </c>
      <c r="D214" s="76">
        <f>Liste_Materiel!D217</f>
        <v>0</v>
      </c>
      <c r="E214" s="76" t="str">
        <f>Liste_Materiel!E217</f>
        <v>pce</v>
      </c>
      <c r="F214" s="76" t="str">
        <f t="shared" si="3"/>
        <v/>
      </c>
      <c r="G214" s="76">
        <f>IF(AND(B214&lt;&gt;"",B214&lt;&gt;"Non trouvé - vérifier",D214&lt;&gt;"",D214&lt;&gt;0),IF(COUNTIF($B$2:B214,B214)=1,1,0),0)</f>
        <v>0</v>
      </c>
    </row>
    <row r="215" spans="1:7" x14ac:dyDescent="0.25">
      <c r="A215" s="76" t="str">
        <f>IF(Liste_Materiel!A218="","","SPK - "&amp;Liste_Materiel!A218)</f>
        <v>SPK - TB Labo 4</v>
      </c>
      <c r="B215" s="76" t="str">
        <f>Liste_Materiel!B218</f>
        <v/>
      </c>
      <c r="C215" s="76" t="str">
        <f>Liste_Materiel!C218</f>
        <v/>
      </c>
      <c r="D215" s="76">
        <f>Liste_Materiel!D218</f>
        <v>0</v>
      </c>
      <c r="E215" s="76" t="str">
        <f>Liste_Materiel!E218</f>
        <v>pce</v>
      </c>
      <c r="F215" s="76" t="str">
        <f t="shared" si="3"/>
        <v/>
      </c>
      <c r="G215" s="76">
        <f>IF(AND(B215&lt;&gt;"",B215&lt;&gt;"Non trouvé - vérifier",D215&lt;&gt;"",D215&lt;&gt;0),IF(COUNTIF($B$2:B215,B215)=1,1,0),0)</f>
        <v>0</v>
      </c>
    </row>
    <row r="216" spans="1:7" x14ac:dyDescent="0.25">
      <c r="A216" s="76" t="str">
        <f>IF(Liste_Materiel!A219="","","SPK - "&amp;Liste_Materiel!A219)</f>
        <v>SPK - Tête sprinkler 4</v>
      </c>
      <c r="B216" s="76" t="str">
        <f>Liste_Materiel!B219</f>
        <v>Non trouvé - vérifier</v>
      </c>
      <c r="C216" s="76" t="str">
        <f>Liste_Materiel!C219</f>
        <v/>
      </c>
      <c r="D216" s="78">
        <f>Liste_Materiel!D219</f>
        <v>0</v>
      </c>
      <c r="E216" s="76" t="str">
        <f>Liste_Materiel!E219</f>
        <v>pce</v>
      </c>
      <c r="F216" s="76" t="str">
        <f t="shared" si="3"/>
        <v/>
      </c>
      <c r="G216" s="76">
        <f>IF(AND(B216&lt;&gt;"",B216&lt;&gt;"Non trouvé - vérifier",D216&lt;&gt;"",D216&lt;&gt;0),IF(COUNTIF($B$2:B216,B216)=1,1,0),0)</f>
        <v>0</v>
      </c>
    </row>
    <row r="217" spans="1:7" x14ac:dyDescent="0.25">
      <c r="A217" s="76" t="str">
        <f>IF(Liste_Materiel!A220="","","SPK - "&amp;Liste_Materiel!A220)</f>
        <v>SPK - Antenne 1 - Support 3</v>
      </c>
      <c r="B217" s="76" t="str">
        <f>Liste_Materiel!B220</f>
        <v/>
      </c>
      <c r="C217" s="76" t="str">
        <f>Liste_Materiel!C220</f>
        <v/>
      </c>
      <c r="D217" s="76" t="str">
        <f>Liste_Materiel!D220</f>
        <v/>
      </c>
      <c r="E217" s="76" t="str">
        <f>Liste_Materiel!E220</f>
        <v>pce/m</v>
      </c>
      <c r="F217" s="76" t="str">
        <f t="shared" si="3"/>
        <v/>
      </c>
      <c r="G217" s="76">
        <f>IF(AND(B217&lt;&gt;"",B217&lt;&gt;"Non trouvé - vérifier",D217&lt;&gt;"",D217&lt;&gt;0),IF(COUNTIF($B$2:B217,B217)=1,1,0),0)</f>
        <v>0</v>
      </c>
    </row>
    <row r="218" spans="1:7" x14ac:dyDescent="0.25">
      <c r="A218" s="76" t="str">
        <f>IF(Liste_Materiel!A221="","","SPK - "&amp;Liste_Materiel!A221)</f>
        <v>SPK - Antenne 1 - Support 3</v>
      </c>
      <c r="B218" s="76" t="str">
        <f>Liste_Materiel!B221</f>
        <v/>
      </c>
      <c r="C218" s="76" t="str">
        <f>Liste_Materiel!C221</f>
        <v/>
      </c>
      <c r="D218" s="76" t="str">
        <f>Liste_Materiel!D221</f>
        <v/>
      </c>
      <c r="E218" s="76" t="str">
        <f>Liste_Materiel!E221</f>
        <v>pce/m</v>
      </c>
      <c r="F218" s="76" t="str">
        <f t="shared" si="3"/>
        <v/>
      </c>
      <c r="G218" s="76">
        <f>IF(AND(B218&lt;&gt;"",B218&lt;&gt;"Non trouvé - vérifier",D218&lt;&gt;"",D218&lt;&gt;0),IF(COUNTIF($B$2:B218,B218)=1,1,0),0)</f>
        <v>0</v>
      </c>
    </row>
    <row r="219" spans="1:7" x14ac:dyDescent="0.25">
      <c r="A219" s="76" t="str">
        <f>IF(Liste_Materiel!A222="","","SPK - "&amp;Liste_Materiel!A222)</f>
        <v>SPK - Antenne 1 - Support 3</v>
      </c>
      <c r="B219" s="76" t="str">
        <f>Liste_Materiel!B222</f>
        <v/>
      </c>
      <c r="C219" s="76" t="str">
        <f>Liste_Materiel!C222</f>
        <v/>
      </c>
      <c r="D219" s="76" t="str">
        <f>Liste_Materiel!D222</f>
        <v/>
      </c>
      <c r="E219" s="76" t="str">
        <f>Liste_Materiel!E222</f>
        <v>pce/m</v>
      </c>
      <c r="F219" s="76" t="str">
        <f t="shared" si="3"/>
        <v/>
      </c>
      <c r="G219" s="76">
        <f>IF(AND(B219&lt;&gt;"",B219&lt;&gt;"Non trouvé - vérifier",D219&lt;&gt;"",D219&lt;&gt;0),IF(COUNTIF($B$2:B219,B219)=1,1,0),0)</f>
        <v>0</v>
      </c>
    </row>
    <row r="220" spans="1:7" x14ac:dyDescent="0.25">
      <c r="A220" s="76" t="str">
        <f>IF(Liste_Materiel!A223="","","SPK - "&amp;Liste_Materiel!A223)</f>
        <v>SPK - Antenne 1 - Support 3</v>
      </c>
      <c r="B220" s="76" t="str">
        <f>Liste_Materiel!B223</f>
        <v/>
      </c>
      <c r="C220" s="76" t="str">
        <f>Liste_Materiel!C223</f>
        <v/>
      </c>
      <c r="D220" s="76" t="str">
        <f>Liste_Materiel!D223</f>
        <v/>
      </c>
      <c r="E220" s="76" t="str">
        <f>Liste_Materiel!E223</f>
        <v>pce/m</v>
      </c>
      <c r="F220" s="76" t="str">
        <f t="shared" si="3"/>
        <v/>
      </c>
      <c r="G220" s="76">
        <f>IF(AND(B220&lt;&gt;"",B220&lt;&gt;"Non trouvé - vérifier",D220&lt;&gt;"",D220&lt;&gt;0),IF(COUNTIF($B$2:B220,B220)=1,1,0),0)</f>
        <v>0</v>
      </c>
    </row>
    <row r="221" spans="1:7" x14ac:dyDescent="0.25">
      <c r="A221" s="76" t="str">
        <f>IF(Liste_Materiel!A224="","","SPK - "&amp;Liste_Materiel!A224)</f>
        <v>SPK - Antenne 1 - Support 3</v>
      </c>
      <c r="B221" s="76" t="str">
        <f>Liste_Materiel!B224</f>
        <v/>
      </c>
      <c r="C221" s="76" t="str">
        <f>Liste_Materiel!C224</f>
        <v/>
      </c>
      <c r="D221" s="76" t="str">
        <f>Liste_Materiel!D224</f>
        <v/>
      </c>
      <c r="E221" s="76" t="str">
        <f>Liste_Materiel!E224</f>
        <v>pce/m</v>
      </c>
      <c r="F221" s="76" t="str">
        <f t="shared" si="3"/>
        <v/>
      </c>
      <c r="G221" s="76">
        <f>IF(AND(B221&lt;&gt;"",B221&lt;&gt;"Non trouvé - vérifier",D221&lt;&gt;"",D221&lt;&gt;0),IF(COUNTIF($B$2:B221,B221)=1,1,0),0)</f>
        <v>0</v>
      </c>
    </row>
    <row r="222" spans="1:7" x14ac:dyDescent="0.25">
      <c r="A222" s="76" t="str">
        <f>IF(Liste_Materiel!A225="","","SPK - "&amp;Liste_Materiel!A225)</f>
        <v>SPK - Antenne 1 - Support 3</v>
      </c>
      <c r="B222" s="76" t="str">
        <f>Liste_Materiel!B225</f>
        <v/>
      </c>
      <c r="C222" s="76" t="str">
        <f>Liste_Materiel!C225</f>
        <v/>
      </c>
      <c r="D222" s="76" t="str">
        <f>Liste_Materiel!D225</f>
        <v/>
      </c>
      <c r="E222" s="76" t="str">
        <f>Liste_Materiel!E225</f>
        <v>pce/m</v>
      </c>
      <c r="F222" s="76" t="str">
        <f t="shared" si="3"/>
        <v/>
      </c>
      <c r="G222" s="76">
        <f>IF(AND(B222&lt;&gt;"",B222&lt;&gt;"Non trouvé - vérifier",D222&lt;&gt;"",D222&lt;&gt;0),IF(COUNTIF($B$2:B222,B222)=1,1,0),0)</f>
        <v>0</v>
      </c>
    </row>
    <row r="223" spans="1:7" x14ac:dyDescent="0.25">
      <c r="A223" s="76" t="str">
        <f>IF(Liste_Materiel!A226="","","SPK - "&amp;Liste_Materiel!A226)</f>
        <v>SPK - Antenne 2 - Support 3</v>
      </c>
      <c r="B223" s="76" t="str">
        <f>Liste_Materiel!B226</f>
        <v/>
      </c>
      <c r="C223" s="76" t="str">
        <f>Liste_Materiel!C226</f>
        <v/>
      </c>
      <c r="D223" s="76" t="str">
        <f>Liste_Materiel!D226</f>
        <v/>
      </c>
      <c r="E223" s="76" t="str">
        <f>Liste_Materiel!E226</f>
        <v>pce/m</v>
      </c>
      <c r="F223" s="76" t="str">
        <f t="shared" si="3"/>
        <v/>
      </c>
      <c r="G223" s="76">
        <f>IF(AND(B223&lt;&gt;"",B223&lt;&gt;"Non trouvé - vérifier",D223&lt;&gt;"",D223&lt;&gt;0),IF(COUNTIF($B$2:B223,B223)=1,1,0),0)</f>
        <v>0</v>
      </c>
    </row>
    <row r="224" spans="1:7" x14ac:dyDescent="0.25">
      <c r="A224" s="76" t="str">
        <f>IF(Liste_Materiel!A227="","","SPK - "&amp;Liste_Materiel!A227)</f>
        <v>SPK - Antenne 2 - Support 3</v>
      </c>
      <c r="B224" s="76" t="str">
        <f>Liste_Materiel!B227</f>
        <v/>
      </c>
      <c r="C224" s="76" t="str">
        <f>Liste_Materiel!C227</f>
        <v/>
      </c>
      <c r="D224" s="76" t="str">
        <f>Liste_Materiel!D227</f>
        <v/>
      </c>
      <c r="E224" s="76" t="str">
        <f>Liste_Materiel!E227</f>
        <v>pce/m</v>
      </c>
      <c r="F224" s="76" t="str">
        <f t="shared" si="3"/>
        <v/>
      </c>
      <c r="G224" s="76">
        <f>IF(AND(B224&lt;&gt;"",B224&lt;&gt;"Non trouvé - vérifier",D224&lt;&gt;"",D224&lt;&gt;0),IF(COUNTIF($B$2:B224,B224)=1,1,0),0)</f>
        <v>0</v>
      </c>
    </row>
    <row r="225" spans="1:7" x14ac:dyDescent="0.25">
      <c r="A225" s="76" t="str">
        <f>IF(Liste_Materiel!A228="","","SPK - "&amp;Liste_Materiel!A228)</f>
        <v>SPK - Antenne 2 - Support 3</v>
      </c>
      <c r="B225" s="76" t="str">
        <f>Liste_Materiel!B228</f>
        <v/>
      </c>
      <c r="C225" s="76" t="str">
        <f>Liste_Materiel!C228</f>
        <v/>
      </c>
      <c r="D225" s="76" t="str">
        <f>Liste_Materiel!D228</f>
        <v/>
      </c>
      <c r="E225" s="76" t="str">
        <f>Liste_Materiel!E228</f>
        <v>pce/m</v>
      </c>
      <c r="F225" s="76" t="str">
        <f t="shared" si="3"/>
        <v/>
      </c>
      <c r="G225" s="76">
        <f>IF(AND(B225&lt;&gt;"",B225&lt;&gt;"Non trouvé - vérifier",D225&lt;&gt;"",D225&lt;&gt;0),IF(COUNTIF($B$2:B225,B225)=1,1,0),0)</f>
        <v>0</v>
      </c>
    </row>
    <row r="226" spans="1:7" x14ac:dyDescent="0.25">
      <c r="A226" s="76" t="str">
        <f>IF(Liste_Materiel!A229="","","SPK - "&amp;Liste_Materiel!A229)</f>
        <v>SPK - Antenne 2 - Support 3</v>
      </c>
      <c r="B226" s="76" t="str">
        <f>Liste_Materiel!B229</f>
        <v/>
      </c>
      <c r="C226" s="76" t="str">
        <f>Liste_Materiel!C229</f>
        <v/>
      </c>
      <c r="D226" s="76" t="str">
        <f>Liste_Materiel!D229</f>
        <v/>
      </c>
      <c r="E226" s="76" t="str">
        <f>Liste_Materiel!E229</f>
        <v>pce/m</v>
      </c>
      <c r="F226" s="76" t="str">
        <f t="shared" si="3"/>
        <v/>
      </c>
      <c r="G226" s="76">
        <f>IF(AND(B226&lt;&gt;"",B226&lt;&gt;"Non trouvé - vérifier",D226&lt;&gt;"",D226&lt;&gt;0),IF(COUNTIF($B$2:B226,B226)=1,1,0),0)</f>
        <v>0</v>
      </c>
    </row>
    <row r="227" spans="1:7" x14ac:dyDescent="0.25">
      <c r="A227" s="76" t="str">
        <f>IF(Liste_Materiel!A230="","","SPK - "&amp;Liste_Materiel!A230)</f>
        <v>SPK - Antenne 2 - Support 3</v>
      </c>
      <c r="B227" s="76" t="str">
        <f>Liste_Materiel!B230</f>
        <v/>
      </c>
      <c r="C227" s="76" t="str">
        <f>Liste_Materiel!C230</f>
        <v/>
      </c>
      <c r="D227" s="76" t="str">
        <f>Liste_Materiel!D230</f>
        <v/>
      </c>
      <c r="E227" s="76" t="str">
        <f>Liste_Materiel!E230</f>
        <v>pce/m</v>
      </c>
      <c r="F227" s="76" t="str">
        <f t="shared" si="3"/>
        <v/>
      </c>
      <c r="G227" s="76">
        <f>IF(AND(B227&lt;&gt;"",B227&lt;&gt;"Non trouvé - vérifier",D227&lt;&gt;"",D227&lt;&gt;0),IF(COUNTIF($B$2:B227,B227)=1,1,0),0)</f>
        <v>0</v>
      </c>
    </row>
    <row r="228" spans="1:7" x14ac:dyDescent="0.25">
      <c r="A228" s="76" t="str">
        <f>IF(Liste_Materiel!A231="","","SPK - "&amp;Liste_Materiel!A231)</f>
        <v>SPK - Antenne 2 - Support 3</v>
      </c>
      <c r="B228" s="76" t="str">
        <f>Liste_Materiel!B231</f>
        <v/>
      </c>
      <c r="C228" s="76" t="str">
        <f>Liste_Materiel!C231</f>
        <v/>
      </c>
      <c r="D228" s="76" t="str">
        <f>Liste_Materiel!D231</f>
        <v/>
      </c>
      <c r="E228" s="76" t="str">
        <f>Liste_Materiel!E231</f>
        <v>pce/m</v>
      </c>
      <c r="F228" s="76" t="str">
        <f t="shared" si="3"/>
        <v/>
      </c>
      <c r="G228" s="76">
        <f>IF(AND(B228&lt;&gt;"",B228&lt;&gt;"Non trouvé - vérifier",D228&lt;&gt;"",D228&lt;&gt;0),IF(COUNTIF($B$2:B228,B228)=1,1,0),0)</f>
        <v>0</v>
      </c>
    </row>
    <row r="229" spans="1:7" x14ac:dyDescent="0.25">
      <c r="A229" s="76" t="str">
        <f>IF(Liste_Materiel!A232="","","SPK - "&amp;Liste_Materiel!A232)</f>
        <v>SPK - Antenne 3 - Support 3</v>
      </c>
      <c r="B229" s="76" t="str">
        <f>Liste_Materiel!B232</f>
        <v/>
      </c>
      <c r="C229" s="76" t="str">
        <f>Liste_Materiel!C232</f>
        <v/>
      </c>
      <c r="D229" s="76" t="str">
        <f>Liste_Materiel!D232</f>
        <v/>
      </c>
      <c r="E229" s="76" t="str">
        <f>Liste_Materiel!E232</f>
        <v>pce/m</v>
      </c>
      <c r="F229" s="76" t="str">
        <f t="shared" si="3"/>
        <v/>
      </c>
      <c r="G229" s="76">
        <f>IF(AND(B229&lt;&gt;"",B229&lt;&gt;"Non trouvé - vérifier",D229&lt;&gt;"",D229&lt;&gt;0),IF(COUNTIF($B$2:B229,B229)=1,1,0),0)</f>
        <v>0</v>
      </c>
    </row>
    <row r="230" spans="1:7" x14ac:dyDescent="0.25">
      <c r="A230" s="76" t="str">
        <f>IF(Liste_Materiel!A233="","","SPK - "&amp;Liste_Materiel!A233)</f>
        <v>SPK - Antenne 3 - Support 3</v>
      </c>
      <c r="B230" s="76" t="str">
        <f>Liste_Materiel!B233</f>
        <v/>
      </c>
      <c r="C230" s="76" t="str">
        <f>Liste_Materiel!C233</f>
        <v/>
      </c>
      <c r="D230" s="76" t="str">
        <f>Liste_Materiel!D233</f>
        <v/>
      </c>
      <c r="E230" s="76" t="str">
        <f>Liste_Materiel!E233</f>
        <v>pce/m</v>
      </c>
      <c r="F230" s="76" t="str">
        <f t="shared" si="3"/>
        <v/>
      </c>
      <c r="G230" s="76">
        <f>IF(AND(B230&lt;&gt;"",B230&lt;&gt;"Non trouvé - vérifier",D230&lt;&gt;"",D230&lt;&gt;0),IF(COUNTIF($B$2:B230,B230)=1,1,0),0)</f>
        <v>0</v>
      </c>
    </row>
    <row r="231" spans="1:7" x14ac:dyDescent="0.25">
      <c r="A231" s="76" t="str">
        <f>IF(Liste_Materiel!A234="","","SPK - "&amp;Liste_Materiel!A234)</f>
        <v>SPK - Antenne 3 - Support 3</v>
      </c>
      <c r="B231" s="76" t="str">
        <f>Liste_Materiel!B234</f>
        <v/>
      </c>
      <c r="C231" s="76" t="str">
        <f>Liste_Materiel!C234</f>
        <v/>
      </c>
      <c r="D231" s="76" t="str">
        <f>Liste_Materiel!D234</f>
        <v/>
      </c>
      <c r="E231" s="76" t="str">
        <f>Liste_Materiel!E234</f>
        <v>pce/m</v>
      </c>
      <c r="F231" s="76" t="str">
        <f t="shared" si="3"/>
        <v/>
      </c>
      <c r="G231" s="76">
        <f>IF(AND(B231&lt;&gt;"",B231&lt;&gt;"Non trouvé - vérifier",D231&lt;&gt;"",D231&lt;&gt;0),IF(COUNTIF($B$2:B231,B231)=1,1,0),0)</f>
        <v>0</v>
      </c>
    </row>
    <row r="232" spans="1:7" x14ac:dyDescent="0.25">
      <c r="A232" s="76" t="str">
        <f>IF(Liste_Materiel!A235="","","SPK - "&amp;Liste_Materiel!A235)</f>
        <v>SPK - Antenne 3 - Support 3</v>
      </c>
      <c r="B232" s="76" t="str">
        <f>Liste_Materiel!B235</f>
        <v/>
      </c>
      <c r="C232" s="76" t="str">
        <f>Liste_Materiel!C235</f>
        <v/>
      </c>
      <c r="D232" s="76" t="str">
        <f>Liste_Materiel!D235</f>
        <v/>
      </c>
      <c r="E232" s="76" t="str">
        <f>Liste_Materiel!E235</f>
        <v>pce/m</v>
      </c>
      <c r="F232" s="76" t="str">
        <f t="shared" si="3"/>
        <v/>
      </c>
      <c r="G232" s="76">
        <f>IF(AND(B232&lt;&gt;"",B232&lt;&gt;"Non trouvé - vérifier",D232&lt;&gt;"",D232&lt;&gt;0),IF(COUNTIF($B$2:B232,B232)=1,1,0),0)</f>
        <v>0</v>
      </c>
    </row>
    <row r="233" spans="1:7" x14ac:dyDescent="0.25">
      <c r="A233" s="76" t="str">
        <f>IF(Liste_Materiel!A236="","","SPK - "&amp;Liste_Materiel!A236)</f>
        <v>SPK - Antenne 3 - Support 3</v>
      </c>
      <c r="B233" s="76" t="str">
        <f>Liste_Materiel!B236</f>
        <v/>
      </c>
      <c r="C233" s="76" t="str">
        <f>Liste_Materiel!C236</f>
        <v/>
      </c>
      <c r="D233" s="76" t="str">
        <f>Liste_Materiel!D236</f>
        <v/>
      </c>
      <c r="E233" s="76" t="str">
        <f>Liste_Materiel!E236</f>
        <v>pce/m</v>
      </c>
      <c r="F233" s="76" t="str">
        <f t="shared" si="3"/>
        <v/>
      </c>
      <c r="G233" s="76">
        <f>IF(AND(B233&lt;&gt;"",B233&lt;&gt;"Non trouvé - vérifier",D233&lt;&gt;"",D233&lt;&gt;0),IF(COUNTIF($B$2:B233,B233)=1,1,0),0)</f>
        <v>0</v>
      </c>
    </row>
    <row r="234" spans="1:7" x14ac:dyDescent="0.25">
      <c r="A234" s="76" t="str">
        <f>IF(Liste_Materiel!A237="","","SPK - "&amp;Liste_Materiel!A237)</f>
        <v>SPK - Antenne 3 - Support 3</v>
      </c>
      <c r="B234" s="76" t="str">
        <f>Liste_Materiel!B237</f>
        <v/>
      </c>
      <c r="C234" s="76" t="str">
        <f>Liste_Materiel!C237</f>
        <v/>
      </c>
      <c r="D234" s="76" t="str">
        <f>Liste_Materiel!D237</f>
        <v/>
      </c>
      <c r="E234" s="76" t="str">
        <f>Liste_Materiel!E237</f>
        <v>pce/m</v>
      </c>
      <c r="F234" s="76" t="str">
        <f t="shared" si="3"/>
        <v/>
      </c>
      <c r="G234" s="76">
        <f>IF(AND(B234&lt;&gt;"",B234&lt;&gt;"Non trouvé - vérifier",D234&lt;&gt;"",D234&lt;&gt;0),IF(COUNTIF($B$2:B234,B234)=1,1,0),0)</f>
        <v>0</v>
      </c>
    </row>
    <row r="235" spans="1:7" x14ac:dyDescent="0.25">
      <c r="A235" s="76" t="str">
        <f>IF(Liste_Materiel!A238="","","SPK - "&amp;Liste_Materiel!A238)</f>
        <v>SPK - Antenne 4 - Support 3</v>
      </c>
      <c r="B235" s="76" t="str">
        <f>Liste_Materiel!B238</f>
        <v/>
      </c>
      <c r="C235" s="76" t="str">
        <f>Liste_Materiel!C238</f>
        <v/>
      </c>
      <c r="D235" s="76" t="str">
        <f>Liste_Materiel!D238</f>
        <v/>
      </c>
      <c r="E235" s="76" t="str">
        <f>Liste_Materiel!E238</f>
        <v>pce/m</v>
      </c>
      <c r="F235" s="76" t="str">
        <f t="shared" si="3"/>
        <v/>
      </c>
      <c r="G235" s="76">
        <f>IF(AND(B235&lt;&gt;"",B235&lt;&gt;"Non trouvé - vérifier",D235&lt;&gt;"",D235&lt;&gt;0),IF(COUNTIF($B$2:B235,B235)=1,1,0),0)</f>
        <v>0</v>
      </c>
    </row>
    <row r="236" spans="1:7" x14ac:dyDescent="0.25">
      <c r="A236" s="76" t="str">
        <f>IF(Liste_Materiel!A239="","","SPK - "&amp;Liste_Materiel!A239)</f>
        <v>SPK - Antenne 4 - Support 3</v>
      </c>
      <c r="B236" s="76" t="str">
        <f>Liste_Materiel!B239</f>
        <v/>
      </c>
      <c r="C236" s="76" t="str">
        <f>Liste_Materiel!C239</f>
        <v/>
      </c>
      <c r="D236" s="76" t="str">
        <f>Liste_Materiel!D239</f>
        <v/>
      </c>
      <c r="E236" s="76" t="str">
        <f>Liste_Materiel!E239</f>
        <v>pce/m</v>
      </c>
      <c r="F236" s="76" t="str">
        <f t="shared" si="3"/>
        <v/>
      </c>
      <c r="G236" s="76">
        <f>IF(AND(B236&lt;&gt;"",B236&lt;&gt;"Non trouvé - vérifier",D236&lt;&gt;"",D236&lt;&gt;0),IF(COUNTIF($B$2:B236,B236)=1,1,0),0)</f>
        <v>0</v>
      </c>
    </row>
    <row r="237" spans="1:7" x14ac:dyDescent="0.25">
      <c r="A237" s="76" t="str">
        <f>IF(Liste_Materiel!A240="","","SPK - "&amp;Liste_Materiel!A240)</f>
        <v>SPK - Antenne 4 - Support 3</v>
      </c>
      <c r="B237" s="76" t="str">
        <f>Liste_Materiel!B240</f>
        <v/>
      </c>
      <c r="C237" s="76" t="str">
        <f>Liste_Materiel!C240</f>
        <v/>
      </c>
      <c r="D237" s="76" t="str">
        <f>Liste_Materiel!D240</f>
        <v/>
      </c>
      <c r="E237" s="76" t="str">
        <f>Liste_Materiel!E240</f>
        <v>pce/m</v>
      </c>
      <c r="F237" s="76" t="str">
        <f t="shared" si="3"/>
        <v/>
      </c>
      <c r="G237" s="76">
        <f>IF(AND(B237&lt;&gt;"",B237&lt;&gt;"Non trouvé - vérifier",D237&lt;&gt;"",D237&lt;&gt;0),IF(COUNTIF($B$2:B237,B237)=1,1,0),0)</f>
        <v>0</v>
      </c>
    </row>
    <row r="238" spans="1:7" x14ac:dyDescent="0.25">
      <c r="A238" s="76" t="str">
        <f>IF(Liste_Materiel!A241="","","SPK - "&amp;Liste_Materiel!A241)</f>
        <v>SPK - Antenne 4 - Support 3</v>
      </c>
      <c r="B238" s="76" t="str">
        <f>Liste_Materiel!B241</f>
        <v/>
      </c>
      <c r="C238" s="76" t="str">
        <f>Liste_Materiel!C241</f>
        <v/>
      </c>
      <c r="D238" s="76" t="str">
        <f>Liste_Materiel!D241</f>
        <v/>
      </c>
      <c r="E238" s="76" t="str">
        <f>Liste_Materiel!E241</f>
        <v>pce/m</v>
      </c>
      <c r="F238" s="76" t="str">
        <f t="shared" si="3"/>
        <v/>
      </c>
      <c r="G238" s="76">
        <f>IF(AND(B238&lt;&gt;"",B238&lt;&gt;"Non trouvé - vérifier",D238&lt;&gt;"",D238&lt;&gt;0),IF(COUNTIF($B$2:B238,B238)=1,1,0),0)</f>
        <v>0</v>
      </c>
    </row>
    <row r="239" spans="1:7" x14ac:dyDescent="0.25">
      <c r="A239" s="76" t="str">
        <f>IF(Liste_Materiel!A242="","","SPK - "&amp;Liste_Materiel!A242)</f>
        <v>SPK - Antenne 4 - Support 3</v>
      </c>
      <c r="B239" s="76" t="str">
        <f>Liste_Materiel!B242</f>
        <v/>
      </c>
      <c r="C239" s="76" t="str">
        <f>Liste_Materiel!C242</f>
        <v/>
      </c>
      <c r="D239" s="76" t="str">
        <f>Liste_Materiel!D242</f>
        <v/>
      </c>
      <c r="E239" s="76" t="str">
        <f>Liste_Materiel!E242</f>
        <v>pce/m</v>
      </c>
      <c r="F239" s="76" t="str">
        <f t="shared" si="3"/>
        <v/>
      </c>
      <c r="G239" s="76">
        <f>IF(AND(B239&lt;&gt;"",B239&lt;&gt;"Non trouvé - vérifier",D239&lt;&gt;"",D239&lt;&gt;0),IF(COUNTIF($B$2:B239,B239)=1,1,0),0)</f>
        <v>0</v>
      </c>
    </row>
    <row r="240" spans="1:7" x14ac:dyDescent="0.25">
      <c r="A240" s="76" t="str">
        <f>IF(Liste_Materiel!A243="","","SPK - "&amp;Liste_Materiel!A243)</f>
        <v>SPK - Antenne 4 - Support 3</v>
      </c>
      <c r="B240" s="76" t="str">
        <f>Liste_Materiel!B243</f>
        <v/>
      </c>
      <c r="C240" s="76" t="str">
        <f>Liste_Materiel!C243</f>
        <v/>
      </c>
      <c r="D240" s="76" t="str">
        <f>Liste_Materiel!D243</f>
        <v/>
      </c>
      <c r="E240" s="76" t="str">
        <f>Liste_Materiel!E243</f>
        <v>pce/m</v>
      </c>
      <c r="F240" s="76" t="str">
        <f t="shared" si="3"/>
        <v/>
      </c>
      <c r="G240" s="76">
        <f>IF(AND(B240&lt;&gt;"",B240&lt;&gt;"Non trouvé - vérifier",D240&lt;&gt;"",D240&lt;&gt;0),IF(COUNTIF($B$2:B240,B240)=1,1,0),0)</f>
        <v>0</v>
      </c>
    </row>
    <row r="241" spans="1:7" x14ac:dyDescent="0.25">
      <c r="A241" s="76" t="str">
        <f>IF(Liste_Materiel!A52="","","SPK - "&amp;Liste_Materiel!A52)</f>
        <v>SPK - Antenne 1</v>
      </c>
      <c r="B241" s="76" t="str">
        <f>Liste_Materiel!B52</f>
        <v>Non trouvé - vérifier</v>
      </c>
      <c r="C241" s="76" t="str">
        <f>Liste_Materiel!C52</f>
        <v/>
      </c>
      <c r="D241" s="78">
        <f>Liste_Materiel!D52</f>
        <v>0</v>
      </c>
      <c r="E241" s="76" t="str">
        <f>Liste_Materiel!E52</f>
        <v>pce</v>
      </c>
      <c r="F241" s="76" t="str">
        <f t="shared" si="3"/>
        <v/>
      </c>
      <c r="G241" s="76">
        <f>IF(AND(B241&lt;&gt;"",B241&lt;&gt;"Non trouvé - vérifier",D241&lt;&gt;"",D241&lt;&gt;0),IF(COUNTIF($B$2:B241,B241)=1,1,0),0)</f>
        <v>0</v>
      </c>
    </row>
    <row r="242" spans="1:7" x14ac:dyDescent="0.25">
      <c r="A242" s="76" t="str">
        <f>IF(Liste_Materiel!A86="","","SPK - "&amp;Liste_Materiel!A86)</f>
        <v>SPK - Antenne 2</v>
      </c>
      <c r="B242" s="76" t="str">
        <f>Liste_Materiel!B86</f>
        <v>Non trouvé - vérifier</v>
      </c>
      <c r="C242" s="76" t="str">
        <f>Liste_Materiel!C86</f>
        <v/>
      </c>
      <c r="D242" s="78">
        <f>Liste_Materiel!D86</f>
        <v>0</v>
      </c>
      <c r="E242" s="76" t="str">
        <f>Liste_Materiel!E86</f>
        <v>pce</v>
      </c>
      <c r="F242" s="76" t="str">
        <f t="shared" si="3"/>
        <v/>
      </c>
      <c r="G242" s="76">
        <f>IF(AND(B242&lt;&gt;"",B242&lt;&gt;"Non trouvé - vérifier",D242&lt;&gt;"",D242&lt;&gt;0),IF(COUNTIF($B$2:B242,B242)=1,1,0),0)</f>
        <v>0</v>
      </c>
    </row>
    <row r="243" spans="1:7" x14ac:dyDescent="0.25">
      <c r="A243" s="76" t="str">
        <f>IF(Liste_Materiel!A121="","","SPK - "&amp;Liste_Materiel!A121)</f>
        <v>SPK - Antenne 3</v>
      </c>
      <c r="B243" s="76" t="str">
        <f>Liste_Materiel!B121</f>
        <v>Non trouvé - vérifier</v>
      </c>
      <c r="C243" s="76" t="str">
        <f>Liste_Materiel!C121</f>
        <v/>
      </c>
      <c r="D243" s="78">
        <f>Liste_Materiel!D121</f>
        <v>0</v>
      </c>
      <c r="E243" s="76" t="str">
        <f>Liste_Materiel!E121</f>
        <v>pce</v>
      </c>
      <c r="F243" s="76" t="str">
        <f t="shared" si="3"/>
        <v/>
      </c>
      <c r="G243" s="76">
        <f>IF(AND(B243&lt;&gt;"",B243&lt;&gt;"Non trouvé - vérifier",D243&lt;&gt;"",D243&lt;&gt;0),IF(COUNTIF($B$2:B243,B243)=1,1,0),0)</f>
        <v>0</v>
      </c>
    </row>
    <row r="244" spans="1:7" x14ac:dyDescent="0.25">
      <c r="A244" s="76" t="str">
        <f>IF(Liste_Materiel!A244="","","SPK - "&amp;Liste_Materiel!A244)</f>
        <v>SPK - Antenne 4</v>
      </c>
      <c r="B244" s="76" t="str">
        <f>Liste_Materiel!B244</f>
        <v>Non trouvé - vérifier</v>
      </c>
      <c r="C244" s="76" t="str">
        <f>Liste_Materiel!C244</f>
        <v/>
      </c>
      <c r="D244" s="78">
        <f>Liste_Materiel!D244</f>
        <v>0</v>
      </c>
      <c r="E244" s="76" t="str">
        <f>Liste_Materiel!E244</f>
        <v>pce</v>
      </c>
      <c r="F244" s="76" t="str">
        <f t="shared" si="3"/>
        <v/>
      </c>
      <c r="G244" s="76">
        <f>IF(AND(B244&lt;&gt;"",B244&lt;&gt;"Non trouvé - vérifier",D244&lt;&gt;"",D244&lt;&gt;0),IF(COUNTIF($B$2:B244,B244)=1,1,0),0)</f>
        <v>0</v>
      </c>
    </row>
    <row r="245" spans="1:7" x14ac:dyDescent="0.25">
      <c r="A245" s="76" t="str">
        <f>IF(Liste_Materiel_RIA!A2="","","RIA - "&amp;Liste_Materiel_RIA!A2)</f>
        <v>RIA - Boucle 1</v>
      </c>
      <c r="B245" s="76" t="str">
        <f>Liste_Materiel_RIA!B2</f>
        <v>Non trouvé - vérifier</v>
      </c>
      <c r="C245" s="76" t="str">
        <f>Liste_Materiel_RIA!C2</f>
        <v/>
      </c>
      <c r="D245" s="76">
        <f>Liste_Materiel_RIA!D2</f>
        <v>0</v>
      </c>
      <c r="E245" s="76" t="str">
        <f>Liste_Materiel_RIA!E2</f>
        <v>ml</v>
      </c>
      <c r="F245" s="76" t="str">
        <f t="shared" ref="F245:F276" si="4">IF(AND(B241&lt;&gt;"",B241&lt;&gt;"Non trouvé - vérifier",D241&lt;&gt;"",D241&lt;&gt;0),SUMIF($B$2:$B$426,B241,$D$2:$D$426),"")</f>
        <v/>
      </c>
      <c r="G245" s="76">
        <f>IF(AND(B241&lt;&gt;"",B241&lt;&gt;"Non trouvé - vérifier",D241&lt;&gt;"",D241&lt;&gt;0),IF(COUNTIF($B$2:B241,B241)=1,1,0),0)</f>
        <v>0</v>
      </c>
    </row>
    <row r="246" spans="1:7" x14ac:dyDescent="0.25">
      <c r="A246" s="76" t="str">
        <f>IF(Liste_Materiel_RIA!A3="","","RIA - "&amp;Liste_Materiel_RIA!A3)</f>
        <v>RIA - Boucle 1</v>
      </c>
      <c r="B246" s="76" t="str">
        <f>Liste_Materiel_RIA!B3</f>
        <v>Non trouvé - vérifier</v>
      </c>
      <c r="C246" s="76" t="str">
        <f>Liste_Materiel_RIA!C3</f>
        <v/>
      </c>
      <c r="D246" s="76">
        <f>Liste_Materiel_RIA!D3</f>
        <v>0</v>
      </c>
      <c r="E246" s="76" t="str">
        <f>Liste_Materiel_RIA!E3</f>
        <v>pce</v>
      </c>
      <c r="F246" s="76" t="str">
        <f t="shared" si="4"/>
        <v/>
      </c>
      <c r="G246" s="76">
        <f>IF(AND(B242&lt;&gt;"",B242&lt;&gt;"Non trouvé - vérifier",D242&lt;&gt;"",D242&lt;&gt;0),IF(COUNTIF($B$2:B242,B242)=1,1,0),0)</f>
        <v>0</v>
      </c>
    </row>
    <row r="247" spans="1:7" x14ac:dyDescent="0.25">
      <c r="A247" s="76" t="str">
        <f>IF(Liste_Materiel_RIA!A4="","","RIA - "&amp;Liste_Materiel_RIA!A4)</f>
        <v>RIA - Boucle 1</v>
      </c>
      <c r="B247" s="76" t="str">
        <f>Liste_Materiel_RIA!B4</f>
        <v>Non trouvé - vérifier</v>
      </c>
      <c r="C247" s="76" t="str">
        <f>Liste_Materiel_RIA!C4</f>
        <v/>
      </c>
      <c r="D247" s="76">
        <f>Liste_Materiel_RIA!D4</f>
        <v>0</v>
      </c>
      <c r="E247" s="76" t="str">
        <f>Liste_Materiel_RIA!E4</f>
        <v>pce</v>
      </c>
      <c r="F247" s="76" t="str">
        <f t="shared" si="4"/>
        <v/>
      </c>
      <c r="G247" s="76">
        <f>IF(AND(B243&lt;&gt;"",B243&lt;&gt;"Non trouvé - vérifier",D243&lt;&gt;"",D243&lt;&gt;0),IF(COUNTIF($B$2:B243,B243)=1,1,0),0)</f>
        <v>0</v>
      </c>
    </row>
    <row r="248" spans="1:7" x14ac:dyDescent="0.25">
      <c r="A248" s="76" t="str">
        <f>IF(Liste_Materiel_RIA!A5="","","RIA - "&amp;Liste_Materiel_RIA!A5)</f>
        <v>RIA - Boucle 1</v>
      </c>
      <c r="B248" s="76" t="str">
        <f>Liste_Materiel_RIA!B5</f>
        <v>Non trouvé - vérifier</v>
      </c>
      <c r="C248" s="76" t="str">
        <f>Liste_Materiel_RIA!C5</f>
        <v/>
      </c>
      <c r="D248" s="76">
        <f>Liste_Materiel_RIA!D5</f>
        <v>0</v>
      </c>
      <c r="E248" s="76" t="str">
        <f>Liste_Materiel_RIA!E5</f>
        <v>pce</v>
      </c>
      <c r="F248" s="76" t="str">
        <f t="shared" si="4"/>
        <v/>
      </c>
      <c r="G248" s="76">
        <f>IF(AND(B244&lt;&gt;"",B244&lt;&gt;"Non trouvé - vérifier",D244&lt;&gt;"",D244&lt;&gt;0),IF(COUNTIF($B$2:B244,B244)=1,1,0),0)</f>
        <v>0</v>
      </c>
    </row>
    <row r="249" spans="1:7" x14ac:dyDescent="0.25">
      <c r="A249" s="76" t="str">
        <f>IF(Liste_Materiel_RIA!A6="","","RIA - "&amp;Liste_Materiel_RIA!A6)</f>
        <v>RIA - Boucle 1 - Support 1</v>
      </c>
      <c r="B249" s="76" t="str">
        <f>Liste_Materiel_RIA!B6</f>
        <v/>
      </c>
      <c r="C249" s="76" t="str">
        <f>Liste_Materiel_RIA!C6</f>
        <v/>
      </c>
      <c r="D249" s="76" t="str">
        <f>Liste_Materiel_RIA!D6</f>
        <v/>
      </c>
      <c r="E249" s="76" t="str">
        <f>Liste_Materiel_RIA!E6</f>
        <v>pce/m</v>
      </c>
      <c r="F249" s="76" t="str">
        <f t="shared" si="4"/>
        <v/>
      </c>
      <c r="G249" s="76">
        <f>IF(AND(B245&lt;&gt;"",B245&lt;&gt;"Non trouvé - vérifier",D245&lt;&gt;"",D245&lt;&gt;0),IF(COUNTIF($B$2:B245,B245)=1,1,0),0)</f>
        <v>0</v>
      </c>
    </row>
    <row r="250" spans="1:7" x14ac:dyDescent="0.25">
      <c r="A250" s="76" t="str">
        <f>IF(Liste_Materiel_RIA!A7="","","RIA - "&amp;Liste_Materiel_RIA!A7)</f>
        <v>RIA - Boucle 1 - Support 1</v>
      </c>
      <c r="B250" s="76" t="str">
        <f>Liste_Materiel_RIA!B7</f>
        <v/>
      </c>
      <c r="C250" s="76" t="str">
        <f>Liste_Materiel_RIA!C7</f>
        <v/>
      </c>
      <c r="D250" s="76" t="str">
        <f>Liste_Materiel_RIA!D7</f>
        <v/>
      </c>
      <c r="E250" s="76" t="str">
        <f>Liste_Materiel_RIA!E7</f>
        <v>pce/m</v>
      </c>
      <c r="F250" s="76" t="str">
        <f t="shared" si="4"/>
        <v/>
      </c>
      <c r="G250" s="76">
        <f>IF(AND(B246&lt;&gt;"",B246&lt;&gt;"Non trouvé - vérifier",D246&lt;&gt;"",D246&lt;&gt;0),IF(COUNTIF($B$2:B246,B246)=1,1,0),0)</f>
        <v>0</v>
      </c>
    </row>
    <row r="251" spans="1:7" x14ac:dyDescent="0.25">
      <c r="A251" s="76" t="str">
        <f>IF(Liste_Materiel_RIA!A8="","","RIA - "&amp;Liste_Materiel_RIA!A8)</f>
        <v>RIA - Boucle 1 - Support 1</v>
      </c>
      <c r="B251" s="76" t="str">
        <f>Liste_Materiel_RIA!B8</f>
        <v/>
      </c>
      <c r="C251" s="76" t="str">
        <f>Liste_Materiel_RIA!C8</f>
        <v/>
      </c>
      <c r="D251" s="76" t="str">
        <f>Liste_Materiel_RIA!D8</f>
        <v/>
      </c>
      <c r="E251" s="76" t="str">
        <f>Liste_Materiel_RIA!E8</f>
        <v>pce/m</v>
      </c>
      <c r="F251" s="76" t="str">
        <f t="shared" si="4"/>
        <v/>
      </c>
      <c r="G251" s="76">
        <f>IF(AND(B247&lt;&gt;"",B247&lt;&gt;"Non trouvé - vérifier",D247&lt;&gt;"",D247&lt;&gt;0),IF(COUNTIF($B$2:B247,B247)=1,1,0),0)</f>
        <v>0</v>
      </c>
    </row>
    <row r="252" spans="1:7" x14ac:dyDescent="0.25">
      <c r="A252" s="76" t="str">
        <f>IF(Liste_Materiel_RIA!A9="","","RIA - "&amp;Liste_Materiel_RIA!A9)</f>
        <v>RIA - Boucle 1 - Support 1</v>
      </c>
      <c r="B252" s="76" t="str">
        <f>Liste_Materiel_RIA!B9</f>
        <v/>
      </c>
      <c r="C252" s="76" t="str">
        <f>Liste_Materiel_RIA!C9</f>
        <v/>
      </c>
      <c r="D252" s="76" t="str">
        <f>Liste_Materiel_RIA!D9</f>
        <v/>
      </c>
      <c r="E252" s="76" t="str">
        <f>Liste_Materiel_RIA!E9</f>
        <v>pce/m</v>
      </c>
      <c r="F252" s="76" t="str">
        <f t="shared" si="4"/>
        <v/>
      </c>
      <c r="G252" s="76">
        <f>IF(AND(B248&lt;&gt;"",B248&lt;&gt;"Non trouvé - vérifier",D248&lt;&gt;"",D248&lt;&gt;0),IF(COUNTIF($B$2:B248,B248)=1,1,0),0)</f>
        <v>0</v>
      </c>
    </row>
    <row r="253" spans="1:7" x14ac:dyDescent="0.25">
      <c r="A253" s="76" t="str">
        <f>IF(Liste_Materiel_RIA!A10="","","RIA - "&amp;Liste_Materiel_RIA!A10)</f>
        <v>RIA - Boucle 1 - Support 1</v>
      </c>
      <c r="B253" s="76" t="str">
        <f>Liste_Materiel_RIA!B10</f>
        <v/>
      </c>
      <c r="C253" s="76" t="str">
        <f>Liste_Materiel_RIA!C10</f>
        <v/>
      </c>
      <c r="D253" s="76" t="str">
        <f>Liste_Materiel_RIA!D10</f>
        <v/>
      </c>
      <c r="E253" s="76" t="str">
        <f>Liste_Materiel_RIA!E10</f>
        <v>pce/m</v>
      </c>
      <c r="F253" s="76" t="str">
        <f t="shared" si="4"/>
        <v/>
      </c>
      <c r="G253" s="76">
        <f>IF(AND(B249&lt;&gt;"",B249&lt;&gt;"Non trouvé - vérifier",D249&lt;&gt;"",D249&lt;&gt;0),IF(COUNTIF($B$2:B249,B249)=1,1,0),0)</f>
        <v>0</v>
      </c>
    </row>
    <row r="254" spans="1:7" x14ac:dyDescent="0.25">
      <c r="A254" s="76" t="str">
        <f>IF(Liste_Materiel_RIA!A11="","","RIA - "&amp;Liste_Materiel_RIA!A11)</f>
        <v>RIA - Boucle 1 - Support 1</v>
      </c>
      <c r="B254" s="76" t="str">
        <f>Liste_Materiel_RIA!B11</f>
        <v/>
      </c>
      <c r="C254" s="76" t="str">
        <f>Liste_Materiel_RIA!C11</f>
        <v/>
      </c>
      <c r="D254" s="76" t="str">
        <f>Liste_Materiel_RIA!D11</f>
        <v/>
      </c>
      <c r="E254" s="76" t="str">
        <f>Liste_Materiel_RIA!E11</f>
        <v>pce/m</v>
      </c>
      <c r="F254" s="76" t="str">
        <f t="shared" si="4"/>
        <v/>
      </c>
      <c r="G254" s="76">
        <f>IF(AND(B250&lt;&gt;"",B250&lt;&gt;"Non trouvé - vérifier",D250&lt;&gt;"",D250&lt;&gt;0),IF(COUNTIF($B$2:B250,B250)=1,1,0),0)</f>
        <v>0</v>
      </c>
    </row>
    <row r="255" spans="1:7" x14ac:dyDescent="0.25">
      <c r="A255" s="76" t="str">
        <f>IF(Liste_Materiel_RIA!A12="","","RIA - "&amp;Liste_Materiel_RIA!A12)</f>
        <v>RIA - Boucle 1 - Support 2</v>
      </c>
      <c r="B255" s="76" t="str">
        <f>Liste_Materiel_RIA!B12</f>
        <v/>
      </c>
      <c r="C255" s="76" t="str">
        <f>Liste_Materiel_RIA!C12</f>
        <v/>
      </c>
      <c r="D255" s="76" t="str">
        <f>Liste_Materiel_RIA!D12</f>
        <v/>
      </c>
      <c r="E255" s="76" t="str">
        <f>Liste_Materiel_RIA!E12</f>
        <v>pce/m</v>
      </c>
      <c r="F255" s="76" t="str">
        <f t="shared" si="4"/>
        <v/>
      </c>
      <c r="G255" s="76">
        <f>IF(AND(B251&lt;&gt;"",B251&lt;&gt;"Non trouvé - vérifier",D251&lt;&gt;"",D251&lt;&gt;0),IF(COUNTIF($B$2:B251,B251)=1,1,0),0)</f>
        <v>0</v>
      </c>
    </row>
    <row r="256" spans="1:7" x14ac:dyDescent="0.25">
      <c r="A256" s="76" t="str">
        <f>IF(Liste_Materiel_RIA!A13="","","RIA - "&amp;Liste_Materiel_RIA!A13)</f>
        <v>RIA - Boucle 1 - Support 2</v>
      </c>
      <c r="B256" s="76" t="str">
        <f>Liste_Materiel_RIA!B13</f>
        <v/>
      </c>
      <c r="C256" s="76" t="str">
        <f>Liste_Materiel_RIA!C13</f>
        <v/>
      </c>
      <c r="D256" s="76" t="str">
        <f>Liste_Materiel_RIA!D13</f>
        <v/>
      </c>
      <c r="E256" s="76" t="str">
        <f>Liste_Materiel_RIA!E13</f>
        <v>pce/m</v>
      </c>
      <c r="F256" s="76" t="str">
        <f t="shared" si="4"/>
        <v/>
      </c>
      <c r="G256" s="76">
        <f>IF(AND(B252&lt;&gt;"",B252&lt;&gt;"Non trouvé - vérifier",D252&lt;&gt;"",D252&lt;&gt;0),IF(COUNTIF($B$2:B252,B252)=1,1,0),0)</f>
        <v>0</v>
      </c>
    </row>
    <row r="257" spans="1:7" x14ac:dyDescent="0.25">
      <c r="A257" s="76" t="str">
        <f>IF(Liste_Materiel_RIA!A14="","","RIA - "&amp;Liste_Materiel_RIA!A14)</f>
        <v>RIA - Boucle 1 - Support 2</v>
      </c>
      <c r="B257" s="76" t="str">
        <f>Liste_Materiel_RIA!B14</f>
        <v/>
      </c>
      <c r="C257" s="76" t="str">
        <f>Liste_Materiel_RIA!C14</f>
        <v/>
      </c>
      <c r="D257" s="76" t="str">
        <f>Liste_Materiel_RIA!D14</f>
        <v/>
      </c>
      <c r="E257" s="76" t="str">
        <f>Liste_Materiel_RIA!E14</f>
        <v>pce/m</v>
      </c>
      <c r="F257" s="76" t="str">
        <f t="shared" si="4"/>
        <v/>
      </c>
      <c r="G257" s="76">
        <f>IF(AND(B253&lt;&gt;"",B253&lt;&gt;"Non trouvé - vérifier",D253&lt;&gt;"",D253&lt;&gt;0),IF(COUNTIF($B$2:B253,B253)=1,1,0),0)</f>
        <v>0</v>
      </c>
    </row>
    <row r="258" spans="1:7" x14ac:dyDescent="0.25">
      <c r="A258" s="76" t="str">
        <f>IF(Liste_Materiel_RIA!A15="","","RIA - "&amp;Liste_Materiel_RIA!A15)</f>
        <v>RIA - Boucle 1 - Support 2</v>
      </c>
      <c r="B258" s="76" t="str">
        <f>Liste_Materiel_RIA!B15</f>
        <v/>
      </c>
      <c r="C258" s="76" t="str">
        <f>Liste_Materiel_RIA!C15</f>
        <v/>
      </c>
      <c r="D258" s="76" t="str">
        <f>Liste_Materiel_RIA!D15</f>
        <v/>
      </c>
      <c r="E258" s="76" t="str">
        <f>Liste_Materiel_RIA!E15</f>
        <v>pce/m</v>
      </c>
      <c r="F258" s="76" t="str">
        <f t="shared" si="4"/>
        <v/>
      </c>
      <c r="G258" s="76">
        <f>IF(AND(B254&lt;&gt;"",B254&lt;&gt;"Non trouvé - vérifier",D254&lt;&gt;"",D254&lt;&gt;0),IF(COUNTIF($B$2:B254,B254)=1,1,0),0)</f>
        <v>0</v>
      </c>
    </row>
    <row r="259" spans="1:7" x14ac:dyDescent="0.25">
      <c r="A259" s="76" t="str">
        <f>IF(Liste_Materiel_RIA!A16="","","RIA - "&amp;Liste_Materiel_RIA!A16)</f>
        <v>RIA - Boucle 1 - Support 2</v>
      </c>
      <c r="B259" s="76" t="str">
        <f>Liste_Materiel_RIA!B16</f>
        <v/>
      </c>
      <c r="C259" s="76" t="str">
        <f>Liste_Materiel_RIA!C16</f>
        <v/>
      </c>
      <c r="D259" s="76" t="str">
        <f>Liste_Materiel_RIA!D16</f>
        <v/>
      </c>
      <c r="E259" s="76" t="str">
        <f>Liste_Materiel_RIA!E16</f>
        <v>pce/m</v>
      </c>
      <c r="F259" s="76" t="str">
        <f t="shared" si="4"/>
        <v/>
      </c>
      <c r="G259" s="76">
        <f>IF(AND(B255&lt;&gt;"",B255&lt;&gt;"Non trouvé - vérifier",D255&lt;&gt;"",D255&lt;&gt;0),IF(COUNTIF($B$2:B255,B255)=1,1,0),0)</f>
        <v>0</v>
      </c>
    </row>
    <row r="260" spans="1:7" x14ac:dyDescent="0.25">
      <c r="A260" s="76" t="str">
        <f>IF(Liste_Materiel_RIA!A17="","","RIA - "&amp;Liste_Materiel_RIA!A17)</f>
        <v>RIA - Boucle 1 - Support 2</v>
      </c>
      <c r="B260" s="76" t="str">
        <f>Liste_Materiel_RIA!B17</f>
        <v/>
      </c>
      <c r="C260" s="76" t="str">
        <f>Liste_Materiel_RIA!C17</f>
        <v/>
      </c>
      <c r="D260" s="76" t="str">
        <f>Liste_Materiel_RIA!D17</f>
        <v/>
      </c>
      <c r="E260" s="76" t="str">
        <f>Liste_Materiel_RIA!E17</f>
        <v>pce/m</v>
      </c>
      <c r="F260" s="76" t="str">
        <f t="shared" si="4"/>
        <v/>
      </c>
      <c r="G260" s="76">
        <f>IF(AND(B256&lt;&gt;"",B256&lt;&gt;"Non trouvé - vérifier",D256&lt;&gt;"",D256&lt;&gt;0),IF(COUNTIF($B$2:B256,B256)=1,1,0),0)</f>
        <v>0</v>
      </c>
    </row>
    <row r="261" spans="1:7" x14ac:dyDescent="0.25">
      <c r="A261" s="76" t="str">
        <f>IF(Liste_Materiel_RIA!A18="","","RIA - "&amp;Liste_Materiel_RIA!A18)</f>
        <v>RIA - Boucle 1 - Support 3</v>
      </c>
      <c r="B261" s="76" t="str">
        <f>Liste_Materiel_RIA!B18</f>
        <v/>
      </c>
      <c r="C261" s="76" t="str">
        <f>Liste_Materiel_RIA!C18</f>
        <v/>
      </c>
      <c r="D261" s="76" t="str">
        <f>Liste_Materiel_RIA!D18</f>
        <v/>
      </c>
      <c r="E261" s="76" t="str">
        <f>Liste_Materiel_RIA!E18</f>
        <v>pce/m</v>
      </c>
      <c r="F261" s="76" t="str">
        <f t="shared" si="4"/>
        <v/>
      </c>
      <c r="G261" s="76">
        <f>IF(AND(B257&lt;&gt;"",B257&lt;&gt;"Non trouvé - vérifier",D257&lt;&gt;"",D257&lt;&gt;0),IF(COUNTIF($B$2:B257,B257)=1,1,0),0)</f>
        <v>0</v>
      </c>
    </row>
    <row r="262" spans="1:7" x14ac:dyDescent="0.25">
      <c r="A262" s="76" t="str">
        <f>IF(Liste_Materiel_RIA!A19="","","RIA - "&amp;Liste_Materiel_RIA!A19)</f>
        <v>RIA - Boucle 1 - Support 3</v>
      </c>
      <c r="B262" s="76" t="str">
        <f>Liste_Materiel_RIA!B19</f>
        <v/>
      </c>
      <c r="C262" s="76" t="str">
        <f>Liste_Materiel_RIA!C19</f>
        <v/>
      </c>
      <c r="D262" s="76" t="str">
        <f>Liste_Materiel_RIA!D19</f>
        <v/>
      </c>
      <c r="E262" s="76" t="str">
        <f>Liste_Materiel_RIA!E19</f>
        <v>pce/m</v>
      </c>
      <c r="F262" s="76" t="str">
        <f t="shared" si="4"/>
        <v/>
      </c>
      <c r="G262" s="76">
        <f>IF(AND(B258&lt;&gt;"",B258&lt;&gt;"Non trouvé - vérifier",D258&lt;&gt;"",D258&lt;&gt;0),IF(COUNTIF($B$2:B258,B258)=1,1,0),0)</f>
        <v>0</v>
      </c>
    </row>
    <row r="263" spans="1:7" x14ac:dyDescent="0.25">
      <c r="A263" s="76" t="str">
        <f>IF(Liste_Materiel_RIA!A20="","","RIA - "&amp;Liste_Materiel_RIA!A20)</f>
        <v>RIA - Boucle 1 - Support 3</v>
      </c>
      <c r="B263" s="76" t="str">
        <f>Liste_Materiel_RIA!B20</f>
        <v/>
      </c>
      <c r="C263" s="76" t="str">
        <f>Liste_Materiel_RIA!C20</f>
        <v/>
      </c>
      <c r="D263" s="76" t="str">
        <f>Liste_Materiel_RIA!D20</f>
        <v/>
      </c>
      <c r="E263" s="76" t="str">
        <f>Liste_Materiel_RIA!E20</f>
        <v>pce/m</v>
      </c>
      <c r="F263" s="76" t="str">
        <f t="shared" si="4"/>
        <v/>
      </c>
      <c r="G263" s="76">
        <f>IF(AND(B259&lt;&gt;"",B259&lt;&gt;"Non trouvé - vérifier",D259&lt;&gt;"",D259&lt;&gt;0),IF(COUNTIF($B$2:B259,B259)=1,1,0),0)</f>
        <v>0</v>
      </c>
    </row>
    <row r="264" spans="1:7" x14ac:dyDescent="0.25">
      <c r="A264" s="76" t="str">
        <f>IF(Liste_Materiel_RIA!A21="","","RIA - "&amp;Liste_Materiel_RIA!A21)</f>
        <v>RIA - Boucle 1 - Support 3</v>
      </c>
      <c r="B264" s="76" t="str">
        <f>Liste_Materiel_RIA!B21</f>
        <v/>
      </c>
      <c r="C264" s="76" t="str">
        <f>Liste_Materiel_RIA!C21</f>
        <v/>
      </c>
      <c r="D264" s="76" t="str">
        <f>Liste_Materiel_RIA!D21</f>
        <v/>
      </c>
      <c r="E264" s="76" t="str">
        <f>Liste_Materiel_RIA!E21</f>
        <v>pce/m</v>
      </c>
      <c r="F264" s="76" t="str">
        <f t="shared" si="4"/>
        <v/>
      </c>
      <c r="G264" s="76">
        <f>IF(AND(B260&lt;&gt;"",B260&lt;&gt;"Non trouvé - vérifier",D260&lt;&gt;"",D260&lt;&gt;0),IF(COUNTIF($B$2:B260,B260)=1,1,0),0)</f>
        <v>0</v>
      </c>
    </row>
    <row r="265" spans="1:7" x14ac:dyDescent="0.25">
      <c r="A265" s="76" t="str">
        <f>IF(Liste_Materiel_RIA!A22="","","RIA - "&amp;Liste_Materiel_RIA!A22)</f>
        <v>RIA - Boucle 1 - Support 3</v>
      </c>
      <c r="B265" s="76" t="str">
        <f>Liste_Materiel_RIA!B22</f>
        <v/>
      </c>
      <c r="C265" s="76" t="str">
        <f>Liste_Materiel_RIA!C22</f>
        <v/>
      </c>
      <c r="D265" s="76" t="str">
        <f>Liste_Materiel_RIA!D22</f>
        <v/>
      </c>
      <c r="E265" s="76" t="str">
        <f>Liste_Materiel_RIA!E22</f>
        <v>pce/m</v>
      </c>
      <c r="F265" s="76" t="str">
        <f t="shared" si="4"/>
        <v/>
      </c>
      <c r="G265" s="76">
        <f>IF(AND(B261&lt;&gt;"",B261&lt;&gt;"Non trouvé - vérifier",D261&lt;&gt;"",D261&lt;&gt;0),IF(COUNTIF($B$2:B261,B261)=1,1,0),0)</f>
        <v>0</v>
      </c>
    </row>
    <row r="266" spans="1:7" x14ac:dyDescent="0.25">
      <c r="A266" s="76" t="str">
        <f>IF(Liste_Materiel_RIA!A23="","","RIA - "&amp;Liste_Materiel_RIA!A23)</f>
        <v>RIA - Boucle 1 - Support 3</v>
      </c>
      <c r="B266" s="76" t="str">
        <f>Liste_Materiel_RIA!B23</f>
        <v/>
      </c>
      <c r="C266" s="76" t="str">
        <f>Liste_Materiel_RIA!C23</f>
        <v/>
      </c>
      <c r="D266" s="76" t="str">
        <f>Liste_Materiel_RIA!D23</f>
        <v/>
      </c>
      <c r="E266" s="76" t="str">
        <f>Liste_Materiel_RIA!E23</f>
        <v>pce/m</v>
      </c>
      <c r="F266" s="76" t="str">
        <f t="shared" si="4"/>
        <v/>
      </c>
      <c r="G266" s="76">
        <f>IF(AND(B262&lt;&gt;"",B262&lt;&gt;"Non trouvé - vérifier",D262&lt;&gt;"",D262&lt;&gt;0),IF(COUNTIF($B$2:B262,B262)=1,1,0),0)</f>
        <v>0</v>
      </c>
    </row>
    <row r="267" spans="1:7" x14ac:dyDescent="0.25">
      <c r="A267" s="76" t="str">
        <f>IF(Liste_Materiel_RIA!A24="","","RIA - "&amp;Liste_Materiel_RIA!A24)</f>
        <v>RIA - Boucle 2</v>
      </c>
      <c r="B267" s="76" t="str">
        <f>Liste_Materiel_RIA!B24</f>
        <v>Non trouvé - vérifier</v>
      </c>
      <c r="C267" s="76" t="str">
        <f>Liste_Materiel_RIA!C24</f>
        <v/>
      </c>
      <c r="D267" s="76">
        <f>Liste_Materiel_RIA!D24</f>
        <v>0</v>
      </c>
      <c r="E267" s="76" t="str">
        <f>Liste_Materiel_RIA!E24</f>
        <v>ml</v>
      </c>
      <c r="F267" s="76" t="str">
        <f t="shared" si="4"/>
        <v/>
      </c>
      <c r="G267" s="76">
        <f>IF(AND(B263&lt;&gt;"",B263&lt;&gt;"Non trouvé - vérifier",D263&lt;&gt;"",D263&lt;&gt;0),IF(COUNTIF($B$2:B263,B263)=1,1,0),0)</f>
        <v>0</v>
      </c>
    </row>
    <row r="268" spans="1:7" x14ac:dyDescent="0.25">
      <c r="A268" s="76" t="str">
        <f>IF(Liste_Materiel_RIA!A25="","","RIA - "&amp;Liste_Materiel_RIA!A25)</f>
        <v>RIA - Boucle 2</v>
      </c>
      <c r="B268" s="76" t="str">
        <f>Liste_Materiel_RIA!B25</f>
        <v>Non trouvé - vérifier</v>
      </c>
      <c r="C268" s="76" t="str">
        <f>Liste_Materiel_RIA!C25</f>
        <v/>
      </c>
      <c r="D268" s="76">
        <f>Liste_Materiel_RIA!D25</f>
        <v>0</v>
      </c>
      <c r="E268" s="76" t="str">
        <f>Liste_Materiel_RIA!E25</f>
        <v>pce</v>
      </c>
      <c r="F268" s="76" t="str">
        <f t="shared" si="4"/>
        <v/>
      </c>
      <c r="G268" s="76">
        <f>IF(AND(B264&lt;&gt;"",B264&lt;&gt;"Non trouvé - vérifier",D264&lt;&gt;"",D264&lt;&gt;0),IF(COUNTIF($B$2:B264,B264)=1,1,0),0)</f>
        <v>0</v>
      </c>
    </row>
    <row r="269" spans="1:7" x14ac:dyDescent="0.25">
      <c r="A269" s="76" t="str">
        <f>IF(Liste_Materiel_RIA!A26="","","RIA - "&amp;Liste_Materiel_RIA!A26)</f>
        <v>RIA - Boucle 2</v>
      </c>
      <c r="B269" s="76" t="str">
        <f>Liste_Materiel_RIA!B26</f>
        <v>Non trouvé - vérifier</v>
      </c>
      <c r="C269" s="76" t="str">
        <f>Liste_Materiel_RIA!C26</f>
        <v/>
      </c>
      <c r="D269" s="76">
        <f>Liste_Materiel_RIA!D26</f>
        <v>0</v>
      </c>
      <c r="E269" s="76" t="str">
        <f>Liste_Materiel_RIA!E26</f>
        <v>pce</v>
      </c>
      <c r="F269" s="76" t="str">
        <f t="shared" si="4"/>
        <v/>
      </c>
      <c r="G269" s="76">
        <f>IF(AND(B265&lt;&gt;"",B265&lt;&gt;"Non trouvé - vérifier",D265&lt;&gt;"",D265&lt;&gt;0),IF(COUNTIF($B$2:B265,B265)=1,1,0),0)</f>
        <v>0</v>
      </c>
    </row>
    <row r="270" spans="1:7" x14ac:dyDescent="0.25">
      <c r="A270" s="76" t="str">
        <f>IF(Liste_Materiel_RIA!A27="","","RIA - "&amp;Liste_Materiel_RIA!A27)</f>
        <v>RIA - Boucle 2</v>
      </c>
      <c r="B270" s="76" t="str">
        <f>Liste_Materiel_RIA!B27</f>
        <v>Non trouvé - vérifier</v>
      </c>
      <c r="C270" s="76" t="str">
        <f>Liste_Materiel_RIA!C27</f>
        <v/>
      </c>
      <c r="D270" s="76">
        <f>Liste_Materiel_RIA!D27</f>
        <v>0</v>
      </c>
      <c r="E270" s="76" t="str">
        <f>Liste_Materiel_RIA!E27</f>
        <v>pce</v>
      </c>
      <c r="F270" s="76" t="str">
        <f t="shared" si="4"/>
        <v/>
      </c>
      <c r="G270" s="76">
        <f>IF(AND(B266&lt;&gt;"",B266&lt;&gt;"Non trouvé - vérifier",D266&lt;&gt;"",D266&lt;&gt;0),IF(COUNTIF($B$2:B266,B266)=1,1,0),0)</f>
        <v>0</v>
      </c>
    </row>
    <row r="271" spans="1:7" x14ac:dyDescent="0.25">
      <c r="A271" s="76" t="str">
        <f>IF(Liste_Materiel_RIA!A28="","","RIA - "&amp;Liste_Materiel_RIA!A28)</f>
        <v>RIA - Boucle 2 - départ</v>
      </c>
      <c r="B271" s="76" t="str">
        <f>Liste_Materiel_RIA!B28</f>
        <v>Non trouvé - vérifier</v>
      </c>
      <c r="C271" s="76" t="str">
        <f>Liste_Materiel_RIA!C28</f>
        <v/>
      </c>
      <c r="D271" s="76">
        <f>Liste_Materiel_RIA!D28</f>
        <v>0</v>
      </c>
      <c r="E271" s="76" t="str">
        <f>Liste_Materiel_RIA!E28</f>
        <v>pce</v>
      </c>
      <c r="F271" s="76" t="str">
        <f t="shared" si="4"/>
        <v/>
      </c>
      <c r="G271" s="76">
        <f>IF(AND(B267&lt;&gt;"",B267&lt;&gt;"Non trouvé - vérifier",D267&lt;&gt;"",D267&lt;&gt;0),IF(COUNTIF($B$2:B267,B267)=1,1,0),0)</f>
        <v>0</v>
      </c>
    </row>
    <row r="272" spans="1:7" x14ac:dyDescent="0.25">
      <c r="A272" s="76" t="str">
        <f>IF(Liste_Materiel_RIA!A29="","","RIA - "&amp;Liste_Materiel_RIA!A29)</f>
        <v>RIA - Boucle 2 - Support 1</v>
      </c>
      <c r="B272" s="76" t="str">
        <f>Liste_Materiel_RIA!B29</f>
        <v/>
      </c>
      <c r="C272" s="76" t="str">
        <f>Liste_Materiel_RIA!C29</f>
        <v/>
      </c>
      <c r="D272" s="76" t="str">
        <f>Liste_Materiel_RIA!D29</f>
        <v/>
      </c>
      <c r="E272" s="76" t="str">
        <f>Liste_Materiel_RIA!E29</f>
        <v>pce/m</v>
      </c>
      <c r="F272" s="76" t="str">
        <f t="shared" si="4"/>
        <v/>
      </c>
      <c r="G272" s="76">
        <f>IF(AND(B268&lt;&gt;"",B268&lt;&gt;"Non trouvé - vérifier",D268&lt;&gt;"",D268&lt;&gt;0),IF(COUNTIF($B$2:B268,B268)=1,1,0),0)</f>
        <v>0</v>
      </c>
    </row>
    <row r="273" spans="1:7" x14ac:dyDescent="0.25">
      <c r="A273" s="76" t="str">
        <f>IF(Liste_Materiel_RIA!A30="","","RIA - "&amp;Liste_Materiel_RIA!A30)</f>
        <v>RIA - Boucle 2 - Support 1</v>
      </c>
      <c r="B273" s="76" t="str">
        <f>Liste_Materiel_RIA!B30</f>
        <v/>
      </c>
      <c r="C273" s="76" t="str">
        <f>Liste_Materiel_RIA!C30</f>
        <v/>
      </c>
      <c r="D273" s="76" t="str">
        <f>Liste_Materiel_RIA!D30</f>
        <v/>
      </c>
      <c r="E273" s="76" t="str">
        <f>Liste_Materiel_RIA!E30</f>
        <v>pce/m</v>
      </c>
      <c r="F273" s="76" t="str">
        <f t="shared" si="4"/>
        <v/>
      </c>
      <c r="G273" s="76">
        <f>IF(AND(B269&lt;&gt;"",B269&lt;&gt;"Non trouvé - vérifier",D269&lt;&gt;"",D269&lt;&gt;0),IF(COUNTIF($B$2:B269,B269)=1,1,0),0)</f>
        <v>0</v>
      </c>
    </row>
    <row r="274" spans="1:7" x14ac:dyDescent="0.25">
      <c r="A274" s="76" t="str">
        <f>IF(Liste_Materiel_RIA!A31="","","RIA - "&amp;Liste_Materiel_RIA!A31)</f>
        <v>RIA - Boucle 2 - Support 1</v>
      </c>
      <c r="B274" s="76" t="str">
        <f>Liste_Materiel_RIA!B31</f>
        <v/>
      </c>
      <c r="C274" s="76" t="str">
        <f>Liste_Materiel_RIA!C31</f>
        <v/>
      </c>
      <c r="D274" s="76" t="str">
        <f>Liste_Materiel_RIA!D31</f>
        <v/>
      </c>
      <c r="E274" s="76" t="str">
        <f>Liste_Materiel_RIA!E31</f>
        <v>pce/m</v>
      </c>
      <c r="F274" s="76" t="str">
        <f t="shared" si="4"/>
        <v/>
      </c>
      <c r="G274" s="76">
        <f>IF(AND(B270&lt;&gt;"",B270&lt;&gt;"Non trouvé - vérifier",D270&lt;&gt;"",D270&lt;&gt;0),IF(COUNTIF($B$2:B270,B270)=1,1,0),0)</f>
        <v>0</v>
      </c>
    </row>
    <row r="275" spans="1:7" x14ac:dyDescent="0.25">
      <c r="A275" s="76" t="str">
        <f>IF(Liste_Materiel_RIA!A32="","","RIA - "&amp;Liste_Materiel_RIA!A32)</f>
        <v>RIA - Boucle 2 - Support 1</v>
      </c>
      <c r="B275" s="76" t="str">
        <f>Liste_Materiel_RIA!B32</f>
        <v/>
      </c>
      <c r="C275" s="76" t="str">
        <f>Liste_Materiel_RIA!C32</f>
        <v/>
      </c>
      <c r="D275" s="76" t="str">
        <f>Liste_Materiel_RIA!D32</f>
        <v/>
      </c>
      <c r="E275" s="76" t="str">
        <f>Liste_Materiel_RIA!E32</f>
        <v>pce/m</v>
      </c>
      <c r="F275" s="76" t="str">
        <f t="shared" si="4"/>
        <v/>
      </c>
      <c r="G275" s="76">
        <f>IF(AND(B271&lt;&gt;"",B271&lt;&gt;"Non trouvé - vérifier",D271&lt;&gt;"",D271&lt;&gt;0),IF(COUNTIF($B$2:B271,B271)=1,1,0),0)</f>
        <v>0</v>
      </c>
    </row>
    <row r="276" spans="1:7" x14ac:dyDescent="0.25">
      <c r="A276" s="76" t="str">
        <f>IF(Liste_Materiel_RIA!A33="","","RIA - "&amp;Liste_Materiel_RIA!A33)</f>
        <v>RIA - Boucle 2 - Support 1</v>
      </c>
      <c r="B276" s="76" t="str">
        <f>Liste_Materiel_RIA!B33</f>
        <v/>
      </c>
      <c r="C276" s="76" t="str">
        <f>Liste_Materiel_RIA!C33</f>
        <v/>
      </c>
      <c r="D276" s="76" t="str">
        <f>Liste_Materiel_RIA!D33</f>
        <v/>
      </c>
      <c r="E276" s="76" t="str">
        <f>Liste_Materiel_RIA!E33</f>
        <v>pce/m</v>
      </c>
      <c r="F276" s="76" t="str">
        <f t="shared" si="4"/>
        <v/>
      </c>
      <c r="G276" s="76">
        <f>IF(AND(B272&lt;&gt;"",B272&lt;&gt;"Non trouvé - vérifier",D272&lt;&gt;"",D272&lt;&gt;0),IF(COUNTIF($B$2:B272,B272)=1,1,0),0)</f>
        <v>0</v>
      </c>
    </row>
    <row r="277" spans="1:7" x14ac:dyDescent="0.25">
      <c r="A277" s="76" t="str">
        <f>IF(Liste_Materiel_RIA!A34="","","RIA - "&amp;Liste_Materiel_RIA!A34)</f>
        <v>RIA - Boucle 2 - Support 1</v>
      </c>
      <c r="B277" s="76" t="str">
        <f>Liste_Materiel_RIA!B34</f>
        <v/>
      </c>
      <c r="C277" s="76" t="str">
        <f>Liste_Materiel_RIA!C34</f>
        <v/>
      </c>
      <c r="D277" s="76" t="str">
        <f>Liste_Materiel_RIA!D34</f>
        <v/>
      </c>
      <c r="E277" s="76" t="str">
        <f>Liste_Materiel_RIA!E34</f>
        <v>pce/m</v>
      </c>
      <c r="F277" s="76" t="str">
        <f t="shared" ref="F277:F308" si="5">IF(AND(B273&lt;&gt;"",B273&lt;&gt;"Non trouvé - vérifier",D273&lt;&gt;"",D273&lt;&gt;0),SUMIF($B$2:$B$426,B273,$D$2:$D$426),"")</f>
        <v/>
      </c>
      <c r="G277" s="76">
        <f>IF(AND(B273&lt;&gt;"",B273&lt;&gt;"Non trouvé - vérifier",D273&lt;&gt;"",D273&lt;&gt;0),IF(COUNTIF($B$2:B273,B273)=1,1,0),0)</f>
        <v>0</v>
      </c>
    </row>
    <row r="278" spans="1:7" x14ac:dyDescent="0.25">
      <c r="A278" s="76" t="str">
        <f>IF(Liste_Materiel_RIA!A35="","","RIA - "&amp;Liste_Materiel_RIA!A35)</f>
        <v>RIA - Boucle 2 - Support 2</v>
      </c>
      <c r="B278" s="76" t="str">
        <f>Liste_Materiel_RIA!B35</f>
        <v/>
      </c>
      <c r="C278" s="76" t="str">
        <f>Liste_Materiel_RIA!C35</f>
        <v/>
      </c>
      <c r="D278" s="76" t="str">
        <f>Liste_Materiel_RIA!D35</f>
        <v/>
      </c>
      <c r="E278" s="76" t="str">
        <f>Liste_Materiel_RIA!E35</f>
        <v>pce/m</v>
      </c>
      <c r="F278" s="76" t="str">
        <f t="shared" si="5"/>
        <v/>
      </c>
      <c r="G278" s="76">
        <f>IF(AND(B274&lt;&gt;"",B274&lt;&gt;"Non trouvé - vérifier",D274&lt;&gt;"",D274&lt;&gt;0),IF(COUNTIF($B$2:B274,B274)=1,1,0),0)</f>
        <v>0</v>
      </c>
    </row>
    <row r="279" spans="1:7" x14ac:dyDescent="0.25">
      <c r="A279" s="76" t="str">
        <f>IF(Liste_Materiel_RIA!A36="","","RIA - "&amp;Liste_Materiel_RIA!A36)</f>
        <v>RIA - Boucle 2 - Support 2</v>
      </c>
      <c r="B279" s="76" t="str">
        <f>Liste_Materiel_RIA!B36</f>
        <v/>
      </c>
      <c r="C279" s="76" t="str">
        <f>Liste_Materiel_RIA!C36</f>
        <v/>
      </c>
      <c r="D279" s="76" t="str">
        <f>Liste_Materiel_RIA!D36</f>
        <v/>
      </c>
      <c r="E279" s="76" t="str">
        <f>Liste_Materiel_RIA!E36</f>
        <v>pce/m</v>
      </c>
      <c r="F279" s="76" t="str">
        <f t="shared" si="5"/>
        <v/>
      </c>
      <c r="G279" s="76">
        <f>IF(AND(B275&lt;&gt;"",B275&lt;&gt;"Non trouvé - vérifier",D275&lt;&gt;"",D275&lt;&gt;0),IF(COUNTIF($B$2:B275,B275)=1,1,0),0)</f>
        <v>0</v>
      </c>
    </row>
    <row r="280" spans="1:7" x14ac:dyDescent="0.25">
      <c r="A280" s="76" t="str">
        <f>IF(Liste_Materiel_RIA!A37="","","RIA - "&amp;Liste_Materiel_RIA!A37)</f>
        <v>RIA - Boucle 2 - Support 2</v>
      </c>
      <c r="B280" s="76" t="str">
        <f>Liste_Materiel_RIA!B37</f>
        <v/>
      </c>
      <c r="C280" s="76" t="str">
        <f>Liste_Materiel_RIA!C37</f>
        <v/>
      </c>
      <c r="D280" s="76" t="str">
        <f>Liste_Materiel_RIA!D37</f>
        <v/>
      </c>
      <c r="E280" s="76" t="str">
        <f>Liste_Materiel_RIA!E37</f>
        <v>pce/m</v>
      </c>
      <c r="F280" s="76" t="str">
        <f t="shared" si="5"/>
        <v/>
      </c>
      <c r="G280" s="76">
        <f>IF(AND(B276&lt;&gt;"",B276&lt;&gt;"Non trouvé - vérifier",D276&lt;&gt;"",D276&lt;&gt;0),IF(COUNTIF($B$2:B276,B276)=1,1,0),0)</f>
        <v>0</v>
      </c>
    </row>
    <row r="281" spans="1:7" x14ac:dyDescent="0.25">
      <c r="A281" s="76" t="str">
        <f>IF(Liste_Materiel_RIA!A38="","","RIA - "&amp;Liste_Materiel_RIA!A38)</f>
        <v>RIA - Boucle 2 - Support 2</v>
      </c>
      <c r="B281" s="76" t="str">
        <f>Liste_Materiel_RIA!B38</f>
        <v/>
      </c>
      <c r="C281" s="76" t="str">
        <f>Liste_Materiel_RIA!C38</f>
        <v/>
      </c>
      <c r="D281" s="76" t="str">
        <f>Liste_Materiel_RIA!D38</f>
        <v/>
      </c>
      <c r="E281" s="76" t="str">
        <f>Liste_Materiel_RIA!E38</f>
        <v>pce/m</v>
      </c>
      <c r="F281" s="76" t="str">
        <f t="shared" si="5"/>
        <v/>
      </c>
      <c r="G281" s="76">
        <f>IF(AND(B277&lt;&gt;"",B277&lt;&gt;"Non trouvé - vérifier",D277&lt;&gt;"",D277&lt;&gt;0),IF(COUNTIF($B$2:B277,B277)=1,1,0),0)</f>
        <v>0</v>
      </c>
    </row>
    <row r="282" spans="1:7" x14ac:dyDescent="0.25">
      <c r="A282" s="76" t="str">
        <f>IF(Liste_Materiel_RIA!A39="","","RIA - "&amp;Liste_Materiel_RIA!A39)</f>
        <v>RIA - Boucle 2 - Support 2</v>
      </c>
      <c r="B282" s="76" t="str">
        <f>Liste_Materiel_RIA!B39</f>
        <v/>
      </c>
      <c r="C282" s="76" t="str">
        <f>Liste_Materiel_RIA!C39</f>
        <v/>
      </c>
      <c r="D282" s="76" t="str">
        <f>Liste_Materiel_RIA!D39</f>
        <v/>
      </c>
      <c r="E282" s="76" t="str">
        <f>Liste_Materiel_RIA!E39</f>
        <v>pce/m</v>
      </c>
      <c r="F282" s="76" t="str">
        <f t="shared" si="5"/>
        <v/>
      </c>
      <c r="G282" s="76">
        <f>IF(AND(B278&lt;&gt;"",B278&lt;&gt;"Non trouvé - vérifier",D278&lt;&gt;"",D278&lt;&gt;0),IF(COUNTIF($B$2:B278,B278)=1,1,0),0)</f>
        <v>0</v>
      </c>
    </row>
    <row r="283" spans="1:7" x14ac:dyDescent="0.25">
      <c r="A283" s="76" t="str">
        <f>IF(Liste_Materiel_RIA!A40="","","RIA - "&amp;Liste_Materiel_RIA!A40)</f>
        <v>RIA - Boucle 2 - Support 2</v>
      </c>
      <c r="B283" s="76" t="str">
        <f>Liste_Materiel_RIA!B40</f>
        <v/>
      </c>
      <c r="C283" s="76" t="str">
        <f>Liste_Materiel_RIA!C40</f>
        <v/>
      </c>
      <c r="D283" s="76" t="str">
        <f>Liste_Materiel_RIA!D40</f>
        <v/>
      </c>
      <c r="E283" s="76" t="str">
        <f>Liste_Materiel_RIA!E40</f>
        <v>pce/m</v>
      </c>
      <c r="F283" s="76" t="str">
        <f t="shared" si="5"/>
        <v/>
      </c>
      <c r="G283" s="76">
        <f>IF(AND(B279&lt;&gt;"",B279&lt;&gt;"Non trouvé - vérifier",D279&lt;&gt;"",D279&lt;&gt;0),IF(COUNTIF($B$2:B279,B279)=1,1,0),0)</f>
        <v>0</v>
      </c>
    </row>
    <row r="284" spans="1:7" x14ac:dyDescent="0.25">
      <c r="A284" s="76" t="str">
        <f>IF(Liste_Materiel_RIA!A41="","","RIA - "&amp;Liste_Materiel_RIA!A41)</f>
        <v>RIA - Boucle 2 - Support 3</v>
      </c>
      <c r="B284" s="76" t="str">
        <f>Liste_Materiel_RIA!B41</f>
        <v/>
      </c>
      <c r="C284" s="76" t="str">
        <f>Liste_Materiel_RIA!C41</f>
        <v/>
      </c>
      <c r="D284" s="76" t="str">
        <f>Liste_Materiel_RIA!D41</f>
        <v/>
      </c>
      <c r="E284" s="76" t="str">
        <f>Liste_Materiel_RIA!E41</f>
        <v>pce/m</v>
      </c>
      <c r="F284" s="76" t="str">
        <f t="shared" si="5"/>
        <v/>
      </c>
      <c r="G284" s="76">
        <f>IF(AND(B280&lt;&gt;"",B280&lt;&gt;"Non trouvé - vérifier",D280&lt;&gt;"",D280&lt;&gt;0),IF(COUNTIF($B$2:B280,B280)=1,1,0),0)</f>
        <v>0</v>
      </c>
    </row>
    <row r="285" spans="1:7" x14ac:dyDescent="0.25">
      <c r="A285" s="76" t="str">
        <f>IF(Liste_Materiel_RIA!A42="","","RIA - "&amp;Liste_Materiel_RIA!A42)</f>
        <v>RIA - Boucle 2 - Support 3</v>
      </c>
      <c r="B285" s="76" t="str">
        <f>Liste_Materiel_RIA!B42</f>
        <v/>
      </c>
      <c r="C285" s="76" t="str">
        <f>Liste_Materiel_RIA!C42</f>
        <v/>
      </c>
      <c r="D285" s="76" t="str">
        <f>Liste_Materiel_RIA!D42</f>
        <v/>
      </c>
      <c r="E285" s="76" t="str">
        <f>Liste_Materiel_RIA!E42</f>
        <v>pce/m</v>
      </c>
      <c r="F285" s="76" t="str">
        <f t="shared" si="5"/>
        <v/>
      </c>
      <c r="G285" s="76">
        <f>IF(AND(B281&lt;&gt;"",B281&lt;&gt;"Non trouvé - vérifier",D281&lt;&gt;"",D281&lt;&gt;0),IF(COUNTIF($B$2:B281,B281)=1,1,0),0)</f>
        <v>0</v>
      </c>
    </row>
    <row r="286" spans="1:7" x14ac:dyDescent="0.25">
      <c r="A286" s="76" t="str">
        <f>IF(Liste_Materiel_RIA!A43="","","RIA - "&amp;Liste_Materiel_RIA!A43)</f>
        <v>RIA - Boucle 2 - Support 3</v>
      </c>
      <c r="B286" s="76" t="str">
        <f>Liste_Materiel_RIA!B43</f>
        <v/>
      </c>
      <c r="C286" s="76" t="str">
        <f>Liste_Materiel_RIA!C43</f>
        <v/>
      </c>
      <c r="D286" s="76" t="str">
        <f>Liste_Materiel_RIA!D43</f>
        <v/>
      </c>
      <c r="E286" s="76" t="str">
        <f>Liste_Materiel_RIA!E43</f>
        <v>pce/m</v>
      </c>
      <c r="F286" s="76" t="str">
        <f t="shared" si="5"/>
        <v/>
      </c>
      <c r="G286" s="76">
        <f>IF(AND(B282&lt;&gt;"",B282&lt;&gt;"Non trouvé - vérifier",D282&lt;&gt;"",D282&lt;&gt;0),IF(COUNTIF($B$2:B282,B282)=1,1,0),0)</f>
        <v>0</v>
      </c>
    </row>
    <row r="287" spans="1:7" x14ac:dyDescent="0.25">
      <c r="A287" s="76" t="str">
        <f>IF(Liste_Materiel_RIA!A44="","","RIA - "&amp;Liste_Materiel_RIA!A44)</f>
        <v>RIA - Boucle 2 - Support 3</v>
      </c>
      <c r="B287" s="76" t="str">
        <f>Liste_Materiel_RIA!B44</f>
        <v/>
      </c>
      <c r="C287" s="76" t="str">
        <f>Liste_Materiel_RIA!C44</f>
        <v/>
      </c>
      <c r="D287" s="76" t="str">
        <f>Liste_Materiel_RIA!D44</f>
        <v/>
      </c>
      <c r="E287" s="76" t="str">
        <f>Liste_Materiel_RIA!E44</f>
        <v>pce/m</v>
      </c>
      <c r="F287" s="76" t="str">
        <f t="shared" si="5"/>
        <v/>
      </c>
      <c r="G287" s="76">
        <f>IF(AND(B283&lt;&gt;"",B283&lt;&gt;"Non trouvé - vérifier",D283&lt;&gt;"",D283&lt;&gt;0),IF(COUNTIF($B$2:B283,B283)=1,1,0),0)</f>
        <v>0</v>
      </c>
    </row>
    <row r="288" spans="1:7" x14ac:dyDescent="0.25">
      <c r="A288" s="76" t="str">
        <f>IF(Liste_Materiel_RIA!A45="","","RIA - "&amp;Liste_Materiel_RIA!A45)</f>
        <v>RIA - Boucle 2 - Support 3</v>
      </c>
      <c r="B288" s="76" t="str">
        <f>Liste_Materiel_RIA!B45</f>
        <v/>
      </c>
      <c r="C288" s="76" t="str">
        <f>Liste_Materiel_RIA!C45</f>
        <v/>
      </c>
      <c r="D288" s="76" t="str">
        <f>Liste_Materiel_RIA!D45</f>
        <v/>
      </c>
      <c r="E288" s="76" t="str">
        <f>Liste_Materiel_RIA!E45</f>
        <v>pce/m</v>
      </c>
      <c r="F288" s="76" t="str">
        <f t="shared" si="5"/>
        <v/>
      </c>
      <c r="G288" s="76">
        <f>IF(AND(B284&lt;&gt;"",B284&lt;&gt;"Non trouvé - vérifier",D284&lt;&gt;"",D284&lt;&gt;0),IF(COUNTIF($B$2:B284,B284)=1,1,0),0)</f>
        <v>0</v>
      </c>
    </row>
    <row r="289" spans="1:7" x14ac:dyDescent="0.25">
      <c r="A289" s="76" t="str">
        <f>IF(Liste_Materiel_RIA!A46="","","RIA - "&amp;Liste_Materiel_RIA!A46)</f>
        <v>RIA - Boucle 2 - Support 3</v>
      </c>
      <c r="B289" s="76" t="str">
        <f>Liste_Materiel_RIA!B46</f>
        <v/>
      </c>
      <c r="C289" s="76" t="str">
        <f>Liste_Materiel_RIA!C46</f>
        <v/>
      </c>
      <c r="D289" s="76" t="str">
        <f>Liste_Materiel_RIA!D46</f>
        <v/>
      </c>
      <c r="E289" s="76" t="str">
        <f>Liste_Materiel_RIA!E46</f>
        <v>pce/m</v>
      </c>
      <c r="F289" s="76" t="str">
        <f t="shared" si="5"/>
        <v/>
      </c>
      <c r="G289" s="76">
        <f>IF(AND(B285&lt;&gt;"",B285&lt;&gt;"Non trouvé - vérifier",D285&lt;&gt;"",D285&lt;&gt;0),IF(COUNTIF($B$2:B285,B285)=1,1,0),0)</f>
        <v>0</v>
      </c>
    </row>
    <row r="290" spans="1:7" x14ac:dyDescent="0.25">
      <c r="A290" s="76" t="str">
        <f>IF(Liste_Materiel_RIA!A47="","","RIA - "&amp;Liste_Materiel_RIA!A47)</f>
        <v>RIA - Boucle 3</v>
      </c>
      <c r="B290" s="76" t="str">
        <f>Liste_Materiel_RIA!B47</f>
        <v>Non trouvé - vérifier</v>
      </c>
      <c r="C290" s="76" t="str">
        <f>Liste_Materiel_RIA!C47</f>
        <v/>
      </c>
      <c r="D290" s="76">
        <f>Liste_Materiel_RIA!D47</f>
        <v>0</v>
      </c>
      <c r="E290" s="76" t="str">
        <f>Liste_Materiel_RIA!E47</f>
        <v>ml</v>
      </c>
      <c r="F290" s="76" t="str">
        <f t="shared" si="5"/>
        <v/>
      </c>
      <c r="G290" s="76">
        <f>IF(AND(B286&lt;&gt;"",B286&lt;&gt;"Non trouvé - vérifier",D286&lt;&gt;"",D286&lt;&gt;0),IF(COUNTIF($B$2:B286,B286)=1,1,0),0)</f>
        <v>0</v>
      </c>
    </row>
    <row r="291" spans="1:7" x14ac:dyDescent="0.25">
      <c r="A291" s="76" t="str">
        <f>IF(Liste_Materiel_RIA!A48="","","RIA - "&amp;Liste_Materiel_RIA!A48)</f>
        <v>RIA - Boucle 3</v>
      </c>
      <c r="B291" s="76" t="str">
        <f>Liste_Materiel_RIA!B48</f>
        <v>Non trouvé - vérifier</v>
      </c>
      <c r="C291" s="76" t="str">
        <f>Liste_Materiel_RIA!C48</f>
        <v/>
      </c>
      <c r="D291" s="76">
        <f>Liste_Materiel_RIA!D48</f>
        <v>0</v>
      </c>
      <c r="E291" s="76" t="str">
        <f>Liste_Materiel_RIA!E48</f>
        <v>pce</v>
      </c>
      <c r="F291" s="76" t="str">
        <f t="shared" si="5"/>
        <v/>
      </c>
      <c r="G291" s="76">
        <f>IF(AND(B287&lt;&gt;"",B287&lt;&gt;"Non trouvé - vérifier",D287&lt;&gt;"",D287&lt;&gt;0),IF(COUNTIF($B$2:B287,B287)=1,1,0),0)</f>
        <v>0</v>
      </c>
    </row>
    <row r="292" spans="1:7" x14ac:dyDescent="0.25">
      <c r="A292" s="76" t="str">
        <f>IF(Liste_Materiel_RIA!A49="","","RIA - "&amp;Liste_Materiel_RIA!A49)</f>
        <v>RIA - Boucle 3</v>
      </c>
      <c r="B292" s="76" t="str">
        <f>Liste_Materiel_RIA!B49</f>
        <v>Non trouvé - vérifier</v>
      </c>
      <c r="C292" s="76" t="str">
        <f>Liste_Materiel_RIA!C49</f>
        <v/>
      </c>
      <c r="D292" s="76">
        <f>Liste_Materiel_RIA!D49</f>
        <v>0</v>
      </c>
      <c r="E292" s="76" t="str">
        <f>Liste_Materiel_RIA!E49</f>
        <v>pce</v>
      </c>
      <c r="F292" s="76" t="str">
        <f t="shared" si="5"/>
        <v/>
      </c>
      <c r="G292" s="76">
        <f>IF(AND(B288&lt;&gt;"",B288&lt;&gt;"Non trouvé - vérifier",D288&lt;&gt;"",D288&lt;&gt;0),IF(COUNTIF($B$2:B288,B288)=1,1,0),0)</f>
        <v>0</v>
      </c>
    </row>
    <row r="293" spans="1:7" x14ac:dyDescent="0.25">
      <c r="A293" s="76" t="str">
        <f>IF(Liste_Materiel_RIA!A50="","","RIA - "&amp;Liste_Materiel_RIA!A50)</f>
        <v>RIA - Boucle 3</v>
      </c>
      <c r="B293" s="76" t="str">
        <f>Liste_Materiel_RIA!B50</f>
        <v>Non trouvé - vérifier</v>
      </c>
      <c r="C293" s="76" t="str">
        <f>Liste_Materiel_RIA!C50</f>
        <v/>
      </c>
      <c r="D293" s="76">
        <f>Liste_Materiel_RIA!D50</f>
        <v>0</v>
      </c>
      <c r="E293" s="76" t="str">
        <f>Liste_Materiel_RIA!E50</f>
        <v>pce</v>
      </c>
      <c r="F293" s="76" t="str">
        <f t="shared" si="5"/>
        <v/>
      </c>
      <c r="G293" s="76">
        <f>IF(AND(B289&lt;&gt;"",B289&lt;&gt;"Non trouvé - vérifier",D289&lt;&gt;"",D289&lt;&gt;0),IF(COUNTIF($B$2:B289,B289)=1,1,0),0)</f>
        <v>0</v>
      </c>
    </row>
    <row r="294" spans="1:7" x14ac:dyDescent="0.25">
      <c r="A294" s="76" t="str">
        <f>IF(Liste_Materiel_RIA!A51="","","RIA - "&amp;Liste_Materiel_RIA!A51)</f>
        <v>RIA - Boucle 3 - départ</v>
      </c>
      <c r="B294" s="76" t="str">
        <f>Liste_Materiel_RIA!B51</f>
        <v>Non trouvé - vérifier</v>
      </c>
      <c r="C294" s="76" t="str">
        <f>Liste_Materiel_RIA!C51</f>
        <v/>
      </c>
      <c r="D294" s="76">
        <f>Liste_Materiel_RIA!D51</f>
        <v>0</v>
      </c>
      <c r="E294" s="76" t="str">
        <f>Liste_Materiel_RIA!E51</f>
        <v>pce</v>
      </c>
      <c r="F294" s="76" t="str">
        <f t="shared" si="5"/>
        <v/>
      </c>
      <c r="G294" s="76">
        <f>IF(AND(B290&lt;&gt;"",B290&lt;&gt;"Non trouvé - vérifier",D290&lt;&gt;"",D290&lt;&gt;0),IF(COUNTIF($B$2:B290,B290)=1,1,0),0)</f>
        <v>0</v>
      </c>
    </row>
    <row r="295" spans="1:7" x14ac:dyDescent="0.25">
      <c r="A295" s="76" t="str">
        <f>IF(Liste_Materiel_RIA!A52="","","RIA - "&amp;Liste_Materiel_RIA!A52)</f>
        <v>RIA - Boucle 3 - Support 1</v>
      </c>
      <c r="B295" s="76" t="str">
        <f>Liste_Materiel_RIA!B52</f>
        <v/>
      </c>
      <c r="C295" s="76" t="str">
        <f>Liste_Materiel_RIA!C52</f>
        <v/>
      </c>
      <c r="D295" s="76" t="str">
        <f>Liste_Materiel_RIA!D52</f>
        <v/>
      </c>
      <c r="E295" s="76" t="str">
        <f>Liste_Materiel_RIA!E52</f>
        <v>pce/m</v>
      </c>
      <c r="F295" s="76" t="str">
        <f t="shared" si="5"/>
        <v/>
      </c>
      <c r="G295" s="76">
        <f>IF(AND(B291&lt;&gt;"",B291&lt;&gt;"Non trouvé - vérifier",D291&lt;&gt;"",D291&lt;&gt;0),IF(COUNTIF($B$2:B291,B291)=1,1,0),0)</f>
        <v>0</v>
      </c>
    </row>
    <row r="296" spans="1:7" x14ac:dyDescent="0.25">
      <c r="A296" s="76" t="str">
        <f>IF(Liste_Materiel_RIA!A53="","","RIA - "&amp;Liste_Materiel_RIA!A53)</f>
        <v>RIA - Boucle 3 - Support 1</v>
      </c>
      <c r="B296" s="76" t="str">
        <f>Liste_Materiel_RIA!B53</f>
        <v/>
      </c>
      <c r="C296" s="76" t="str">
        <f>Liste_Materiel_RIA!C53</f>
        <v/>
      </c>
      <c r="D296" s="76" t="str">
        <f>Liste_Materiel_RIA!D53</f>
        <v/>
      </c>
      <c r="E296" s="76" t="str">
        <f>Liste_Materiel_RIA!E53</f>
        <v>pce/m</v>
      </c>
      <c r="F296" s="76" t="str">
        <f t="shared" si="5"/>
        <v/>
      </c>
      <c r="G296" s="76">
        <f>IF(AND(B292&lt;&gt;"",B292&lt;&gt;"Non trouvé - vérifier",D292&lt;&gt;"",D292&lt;&gt;0),IF(COUNTIF($B$2:B292,B292)=1,1,0),0)</f>
        <v>0</v>
      </c>
    </row>
    <row r="297" spans="1:7" x14ac:dyDescent="0.25">
      <c r="A297" s="76" t="str">
        <f>IF(Liste_Materiel_RIA!A54="","","RIA - "&amp;Liste_Materiel_RIA!A54)</f>
        <v>RIA - Boucle 3 - Support 1</v>
      </c>
      <c r="B297" s="76" t="str">
        <f>Liste_Materiel_RIA!B54</f>
        <v/>
      </c>
      <c r="C297" s="76" t="str">
        <f>Liste_Materiel_RIA!C54</f>
        <v/>
      </c>
      <c r="D297" s="76" t="str">
        <f>Liste_Materiel_RIA!D54</f>
        <v/>
      </c>
      <c r="E297" s="76" t="str">
        <f>Liste_Materiel_RIA!E54</f>
        <v>pce/m</v>
      </c>
      <c r="F297" s="76" t="str">
        <f t="shared" si="5"/>
        <v/>
      </c>
      <c r="G297" s="76">
        <f>IF(AND(B293&lt;&gt;"",B293&lt;&gt;"Non trouvé - vérifier",D293&lt;&gt;"",D293&lt;&gt;0),IF(COUNTIF($B$2:B293,B293)=1,1,0),0)</f>
        <v>0</v>
      </c>
    </row>
    <row r="298" spans="1:7" x14ac:dyDescent="0.25">
      <c r="A298" s="76" t="str">
        <f>IF(Liste_Materiel_RIA!A55="","","RIA - "&amp;Liste_Materiel_RIA!A55)</f>
        <v>RIA - Boucle 3 - Support 1</v>
      </c>
      <c r="B298" s="76" t="str">
        <f>Liste_Materiel_RIA!B55</f>
        <v/>
      </c>
      <c r="C298" s="76" t="str">
        <f>Liste_Materiel_RIA!C55</f>
        <v/>
      </c>
      <c r="D298" s="76" t="str">
        <f>Liste_Materiel_RIA!D55</f>
        <v/>
      </c>
      <c r="E298" s="76" t="str">
        <f>Liste_Materiel_RIA!E55</f>
        <v>pce/m</v>
      </c>
      <c r="F298" s="76" t="str">
        <f t="shared" si="5"/>
        <v/>
      </c>
      <c r="G298" s="76">
        <f>IF(AND(B294&lt;&gt;"",B294&lt;&gt;"Non trouvé - vérifier",D294&lt;&gt;"",D294&lt;&gt;0),IF(COUNTIF($B$2:B294,B294)=1,1,0),0)</f>
        <v>0</v>
      </c>
    </row>
    <row r="299" spans="1:7" x14ac:dyDescent="0.25">
      <c r="A299" s="76" t="str">
        <f>IF(Liste_Materiel_RIA!A56="","","RIA - "&amp;Liste_Materiel_RIA!A56)</f>
        <v>RIA - Boucle 3 - Support 1</v>
      </c>
      <c r="B299" s="76" t="str">
        <f>Liste_Materiel_RIA!B56</f>
        <v/>
      </c>
      <c r="C299" s="76" t="str">
        <f>Liste_Materiel_RIA!C56</f>
        <v/>
      </c>
      <c r="D299" s="76" t="str">
        <f>Liste_Materiel_RIA!D56</f>
        <v/>
      </c>
      <c r="E299" s="76" t="str">
        <f>Liste_Materiel_RIA!E56</f>
        <v>pce/m</v>
      </c>
      <c r="F299" s="76" t="str">
        <f t="shared" si="5"/>
        <v/>
      </c>
      <c r="G299" s="76">
        <f>IF(AND(B295&lt;&gt;"",B295&lt;&gt;"Non trouvé - vérifier",D295&lt;&gt;"",D295&lt;&gt;0),IF(COUNTIF($B$2:B295,B295)=1,1,0),0)</f>
        <v>0</v>
      </c>
    </row>
    <row r="300" spans="1:7" x14ac:dyDescent="0.25">
      <c r="A300" s="76" t="str">
        <f>IF(Liste_Materiel_RIA!A57="","","RIA - "&amp;Liste_Materiel_RIA!A57)</f>
        <v>RIA - Boucle 3 - Support 1</v>
      </c>
      <c r="B300" s="76" t="str">
        <f>Liste_Materiel_RIA!B57</f>
        <v/>
      </c>
      <c r="C300" s="76" t="str">
        <f>Liste_Materiel_RIA!C57</f>
        <v/>
      </c>
      <c r="D300" s="76" t="str">
        <f>Liste_Materiel_RIA!D57</f>
        <v/>
      </c>
      <c r="E300" s="76" t="str">
        <f>Liste_Materiel_RIA!E57</f>
        <v>pce/m</v>
      </c>
      <c r="F300" s="76" t="str">
        <f t="shared" si="5"/>
        <v/>
      </c>
      <c r="G300" s="76">
        <f>IF(AND(B296&lt;&gt;"",B296&lt;&gt;"Non trouvé - vérifier",D296&lt;&gt;"",D296&lt;&gt;0),IF(COUNTIF($B$2:B296,B296)=1,1,0),0)</f>
        <v>0</v>
      </c>
    </row>
    <row r="301" spans="1:7" x14ac:dyDescent="0.25">
      <c r="A301" s="76" t="str">
        <f>IF(Liste_Materiel_RIA!A58="","","RIA - "&amp;Liste_Materiel_RIA!A58)</f>
        <v>RIA - Boucle 3 - Support 2</v>
      </c>
      <c r="B301" s="76" t="str">
        <f>Liste_Materiel_RIA!B58</f>
        <v/>
      </c>
      <c r="C301" s="76" t="str">
        <f>Liste_Materiel_RIA!C58</f>
        <v/>
      </c>
      <c r="D301" s="76" t="str">
        <f>Liste_Materiel_RIA!D58</f>
        <v/>
      </c>
      <c r="E301" s="76" t="str">
        <f>Liste_Materiel_RIA!E58</f>
        <v>pce/m</v>
      </c>
      <c r="F301" s="76" t="str">
        <f t="shared" si="5"/>
        <v/>
      </c>
      <c r="G301" s="76">
        <f>IF(AND(B297&lt;&gt;"",B297&lt;&gt;"Non trouvé - vérifier",D297&lt;&gt;"",D297&lt;&gt;0),IF(COUNTIF($B$2:B297,B297)=1,1,0),0)</f>
        <v>0</v>
      </c>
    </row>
    <row r="302" spans="1:7" x14ac:dyDescent="0.25">
      <c r="A302" s="76" t="str">
        <f>IF(Liste_Materiel_RIA!A59="","","RIA - "&amp;Liste_Materiel_RIA!A59)</f>
        <v>RIA - Boucle 3 - Support 2</v>
      </c>
      <c r="B302" s="76" t="str">
        <f>Liste_Materiel_RIA!B59</f>
        <v/>
      </c>
      <c r="C302" s="76" t="str">
        <f>Liste_Materiel_RIA!C59</f>
        <v/>
      </c>
      <c r="D302" s="76" t="str">
        <f>Liste_Materiel_RIA!D59</f>
        <v/>
      </c>
      <c r="E302" s="76" t="str">
        <f>Liste_Materiel_RIA!E59</f>
        <v>pce/m</v>
      </c>
      <c r="F302" s="76" t="str">
        <f t="shared" si="5"/>
        <v/>
      </c>
      <c r="G302" s="76">
        <f>IF(AND(B298&lt;&gt;"",B298&lt;&gt;"Non trouvé - vérifier",D298&lt;&gt;"",D298&lt;&gt;0),IF(COUNTIF($B$2:B298,B298)=1,1,0),0)</f>
        <v>0</v>
      </c>
    </row>
    <row r="303" spans="1:7" x14ac:dyDescent="0.25">
      <c r="A303" s="76" t="str">
        <f>IF(Liste_Materiel_RIA!A60="","","RIA - "&amp;Liste_Materiel_RIA!A60)</f>
        <v>RIA - Boucle 3 - Support 2</v>
      </c>
      <c r="B303" s="76" t="str">
        <f>Liste_Materiel_RIA!B60</f>
        <v/>
      </c>
      <c r="C303" s="76" t="str">
        <f>Liste_Materiel_RIA!C60</f>
        <v/>
      </c>
      <c r="D303" s="76" t="str">
        <f>Liste_Materiel_RIA!D60</f>
        <v/>
      </c>
      <c r="E303" s="76" t="str">
        <f>Liste_Materiel_RIA!E60</f>
        <v>pce/m</v>
      </c>
      <c r="F303" s="76" t="str">
        <f t="shared" si="5"/>
        <v/>
      </c>
      <c r="G303" s="76">
        <f>IF(AND(B299&lt;&gt;"",B299&lt;&gt;"Non trouvé - vérifier",D299&lt;&gt;"",D299&lt;&gt;0),IF(COUNTIF($B$2:B299,B299)=1,1,0),0)</f>
        <v>0</v>
      </c>
    </row>
    <row r="304" spans="1:7" x14ac:dyDescent="0.25">
      <c r="A304" s="76" t="str">
        <f>IF(Liste_Materiel_RIA!A61="","","RIA - "&amp;Liste_Materiel_RIA!A61)</f>
        <v>RIA - Boucle 3 - Support 2</v>
      </c>
      <c r="B304" s="76" t="str">
        <f>Liste_Materiel_RIA!B61</f>
        <v/>
      </c>
      <c r="C304" s="76" t="str">
        <f>Liste_Materiel_RIA!C61</f>
        <v/>
      </c>
      <c r="D304" s="76" t="str">
        <f>Liste_Materiel_RIA!D61</f>
        <v/>
      </c>
      <c r="E304" s="76" t="str">
        <f>Liste_Materiel_RIA!E61</f>
        <v>pce/m</v>
      </c>
      <c r="F304" s="76" t="str">
        <f t="shared" si="5"/>
        <v/>
      </c>
      <c r="G304" s="76">
        <f>IF(AND(B300&lt;&gt;"",B300&lt;&gt;"Non trouvé - vérifier",D300&lt;&gt;"",D300&lt;&gt;0),IF(COUNTIF($B$2:B300,B300)=1,1,0),0)</f>
        <v>0</v>
      </c>
    </row>
    <row r="305" spans="1:7" x14ac:dyDescent="0.25">
      <c r="A305" s="76" t="str">
        <f>IF(Liste_Materiel_RIA!A62="","","RIA - "&amp;Liste_Materiel_RIA!A62)</f>
        <v>RIA - Boucle 3 - Support 2</v>
      </c>
      <c r="B305" s="76" t="str">
        <f>Liste_Materiel_RIA!B62</f>
        <v/>
      </c>
      <c r="C305" s="76" t="str">
        <f>Liste_Materiel_RIA!C62</f>
        <v/>
      </c>
      <c r="D305" s="76" t="str">
        <f>Liste_Materiel_RIA!D62</f>
        <v/>
      </c>
      <c r="E305" s="76" t="str">
        <f>Liste_Materiel_RIA!E62</f>
        <v>pce/m</v>
      </c>
      <c r="F305" s="76" t="str">
        <f t="shared" si="5"/>
        <v/>
      </c>
      <c r="G305" s="76">
        <f>IF(AND(B301&lt;&gt;"",B301&lt;&gt;"Non trouvé - vérifier",D301&lt;&gt;"",D301&lt;&gt;0),IF(COUNTIF($B$2:B301,B301)=1,1,0),0)</f>
        <v>0</v>
      </c>
    </row>
    <row r="306" spans="1:7" x14ac:dyDescent="0.25">
      <c r="A306" s="76" t="str">
        <f>IF(Liste_Materiel_RIA!A63="","","RIA - "&amp;Liste_Materiel_RIA!A63)</f>
        <v>RIA - Boucle 3 - Support 2</v>
      </c>
      <c r="B306" s="76" t="str">
        <f>Liste_Materiel_RIA!B63</f>
        <v/>
      </c>
      <c r="C306" s="76" t="str">
        <f>Liste_Materiel_RIA!C63</f>
        <v/>
      </c>
      <c r="D306" s="76" t="str">
        <f>Liste_Materiel_RIA!D63</f>
        <v/>
      </c>
      <c r="E306" s="76" t="str">
        <f>Liste_Materiel_RIA!E63</f>
        <v>pce/m</v>
      </c>
      <c r="F306" s="76" t="str">
        <f t="shared" si="5"/>
        <v/>
      </c>
      <c r="G306" s="76">
        <f>IF(AND(B302&lt;&gt;"",B302&lt;&gt;"Non trouvé - vérifier",D302&lt;&gt;"",D302&lt;&gt;0),IF(COUNTIF($B$2:B302,B302)=1,1,0),0)</f>
        <v>0</v>
      </c>
    </row>
    <row r="307" spans="1:7" x14ac:dyDescent="0.25">
      <c r="A307" s="76" t="str">
        <f>IF(Liste_Materiel_RIA!A64="","","RIA - "&amp;Liste_Materiel_RIA!A64)</f>
        <v>RIA - Boucle 3 - Support 3</v>
      </c>
      <c r="B307" s="76" t="str">
        <f>Liste_Materiel_RIA!B64</f>
        <v/>
      </c>
      <c r="C307" s="76" t="str">
        <f>Liste_Materiel_RIA!C64</f>
        <v/>
      </c>
      <c r="D307" s="76" t="str">
        <f>Liste_Materiel_RIA!D64</f>
        <v/>
      </c>
      <c r="E307" s="76" t="str">
        <f>Liste_Materiel_RIA!E64</f>
        <v>pce/m</v>
      </c>
      <c r="F307" s="76" t="str">
        <f t="shared" si="5"/>
        <v/>
      </c>
      <c r="G307" s="76">
        <f>IF(AND(B303&lt;&gt;"",B303&lt;&gt;"Non trouvé - vérifier",D303&lt;&gt;"",D303&lt;&gt;0),IF(COUNTIF($B$2:B303,B303)=1,1,0),0)</f>
        <v>0</v>
      </c>
    </row>
    <row r="308" spans="1:7" x14ac:dyDescent="0.25">
      <c r="A308" s="76" t="str">
        <f>IF(Liste_Materiel_RIA!A65="","","RIA - "&amp;Liste_Materiel_RIA!A65)</f>
        <v>RIA - Boucle 3 - Support 3</v>
      </c>
      <c r="B308" s="76" t="str">
        <f>Liste_Materiel_RIA!B65</f>
        <v/>
      </c>
      <c r="C308" s="76" t="str">
        <f>Liste_Materiel_RIA!C65</f>
        <v/>
      </c>
      <c r="D308" s="76" t="str">
        <f>Liste_Materiel_RIA!D65</f>
        <v/>
      </c>
      <c r="E308" s="76" t="str">
        <f>Liste_Materiel_RIA!E65</f>
        <v>pce/m</v>
      </c>
      <c r="F308" s="76" t="str">
        <f t="shared" si="5"/>
        <v/>
      </c>
      <c r="G308" s="76">
        <f>IF(AND(B304&lt;&gt;"",B304&lt;&gt;"Non trouvé - vérifier",D304&lt;&gt;"",D304&lt;&gt;0),IF(COUNTIF($B$2:B304,B304)=1,1,0),0)</f>
        <v>0</v>
      </c>
    </row>
    <row r="309" spans="1:7" x14ac:dyDescent="0.25">
      <c r="A309" s="76" t="str">
        <f>IF(Liste_Materiel_RIA!A66="","","RIA - "&amp;Liste_Materiel_RIA!A66)</f>
        <v>RIA - Boucle 3 - Support 3</v>
      </c>
      <c r="B309" s="76" t="str">
        <f>Liste_Materiel_RIA!B66</f>
        <v/>
      </c>
      <c r="C309" s="76" t="str">
        <f>Liste_Materiel_RIA!C66</f>
        <v/>
      </c>
      <c r="D309" s="76" t="str">
        <f>Liste_Materiel_RIA!D66</f>
        <v/>
      </c>
      <c r="E309" s="76" t="str">
        <f>Liste_Materiel_RIA!E66</f>
        <v>pce/m</v>
      </c>
      <c r="F309" s="76" t="str">
        <f t="shared" ref="F309:F340" si="6">IF(AND(B305&lt;&gt;"",B305&lt;&gt;"Non trouvé - vérifier",D305&lt;&gt;"",D305&lt;&gt;0),SUMIF($B$2:$B$426,B305,$D$2:$D$426),"")</f>
        <v/>
      </c>
      <c r="G309" s="76">
        <f>IF(AND(B305&lt;&gt;"",B305&lt;&gt;"Non trouvé - vérifier",D305&lt;&gt;"",D305&lt;&gt;0),IF(COUNTIF($B$2:B305,B305)=1,1,0),0)</f>
        <v>0</v>
      </c>
    </row>
    <row r="310" spans="1:7" x14ac:dyDescent="0.25">
      <c r="A310" s="76" t="str">
        <f>IF(Liste_Materiel_RIA!A67="","","RIA - "&amp;Liste_Materiel_RIA!A67)</f>
        <v>RIA - Boucle 3 - Support 3</v>
      </c>
      <c r="B310" s="76" t="str">
        <f>Liste_Materiel_RIA!B67</f>
        <v/>
      </c>
      <c r="C310" s="76" t="str">
        <f>Liste_Materiel_RIA!C67</f>
        <v/>
      </c>
      <c r="D310" s="76" t="str">
        <f>Liste_Materiel_RIA!D67</f>
        <v/>
      </c>
      <c r="E310" s="76" t="str">
        <f>Liste_Materiel_RIA!E67</f>
        <v>pce/m</v>
      </c>
      <c r="F310" s="76" t="str">
        <f t="shared" si="6"/>
        <v/>
      </c>
      <c r="G310" s="76">
        <f>IF(AND(B306&lt;&gt;"",B306&lt;&gt;"Non trouvé - vérifier",D306&lt;&gt;"",D306&lt;&gt;0),IF(COUNTIF($B$2:B306,B306)=1,1,0),0)</f>
        <v>0</v>
      </c>
    </row>
    <row r="311" spans="1:7" x14ac:dyDescent="0.25">
      <c r="A311" s="76" t="str">
        <f>IF(Liste_Materiel_RIA!A68="","","RIA - "&amp;Liste_Materiel_RIA!A68)</f>
        <v>RIA - Boucle 3 - Support 3</v>
      </c>
      <c r="B311" s="76" t="str">
        <f>Liste_Materiel_RIA!B68</f>
        <v/>
      </c>
      <c r="C311" s="76" t="str">
        <f>Liste_Materiel_RIA!C68</f>
        <v/>
      </c>
      <c r="D311" s="76" t="str">
        <f>Liste_Materiel_RIA!D68</f>
        <v/>
      </c>
      <c r="E311" s="76" t="str">
        <f>Liste_Materiel_RIA!E68</f>
        <v>pce/m</v>
      </c>
      <c r="F311" s="76" t="str">
        <f t="shared" si="6"/>
        <v/>
      </c>
      <c r="G311" s="76">
        <f>IF(AND(B307&lt;&gt;"",B307&lt;&gt;"Non trouvé - vérifier",D307&lt;&gt;"",D307&lt;&gt;0),IF(COUNTIF($B$2:B307,B307)=1,1,0),0)</f>
        <v>0</v>
      </c>
    </row>
    <row r="312" spans="1:7" x14ac:dyDescent="0.25">
      <c r="A312" s="76" t="str">
        <f>IF(Liste_Materiel_RIA!A69="","","RIA - "&amp;Liste_Materiel_RIA!A69)</f>
        <v>RIA - Boucle 3 - Support 3</v>
      </c>
      <c r="B312" s="76" t="str">
        <f>Liste_Materiel_RIA!B69</f>
        <v/>
      </c>
      <c r="C312" s="76" t="str">
        <f>Liste_Materiel_RIA!C69</f>
        <v/>
      </c>
      <c r="D312" s="76" t="str">
        <f>Liste_Materiel_RIA!D69</f>
        <v/>
      </c>
      <c r="E312" s="76" t="str">
        <f>Liste_Materiel_RIA!E69</f>
        <v>pce/m</v>
      </c>
      <c r="F312" s="76" t="str">
        <f t="shared" si="6"/>
        <v/>
      </c>
      <c r="G312" s="76">
        <f>IF(AND(B308&lt;&gt;"",B308&lt;&gt;"Non trouvé - vérifier",D308&lt;&gt;"",D308&lt;&gt;0),IF(COUNTIF($B$2:B308,B308)=1,1,0),0)</f>
        <v>0</v>
      </c>
    </row>
    <row r="313" spans="1:7" x14ac:dyDescent="0.25">
      <c r="A313" s="76" t="str">
        <f>IF(Liste_Materiel_RIA!A70="","","RIA - "&amp;Liste_Materiel_RIA!A70)</f>
        <v>RIA - Boucle 4</v>
      </c>
      <c r="B313" s="76" t="str">
        <f>Liste_Materiel_RIA!B70</f>
        <v>Non trouvé - vérifier</v>
      </c>
      <c r="C313" s="76" t="str">
        <f>Liste_Materiel_RIA!C70</f>
        <v/>
      </c>
      <c r="D313" s="76">
        <f>Liste_Materiel_RIA!D70</f>
        <v>0</v>
      </c>
      <c r="E313" s="76" t="str">
        <f>Liste_Materiel_RIA!E70</f>
        <v>ml</v>
      </c>
      <c r="F313" s="76" t="str">
        <f t="shared" si="6"/>
        <v/>
      </c>
      <c r="G313" s="76">
        <f>IF(AND(B309&lt;&gt;"",B309&lt;&gt;"Non trouvé - vérifier",D309&lt;&gt;"",D309&lt;&gt;0),IF(COUNTIF($B$2:B309,B309)=1,1,0),0)</f>
        <v>0</v>
      </c>
    </row>
    <row r="314" spans="1:7" x14ac:dyDescent="0.25">
      <c r="A314" s="76" t="str">
        <f>IF(Liste_Materiel_RIA!A71="","","RIA - "&amp;Liste_Materiel_RIA!A71)</f>
        <v>RIA - Boucle 4</v>
      </c>
      <c r="B314" s="76" t="str">
        <f>Liste_Materiel_RIA!B71</f>
        <v>Non trouvé - vérifier</v>
      </c>
      <c r="C314" s="76" t="str">
        <f>Liste_Materiel_RIA!C71</f>
        <v/>
      </c>
      <c r="D314" s="76">
        <f>Liste_Materiel_RIA!D71</f>
        <v>0</v>
      </c>
      <c r="E314" s="76" t="str">
        <f>Liste_Materiel_RIA!E71</f>
        <v>pce</v>
      </c>
      <c r="F314" s="76" t="str">
        <f t="shared" si="6"/>
        <v/>
      </c>
      <c r="G314" s="76">
        <f>IF(AND(B310&lt;&gt;"",B310&lt;&gt;"Non trouvé - vérifier",D310&lt;&gt;"",D310&lt;&gt;0),IF(COUNTIF($B$2:B310,B310)=1,1,0),0)</f>
        <v>0</v>
      </c>
    </row>
    <row r="315" spans="1:7" x14ac:dyDescent="0.25">
      <c r="A315" s="76" t="str">
        <f>IF(Liste_Materiel_RIA!A72="","","RIA - "&amp;Liste_Materiel_RIA!A72)</f>
        <v>RIA - Boucle 4</v>
      </c>
      <c r="B315" s="76" t="str">
        <f>Liste_Materiel_RIA!B72</f>
        <v>Non trouvé - vérifier</v>
      </c>
      <c r="C315" s="76" t="str">
        <f>Liste_Materiel_RIA!C72</f>
        <v/>
      </c>
      <c r="D315" s="76">
        <f>Liste_Materiel_RIA!D72</f>
        <v>0</v>
      </c>
      <c r="E315" s="76" t="str">
        <f>Liste_Materiel_RIA!E72</f>
        <v>pce</v>
      </c>
      <c r="F315" s="76" t="str">
        <f t="shared" si="6"/>
        <v/>
      </c>
      <c r="G315" s="76">
        <f>IF(AND(B311&lt;&gt;"",B311&lt;&gt;"Non trouvé - vérifier",D311&lt;&gt;"",D311&lt;&gt;0),IF(COUNTIF($B$2:B311,B311)=1,1,0),0)</f>
        <v>0</v>
      </c>
    </row>
    <row r="316" spans="1:7" x14ac:dyDescent="0.25">
      <c r="A316" s="76" t="str">
        <f>IF(Liste_Materiel_RIA!A73="","","RIA - "&amp;Liste_Materiel_RIA!A73)</f>
        <v>RIA - Boucle 4</v>
      </c>
      <c r="B316" s="76" t="str">
        <f>Liste_Materiel_RIA!B73</f>
        <v>Non trouvé - vérifier</v>
      </c>
      <c r="C316" s="76" t="str">
        <f>Liste_Materiel_RIA!C73</f>
        <v/>
      </c>
      <c r="D316" s="76">
        <f>Liste_Materiel_RIA!D73</f>
        <v>0</v>
      </c>
      <c r="E316" s="76" t="str">
        <f>Liste_Materiel_RIA!E73</f>
        <v>pce</v>
      </c>
      <c r="F316" s="76" t="str">
        <f t="shared" si="6"/>
        <v/>
      </c>
      <c r="G316" s="76">
        <f>IF(AND(B312&lt;&gt;"",B312&lt;&gt;"Non trouvé - vérifier",D312&lt;&gt;"",D312&lt;&gt;0),IF(COUNTIF($B$2:B312,B312)=1,1,0),0)</f>
        <v>0</v>
      </c>
    </row>
    <row r="317" spans="1:7" x14ac:dyDescent="0.25">
      <c r="A317" s="76" t="str">
        <f>IF(Liste_Materiel_RIA!A74="","","RIA - "&amp;Liste_Materiel_RIA!A74)</f>
        <v>RIA - Boucle 4 - départ</v>
      </c>
      <c r="B317" s="76" t="str">
        <f>Liste_Materiel_RIA!B74</f>
        <v>Non trouvé - vérifier</v>
      </c>
      <c r="C317" s="76" t="str">
        <f>Liste_Materiel_RIA!C74</f>
        <v/>
      </c>
      <c r="D317" s="76">
        <f>Liste_Materiel_RIA!D74</f>
        <v>0</v>
      </c>
      <c r="E317" s="76" t="str">
        <f>Liste_Materiel_RIA!E74</f>
        <v>pce</v>
      </c>
      <c r="F317" s="76" t="str">
        <f t="shared" si="6"/>
        <v/>
      </c>
      <c r="G317" s="76">
        <f>IF(AND(B313&lt;&gt;"",B313&lt;&gt;"Non trouvé - vérifier",D313&lt;&gt;"",D313&lt;&gt;0),IF(COUNTIF($B$2:B313,B313)=1,1,0),0)</f>
        <v>0</v>
      </c>
    </row>
    <row r="318" spans="1:7" x14ac:dyDescent="0.25">
      <c r="A318" s="76" t="str">
        <f>IF(Liste_Materiel_RIA!A75="","","RIA - "&amp;Liste_Materiel_RIA!A75)</f>
        <v>RIA - Boucle 4 - Support 1</v>
      </c>
      <c r="B318" s="76" t="str">
        <f>Liste_Materiel_RIA!B75</f>
        <v/>
      </c>
      <c r="C318" s="76" t="str">
        <f>Liste_Materiel_RIA!C75</f>
        <v/>
      </c>
      <c r="D318" s="76" t="str">
        <f>Liste_Materiel_RIA!D75</f>
        <v/>
      </c>
      <c r="E318" s="76" t="str">
        <f>Liste_Materiel_RIA!E75</f>
        <v>pce/m</v>
      </c>
      <c r="F318" s="76" t="str">
        <f t="shared" si="6"/>
        <v/>
      </c>
      <c r="G318" s="76">
        <f>IF(AND(B314&lt;&gt;"",B314&lt;&gt;"Non trouvé - vérifier",D314&lt;&gt;"",D314&lt;&gt;0),IF(COUNTIF($B$2:B314,B314)=1,1,0),0)</f>
        <v>0</v>
      </c>
    </row>
    <row r="319" spans="1:7" x14ac:dyDescent="0.25">
      <c r="A319" s="76" t="str">
        <f>IF(Liste_Materiel_RIA!A76="","","RIA - "&amp;Liste_Materiel_RIA!A76)</f>
        <v>RIA - Boucle 4 - Support 1</v>
      </c>
      <c r="B319" s="76" t="str">
        <f>Liste_Materiel_RIA!B76</f>
        <v/>
      </c>
      <c r="C319" s="76" t="str">
        <f>Liste_Materiel_RIA!C76</f>
        <v/>
      </c>
      <c r="D319" s="76" t="str">
        <f>Liste_Materiel_RIA!D76</f>
        <v/>
      </c>
      <c r="E319" s="76" t="str">
        <f>Liste_Materiel_RIA!E76</f>
        <v>pce/m</v>
      </c>
      <c r="F319" s="76" t="str">
        <f t="shared" si="6"/>
        <v/>
      </c>
      <c r="G319" s="76">
        <f>IF(AND(B315&lt;&gt;"",B315&lt;&gt;"Non trouvé - vérifier",D315&lt;&gt;"",D315&lt;&gt;0),IF(COUNTIF($B$2:B315,B315)=1,1,0),0)</f>
        <v>0</v>
      </c>
    </row>
    <row r="320" spans="1:7" x14ac:dyDescent="0.25">
      <c r="A320" s="76" t="str">
        <f>IF(Liste_Materiel_RIA!A77="","","RIA - "&amp;Liste_Materiel_RIA!A77)</f>
        <v>RIA - Boucle 4 - Support 1</v>
      </c>
      <c r="B320" s="76" t="str">
        <f>Liste_Materiel_RIA!B77</f>
        <v/>
      </c>
      <c r="C320" s="76" t="str">
        <f>Liste_Materiel_RIA!C77</f>
        <v/>
      </c>
      <c r="D320" s="76" t="str">
        <f>Liste_Materiel_RIA!D77</f>
        <v/>
      </c>
      <c r="E320" s="76" t="str">
        <f>Liste_Materiel_RIA!E77</f>
        <v>pce/m</v>
      </c>
      <c r="F320" s="76" t="str">
        <f t="shared" si="6"/>
        <v/>
      </c>
      <c r="G320" s="76">
        <f>IF(AND(B316&lt;&gt;"",B316&lt;&gt;"Non trouvé - vérifier",D316&lt;&gt;"",D316&lt;&gt;0),IF(COUNTIF($B$2:B316,B316)=1,1,0),0)</f>
        <v>0</v>
      </c>
    </row>
    <row r="321" spans="1:7" x14ac:dyDescent="0.25">
      <c r="A321" s="76" t="str">
        <f>IF(Liste_Materiel_RIA!A78="","","RIA - "&amp;Liste_Materiel_RIA!A78)</f>
        <v>RIA - Boucle 4 - Support 1</v>
      </c>
      <c r="B321" s="76" t="str">
        <f>Liste_Materiel_RIA!B78</f>
        <v/>
      </c>
      <c r="C321" s="76" t="str">
        <f>Liste_Materiel_RIA!C78</f>
        <v/>
      </c>
      <c r="D321" s="76" t="str">
        <f>Liste_Materiel_RIA!D78</f>
        <v/>
      </c>
      <c r="E321" s="76" t="str">
        <f>Liste_Materiel_RIA!E78</f>
        <v>pce/m</v>
      </c>
      <c r="F321" s="76" t="str">
        <f t="shared" si="6"/>
        <v/>
      </c>
      <c r="G321" s="76">
        <f>IF(AND(B317&lt;&gt;"",B317&lt;&gt;"Non trouvé - vérifier",D317&lt;&gt;"",D317&lt;&gt;0),IF(COUNTIF($B$2:B317,B317)=1,1,0),0)</f>
        <v>0</v>
      </c>
    </row>
    <row r="322" spans="1:7" x14ac:dyDescent="0.25">
      <c r="A322" s="76" t="str">
        <f>IF(Liste_Materiel_RIA!A79="","","RIA - "&amp;Liste_Materiel_RIA!A79)</f>
        <v>RIA - Boucle 4 - Support 1</v>
      </c>
      <c r="B322" s="76" t="str">
        <f>Liste_Materiel_RIA!B79</f>
        <v/>
      </c>
      <c r="C322" s="76" t="str">
        <f>Liste_Materiel_RIA!C79</f>
        <v/>
      </c>
      <c r="D322" s="76" t="str">
        <f>Liste_Materiel_RIA!D79</f>
        <v/>
      </c>
      <c r="E322" s="76" t="str">
        <f>Liste_Materiel_RIA!E79</f>
        <v>pce/m</v>
      </c>
      <c r="F322" s="76" t="str">
        <f t="shared" si="6"/>
        <v/>
      </c>
      <c r="G322" s="76">
        <f>IF(AND(B318&lt;&gt;"",B318&lt;&gt;"Non trouvé - vérifier",D318&lt;&gt;"",D318&lt;&gt;0),IF(COUNTIF($B$2:B318,B318)=1,1,0),0)</f>
        <v>0</v>
      </c>
    </row>
    <row r="323" spans="1:7" x14ac:dyDescent="0.25">
      <c r="A323" s="76" t="str">
        <f>IF(Liste_Materiel_RIA!A80="","","RIA - "&amp;Liste_Materiel_RIA!A80)</f>
        <v>RIA - Boucle 4 - Support 1</v>
      </c>
      <c r="B323" s="76" t="str">
        <f>Liste_Materiel_RIA!B80</f>
        <v/>
      </c>
      <c r="C323" s="76" t="str">
        <f>Liste_Materiel_RIA!C80</f>
        <v/>
      </c>
      <c r="D323" s="76" t="str">
        <f>Liste_Materiel_RIA!D80</f>
        <v/>
      </c>
      <c r="E323" s="76" t="str">
        <f>Liste_Materiel_RIA!E80</f>
        <v>pce/m</v>
      </c>
      <c r="F323" s="76" t="str">
        <f t="shared" si="6"/>
        <v/>
      </c>
      <c r="G323" s="76">
        <f>IF(AND(B319&lt;&gt;"",B319&lt;&gt;"Non trouvé - vérifier",D319&lt;&gt;"",D319&lt;&gt;0),IF(COUNTIF($B$2:B319,B319)=1,1,0),0)</f>
        <v>0</v>
      </c>
    </row>
    <row r="324" spans="1:7" x14ac:dyDescent="0.25">
      <c r="A324" s="76" t="str">
        <f>IF(Liste_Materiel_RIA!A81="","","RIA - "&amp;Liste_Materiel_RIA!A81)</f>
        <v>RIA - Boucle 4 - Support 2</v>
      </c>
      <c r="B324" s="76" t="str">
        <f>Liste_Materiel_RIA!B81</f>
        <v/>
      </c>
      <c r="C324" s="76" t="str">
        <f>Liste_Materiel_RIA!C81</f>
        <v/>
      </c>
      <c r="D324" s="76" t="str">
        <f>Liste_Materiel_RIA!D81</f>
        <v/>
      </c>
      <c r="E324" s="76" t="str">
        <f>Liste_Materiel_RIA!E81</f>
        <v>pce/m</v>
      </c>
      <c r="F324" s="76" t="str">
        <f t="shared" si="6"/>
        <v/>
      </c>
      <c r="G324" s="76">
        <f>IF(AND(B320&lt;&gt;"",B320&lt;&gt;"Non trouvé - vérifier",D320&lt;&gt;"",D320&lt;&gt;0),IF(COUNTIF($B$2:B320,B320)=1,1,0),0)</f>
        <v>0</v>
      </c>
    </row>
    <row r="325" spans="1:7" x14ac:dyDescent="0.25">
      <c r="A325" s="76" t="str">
        <f>IF(Liste_Materiel_RIA!A82="","","RIA - "&amp;Liste_Materiel_RIA!A82)</f>
        <v>RIA - Boucle 4 - Support 2</v>
      </c>
      <c r="B325" s="76" t="str">
        <f>Liste_Materiel_RIA!B82</f>
        <v/>
      </c>
      <c r="C325" s="76" t="str">
        <f>Liste_Materiel_RIA!C82</f>
        <v/>
      </c>
      <c r="D325" s="76" t="str">
        <f>Liste_Materiel_RIA!D82</f>
        <v/>
      </c>
      <c r="E325" s="76" t="str">
        <f>Liste_Materiel_RIA!E82</f>
        <v>pce/m</v>
      </c>
      <c r="F325" s="76" t="str">
        <f t="shared" si="6"/>
        <v/>
      </c>
      <c r="G325" s="76">
        <f>IF(AND(B321&lt;&gt;"",B321&lt;&gt;"Non trouvé - vérifier",D321&lt;&gt;"",D321&lt;&gt;0),IF(COUNTIF($B$2:B321,B321)=1,1,0),0)</f>
        <v>0</v>
      </c>
    </row>
    <row r="326" spans="1:7" x14ac:dyDescent="0.25">
      <c r="A326" s="76" t="str">
        <f>IF(Liste_Materiel_RIA!A83="","","RIA - "&amp;Liste_Materiel_RIA!A83)</f>
        <v>RIA - Boucle 4 - Support 2</v>
      </c>
      <c r="B326" s="76" t="str">
        <f>Liste_Materiel_RIA!B83</f>
        <v/>
      </c>
      <c r="C326" s="76" t="str">
        <f>Liste_Materiel_RIA!C83</f>
        <v/>
      </c>
      <c r="D326" s="76" t="str">
        <f>Liste_Materiel_RIA!D83</f>
        <v/>
      </c>
      <c r="E326" s="76" t="str">
        <f>Liste_Materiel_RIA!E83</f>
        <v>pce/m</v>
      </c>
      <c r="F326" s="76" t="str">
        <f t="shared" si="6"/>
        <v/>
      </c>
      <c r="G326" s="76">
        <f>IF(AND(B322&lt;&gt;"",B322&lt;&gt;"Non trouvé - vérifier",D322&lt;&gt;"",D322&lt;&gt;0),IF(COUNTIF($B$2:B322,B322)=1,1,0),0)</f>
        <v>0</v>
      </c>
    </row>
    <row r="327" spans="1:7" x14ac:dyDescent="0.25">
      <c r="A327" s="76" t="str">
        <f>IF(Liste_Materiel_RIA!A84="","","RIA - "&amp;Liste_Materiel_RIA!A84)</f>
        <v>RIA - Boucle 4 - Support 2</v>
      </c>
      <c r="B327" s="76" t="str">
        <f>Liste_Materiel_RIA!B84</f>
        <v/>
      </c>
      <c r="C327" s="76" t="str">
        <f>Liste_Materiel_RIA!C84</f>
        <v/>
      </c>
      <c r="D327" s="76" t="str">
        <f>Liste_Materiel_RIA!D84</f>
        <v/>
      </c>
      <c r="E327" s="76" t="str">
        <f>Liste_Materiel_RIA!E84</f>
        <v>pce/m</v>
      </c>
      <c r="F327" s="76" t="str">
        <f t="shared" si="6"/>
        <v/>
      </c>
      <c r="G327" s="76">
        <f>IF(AND(B323&lt;&gt;"",B323&lt;&gt;"Non trouvé - vérifier",D323&lt;&gt;"",D323&lt;&gt;0),IF(COUNTIF($B$2:B323,B323)=1,1,0),0)</f>
        <v>0</v>
      </c>
    </row>
    <row r="328" spans="1:7" x14ac:dyDescent="0.25">
      <c r="A328" s="76" t="str">
        <f>IF(Liste_Materiel_RIA!A85="","","RIA - "&amp;Liste_Materiel_RIA!A85)</f>
        <v>RIA - Boucle 4 - Support 2</v>
      </c>
      <c r="B328" s="76" t="str">
        <f>Liste_Materiel_RIA!B85</f>
        <v/>
      </c>
      <c r="C328" s="76" t="str">
        <f>Liste_Materiel_RIA!C85</f>
        <v/>
      </c>
      <c r="D328" s="76" t="str">
        <f>Liste_Materiel_RIA!D85</f>
        <v/>
      </c>
      <c r="E328" s="76" t="str">
        <f>Liste_Materiel_RIA!E85</f>
        <v>pce/m</v>
      </c>
      <c r="F328" s="76" t="str">
        <f t="shared" si="6"/>
        <v/>
      </c>
      <c r="G328" s="76">
        <f>IF(AND(B324&lt;&gt;"",B324&lt;&gt;"Non trouvé - vérifier",D324&lt;&gt;"",D324&lt;&gt;0),IF(COUNTIF($B$2:B324,B324)=1,1,0),0)</f>
        <v>0</v>
      </c>
    </row>
    <row r="329" spans="1:7" x14ac:dyDescent="0.25">
      <c r="A329" s="76" t="str">
        <f>IF(Liste_Materiel_RIA!A86="","","RIA - "&amp;Liste_Materiel_RIA!A86)</f>
        <v>RIA - Boucle 4 - Support 2</v>
      </c>
      <c r="B329" s="76" t="str">
        <f>Liste_Materiel_RIA!B86</f>
        <v/>
      </c>
      <c r="C329" s="76" t="str">
        <f>Liste_Materiel_RIA!C86</f>
        <v/>
      </c>
      <c r="D329" s="76" t="str">
        <f>Liste_Materiel_RIA!D86</f>
        <v/>
      </c>
      <c r="E329" s="76" t="str">
        <f>Liste_Materiel_RIA!E86</f>
        <v>pce/m</v>
      </c>
      <c r="F329" s="76" t="str">
        <f t="shared" si="6"/>
        <v/>
      </c>
      <c r="G329" s="76">
        <f>IF(AND(B325&lt;&gt;"",B325&lt;&gt;"Non trouvé - vérifier",D325&lt;&gt;"",D325&lt;&gt;0),IF(COUNTIF($B$2:B325,B325)=1,1,0),0)</f>
        <v>0</v>
      </c>
    </row>
    <row r="330" spans="1:7" x14ac:dyDescent="0.25">
      <c r="A330" s="76" t="str">
        <f>IF(Liste_Materiel_RIA!A87="","","RIA - "&amp;Liste_Materiel_RIA!A87)</f>
        <v>RIA - Boucle 4 - Support 3</v>
      </c>
      <c r="B330" s="76" t="str">
        <f>Liste_Materiel_RIA!B87</f>
        <v/>
      </c>
      <c r="C330" s="76" t="str">
        <f>Liste_Materiel_RIA!C87</f>
        <v/>
      </c>
      <c r="D330" s="76" t="str">
        <f>Liste_Materiel_RIA!D87</f>
        <v/>
      </c>
      <c r="E330" s="76" t="str">
        <f>Liste_Materiel_RIA!E87</f>
        <v>pce/m</v>
      </c>
      <c r="F330" s="76" t="str">
        <f t="shared" si="6"/>
        <v/>
      </c>
      <c r="G330" s="76">
        <f>IF(AND(B326&lt;&gt;"",B326&lt;&gt;"Non trouvé - vérifier",D326&lt;&gt;"",D326&lt;&gt;0),IF(COUNTIF($B$2:B326,B326)=1,1,0),0)</f>
        <v>0</v>
      </c>
    </row>
    <row r="331" spans="1:7" x14ac:dyDescent="0.25">
      <c r="A331" s="76" t="str">
        <f>IF(Liste_Materiel_RIA!A88="","","RIA - "&amp;Liste_Materiel_RIA!A88)</f>
        <v>RIA - Boucle 4 - Support 3</v>
      </c>
      <c r="B331" s="76" t="str">
        <f>Liste_Materiel_RIA!B88</f>
        <v/>
      </c>
      <c r="C331" s="76" t="str">
        <f>Liste_Materiel_RIA!C88</f>
        <v/>
      </c>
      <c r="D331" s="76" t="str">
        <f>Liste_Materiel_RIA!D88</f>
        <v/>
      </c>
      <c r="E331" s="76" t="str">
        <f>Liste_Materiel_RIA!E88</f>
        <v>pce/m</v>
      </c>
      <c r="F331" s="76" t="str">
        <f t="shared" si="6"/>
        <v/>
      </c>
      <c r="G331" s="76">
        <f>IF(AND(B327&lt;&gt;"",B327&lt;&gt;"Non trouvé - vérifier",D327&lt;&gt;"",D327&lt;&gt;0),IF(COUNTIF($B$2:B327,B327)=1,1,0),0)</f>
        <v>0</v>
      </c>
    </row>
    <row r="332" spans="1:7" x14ac:dyDescent="0.25">
      <c r="A332" s="76" t="str">
        <f>IF(Liste_Materiel_RIA!A89="","","RIA - "&amp;Liste_Materiel_RIA!A89)</f>
        <v>RIA - Boucle 4 - Support 3</v>
      </c>
      <c r="B332" s="76" t="str">
        <f>Liste_Materiel_RIA!B89</f>
        <v/>
      </c>
      <c r="C332" s="76" t="str">
        <f>Liste_Materiel_RIA!C89</f>
        <v/>
      </c>
      <c r="D332" s="76" t="str">
        <f>Liste_Materiel_RIA!D89</f>
        <v/>
      </c>
      <c r="E332" s="76" t="str">
        <f>Liste_Materiel_RIA!E89</f>
        <v>pce/m</v>
      </c>
      <c r="F332" s="76" t="str">
        <f t="shared" si="6"/>
        <v/>
      </c>
      <c r="G332" s="76">
        <f>IF(AND(B328&lt;&gt;"",B328&lt;&gt;"Non trouvé - vérifier",D328&lt;&gt;"",D328&lt;&gt;0),IF(COUNTIF($B$2:B328,B328)=1,1,0),0)</f>
        <v>0</v>
      </c>
    </row>
    <row r="333" spans="1:7" x14ac:dyDescent="0.25">
      <c r="A333" s="76" t="str">
        <f>IF(Liste_Materiel_RIA!A90="","","RIA - "&amp;Liste_Materiel_RIA!A90)</f>
        <v>RIA - Boucle 4 - Support 3</v>
      </c>
      <c r="B333" s="76" t="str">
        <f>Liste_Materiel_RIA!B90</f>
        <v/>
      </c>
      <c r="C333" s="76" t="str">
        <f>Liste_Materiel_RIA!C90</f>
        <v/>
      </c>
      <c r="D333" s="76" t="str">
        <f>Liste_Materiel_RIA!D90</f>
        <v/>
      </c>
      <c r="E333" s="76" t="str">
        <f>Liste_Materiel_RIA!E90</f>
        <v>pce/m</v>
      </c>
      <c r="F333" s="76" t="str">
        <f t="shared" si="6"/>
        <v/>
      </c>
      <c r="G333" s="76">
        <f>IF(AND(B329&lt;&gt;"",B329&lt;&gt;"Non trouvé - vérifier",D329&lt;&gt;"",D329&lt;&gt;0),IF(COUNTIF($B$2:B329,B329)=1,1,0),0)</f>
        <v>0</v>
      </c>
    </row>
    <row r="334" spans="1:7" x14ac:dyDescent="0.25">
      <c r="A334" s="76" t="str">
        <f>IF(Liste_Materiel_RIA!A91="","","RIA - "&amp;Liste_Materiel_RIA!A91)</f>
        <v>RIA - Boucle 4 - Support 3</v>
      </c>
      <c r="B334" s="76" t="str">
        <f>Liste_Materiel_RIA!B91</f>
        <v/>
      </c>
      <c r="C334" s="76" t="str">
        <f>Liste_Materiel_RIA!C91</f>
        <v/>
      </c>
      <c r="D334" s="76" t="str">
        <f>Liste_Materiel_RIA!D91</f>
        <v/>
      </c>
      <c r="E334" s="76" t="str">
        <f>Liste_Materiel_RIA!E91</f>
        <v>pce/m</v>
      </c>
      <c r="F334" s="76" t="str">
        <f t="shared" si="6"/>
        <v/>
      </c>
      <c r="G334" s="76">
        <f>IF(AND(B330&lt;&gt;"",B330&lt;&gt;"Non trouvé - vérifier",D330&lt;&gt;"",D330&lt;&gt;0),IF(COUNTIF($B$2:B330,B330)=1,1,0),0)</f>
        <v>0</v>
      </c>
    </row>
    <row r="335" spans="1:7" x14ac:dyDescent="0.25">
      <c r="A335" s="76" t="str">
        <f>IF(Liste_Materiel_RIA!A92="","","RIA - "&amp;Liste_Materiel_RIA!A92)</f>
        <v>RIA - Boucle 4 - Support 3</v>
      </c>
      <c r="B335" s="76" t="str">
        <f>Liste_Materiel_RIA!B92</f>
        <v/>
      </c>
      <c r="C335" s="76" t="str">
        <f>Liste_Materiel_RIA!C92</f>
        <v/>
      </c>
      <c r="D335" s="76" t="str">
        <f>Liste_Materiel_RIA!D92</f>
        <v/>
      </c>
      <c r="E335" s="76" t="str">
        <f>Liste_Materiel_RIA!E92</f>
        <v>pce/m</v>
      </c>
      <c r="F335" s="76" t="str">
        <f t="shared" si="6"/>
        <v/>
      </c>
      <c r="G335" s="76">
        <f>IF(AND(B331&lt;&gt;"",B331&lt;&gt;"Non trouvé - vérifier",D331&lt;&gt;"",D331&lt;&gt;0),IF(COUNTIF($B$2:B331,B331)=1,1,0),0)</f>
        <v>0</v>
      </c>
    </row>
    <row r="336" spans="1:7" x14ac:dyDescent="0.25">
      <c r="A336" s="76" t="str">
        <f>IF(Liste_Materiel_RIA!A93="","","RIA - "&amp;Liste_Materiel_RIA!A93)</f>
        <v>RIA - RIA 33/30 - Boucle 1</v>
      </c>
      <c r="B336" s="76" t="str">
        <f>Liste_Materiel_RIA!B93</f>
        <v>Non trouvé - vérifier</v>
      </c>
      <c r="C336" s="76" t="str">
        <f>Liste_Materiel_RIA!C93</f>
        <v/>
      </c>
      <c r="D336" s="76">
        <f>Liste_Materiel_RIA!D93</f>
        <v>0</v>
      </c>
      <c r="E336" s="76" t="str">
        <f>Liste_Materiel_RIA!E93</f>
        <v>pce</v>
      </c>
      <c r="F336" s="76" t="str">
        <f t="shared" si="6"/>
        <v/>
      </c>
      <c r="G336" s="76">
        <f>IF(AND(B332&lt;&gt;"",B332&lt;&gt;"Non trouvé - vérifier",D332&lt;&gt;"",D332&lt;&gt;0),IF(COUNTIF($B$2:B332,B332)=1,1,0),0)</f>
        <v>0</v>
      </c>
    </row>
    <row r="337" spans="1:7" x14ac:dyDescent="0.25">
      <c r="A337" s="76" t="str">
        <f>IF(Liste_Materiel_RIA!A94="","","RIA - "&amp;Liste_Materiel_RIA!A94)</f>
        <v>RIA - RIA 33/30 - Boucle 1</v>
      </c>
      <c r="B337" s="76" t="str">
        <f>Liste_Materiel_RIA!B94</f>
        <v>TUBESLGA040</v>
      </c>
      <c r="C337" s="76" t="str">
        <f>Liste_Materiel_RIA!C94</f>
        <v>TUBE GALVA EN 10255 SL DN40X2.9</v>
      </c>
      <c r="D337" s="76">
        <f>Liste_Materiel_RIA!D94</f>
        <v>0</v>
      </c>
      <c r="E337" s="76" t="str">
        <f>Liste_Materiel_RIA!E94</f>
        <v>ml</v>
      </c>
      <c r="F337" s="76" t="str">
        <f t="shared" si="6"/>
        <v/>
      </c>
      <c r="G337" s="76">
        <f>IF(AND(B333&lt;&gt;"",B333&lt;&gt;"Non trouvé - vérifier",D333&lt;&gt;"",D333&lt;&gt;0),IF(COUNTIF($B$2:B333,B333)=1,1,0),0)</f>
        <v>0</v>
      </c>
    </row>
    <row r="338" spans="1:7" x14ac:dyDescent="0.25">
      <c r="A338" s="76" t="str">
        <f>IF(Liste_Materiel_RIA!A95="","","RIA - "&amp;Liste_Materiel_RIA!A95)</f>
        <v>RIA - RIA 33/30 - Boucle 1</v>
      </c>
      <c r="B338" s="76" t="str">
        <f>Liste_Materiel_RIA!B95</f>
        <v>TESEGFFGA040</v>
      </c>
      <c r="C338" s="76" t="str">
        <f>Liste_Materiel_RIA!C95</f>
        <v>TES EGAL A VISSER FF GALVA DN40</v>
      </c>
      <c r="D338" s="76">
        <f>Liste_Materiel_RIA!D95</f>
        <v>0</v>
      </c>
      <c r="E338" s="76" t="str">
        <f>Liste_Materiel_RIA!E95</f>
        <v>pce</v>
      </c>
      <c r="F338" s="76" t="str">
        <f t="shared" si="6"/>
        <v/>
      </c>
      <c r="G338" s="76">
        <f>IF(AND(B334&lt;&gt;"",B334&lt;&gt;"Non trouvé - vérifier",D334&lt;&gt;"",D334&lt;&gt;0),IF(COUNTIF($B$2:B334,B334)=1,1,0),0)</f>
        <v>0</v>
      </c>
    </row>
    <row r="339" spans="1:7" x14ac:dyDescent="0.25">
      <c r="A339" s="76" t="str">
        <f>IF(Liste_Materiel_RIA!A96="","","RIA - "&amp;Liste_Materiel_RIA!A96)</f>
        <v>RIA - RIA 33/30 - Boucle 1</v>
      </c>
      <c r="B339" s="76" t="str">
        <f>Liste_Materiel_RIA!B96</f>
        <v>BOUCHVIMGA040</v>
      </c>
      <c r="C339" s="76" t="str">
        <f>Liste_Materiel_RIA!C96</f>
        <v>BOUCHON VISSER M GALVA DN40</v>
      </c>
      <c r="D339" s="76">
        <f>Liste_Materiel_RIA!D96</f>
        <v>0</v>
      </c>
      <c r="E339" s="76" t="str">
        <f>Liste_Materiel_RIA!E96</f>
        <v>pce</v>
      </c>
      <c r="F339" s="76" t="str">
        <f t="shared" si="6"/>
        <v/>
      </c>
      <c r="G339" s="76">
        <f>IF(AND(B335&lt;&gt;"",B335&lt;&gt;"Non trouvé - vérifier",D335&lt;&gt;"",D335&lt;&gt;0),IF(COUNTIF($B$2:B335,B335)=1,1,0),0)</f>
        <v>0</v>
      </c>
    </row>
    <row r="340" spans="1:7" x14ac:dyDescent="0.25">
      <c r="A340" s="76" t="str">
        <f>IF(Liste_Materiel_RIA!A97="","","RIA - "&amp;Liste_Materiel_RIA!A97)</f>
        <v>RIA - RIA 33/30 - Boucle 1</v>
      </c>
      <c r="B340" s="76" t="str">
        <f>Liste_Materiel_RIA!B97</f>
        <v>RACCORAGA040</v>
      </c>
      <c r="C340" s="76" t="str">
        <f>Liste_Materiel_RIA!C97</f>
        <v>RACCORD RAINURE GALVA DN40</v>
      </c>
      <c r="D340" s="76">
        <f>Liste_Materiel_RIA!D97</f>
        <v>0</v>
      </c>
      <c r="E340" s="76" t="str">
        <f>Liste_Materiel_RIA!E97</f>
        <v>pce</v>
      </c>
      <c r="F340" s="76" t="str">
        <f t="shared" si="6"/>
        <v/>
      </c>
      <c r="G340" s="76">
        <f>IF(AND(B336&lt;&gt;"",B336&lt;&gt;"Non trouvé - vérifier",D336&lt;&gt;"",D336&lt;&gt;0),IF(COUNTIF($B$2:B336,B336)=1,1,0),0)</f>
        <v>0</v>
      </c>
    </row>
    <row r="341" spans="1:7" x14ac:dyDescent="0.25">
      <c r="A341" s="76" t="str">
        <f>IF(Liste_Materiel_RIA!A98="","","RIA - "&amp;Liste_Materiel_RIA!A98)</f>
        <v>RIA - RIA 33/30 - Boucle 1</v>
      </c>
      <c r="B341" s="76" t="str">
        <f>Liste_Materiel_RIA!B98</f>
        <v>VANBSFFLA040P25</v>
      </c>
      <c r="C341" s="76" t="str">
        <f>Liste_Materiel_RIA!C98</f>
        <v>VANNE BS 1/4 FF LAITON DN40 PN25</v>
      </c>
      <c r="D341" s="76">
        <f>Liste_Materiel_RIA!D98</f>
        <v>0</v>
      </c>
      <c r="E341" s="76" t="str">
        <f>Liste_Materiel_RIA!E98</f>
        <v>pce</v>
      </c>
      <c r="F341" s="76" t="str">
        <f t="shared" ref="F341:F372" si="7">IF(AND(B337&lt;&gt;"",B337&lt;&gt;"Non trouvé - vérifier",D337&lt;&gt;"",D337&lt;&gt;0),SUMIF($B$2:$B$426,B337,$D$2:$D$426),"")</f>
        <v/>
      </c>
      <c r="G341" s="76">
        <f>IF(AND(B337&lt;&gt;"",B337&lt;&gt;"Non trouvé - vérifier",D337&lt;&gt;"",D337&lt;&gt;0),IF(COUNTIF($B$2:B337,B337)=1,1,0),0)</f>
        <v>0</v>
      </c>
    </row>
    <row r="342" spans="1:7" x14ac:dyDescent="0.25">
      <c r="A342" s="76" t="str">
        <f>IF(Liste_Materiel_RIA!A99="","","RIA - "&amp;Liste_Materiel_RIA!A99)</f>
        <v>RIA - RIA 33/30 - Boucle 1</v>
      </c>
      <c r="B342" s="76" t="str">
        <f>Liste_Materiel_RIA!B99</f>
        <v>RIATPDN32-30M</v>
      </c>
      <c r="C342" s="76" t="str">
        <f>Liste_Materiel_RIA!C99</f>
        <v>RIA TOURNANT PIVOTANT DN33-30M</v>
      </c>
      <c r="D342" s="76">
        <f>Liste_Materiel_RIA!D99</f>
        <v>0</v>
      </c>
      <c r="E342" s="76" t="str">
        <f>Liste_Materiel_RIA!E99</f>
        <v>pce</v>
      </c>
      <c r="F342" s="76" t="str">
        <f t="shared" si="7"/>
        <v/>
      </c>
      <c r="G342" s="76">
        <f>IF(AND(B338&lt;&gt;"",B338&lt;&gt;"Non trouvé - vérifier",D338&lt;&gt;"",D338&lt;&gt;0),IF(COUNTIF($B$2:B338,B338)=1,1,0),0)</f>
        <v>0</v>
      </c>
    </row>
    <row r="343" spans="1:7" x14ac:dyDescent="0.25">
      <c r="A343" s="76" t="str">
        <f>IF(Liste_Materiel_RIA!A100="","","RIA - "&amp;Liste_Materiel_RIA!A100)</f>
        <v>RIA - RIA 25/30 - Boucle 1</v>
      </c>
      <c r="B343" s="76" t="str">
        <f>Liste_Materiel_RIA!B100</f>
        <v>Non trouvé - vérifier</v>
      </c>
      <c r="C343" s="76" t="str">
        <f>Liste_Materiel_RIA!C100</f>
        <v/>
      </c>
      <c r="D343" s="76">
        <f>Liste_Materiel_RIA!D100</f>
        <v>0</v>
      </c>
      <c r="E343" s="76" t="str">
        <f>Liste_Materiel_RIA!E100</f>
        <v>pce</v>
      </c>
      <c r="F343" s="76" t="str">
        <f t="shared" si="7"/>
        <v/>
      </c>
      <c r="G343" s="76">
        <f>IF(AND(B339&lt;&gt;"",B339&lt;&gt;"Non trouvé - vérifier",D339&lt;&gt;"",D339&lt;&gt;0),IF(COUNTIF($B$2:B339,B339)=1,1,0),0)</f>
        <v>0</v>
      </c>
    </row>
    <row r="344" spans="1:7" x14ac:dyDescent="0.25">
      <c r="A344" s="76" t="str">
        <f>IF(Liste_Materiel_RIA!A101="","","RIA - "&amp;Liste_Materiel_RIA!A101)</f>
        <v>RIA - RIA 25/30 - Boucle 1</v>
      </c>
      <c r="B344" s="76" t="str">
        <f>Liste_Materiel_RIA!B101</f>
        <v>TUBESLGA040</v>
      </c>
      <c r="C344" s="76" t="str">
        <f>Liste_Materiel_RIA!C101</f>
        <v>TUBE GALVA EN 10255 SL DN40X2.9</v>
      </c>
      <c r="D344" s="76">
        <f>Liste_Materiel_RIA!D101</f>
        <v>0</v>
      </c>
      <c r="E344" s="76" t="str">
        <f>Liste_Materiel_RIA!E101</f>
        <v>ml</v>
      </c>
      <c r="F344" s="76" t="str">
        <f t="shared" si="7"/>
        <v/>
      </c>
      <c r="G344" s="76">
        <f>IF(AND(B340&lt;&gt;"",B340&lt;&gt;"Non trouvé - vérifier",D340&lt;&gt;"",D340&lt;&gt;0),IF(COUNTIF($B$2:B340,B340)=1,1,0),0)</f>
        <v>0</v>
      </c>
    </row>
    <row r="345" spans="1:7" x14ac:dyDescent="0.25">
      <c r="A345" s="76" t="str">
        <f>IF(Liste_Materiel_RIA!A102="","","RIA - "&amp;Liste_Materiel_RIA!A102)</f>
        <v>RIA - RIA 25/30 - Boucle 1</v>
      </c>
      <c r="B345" s="76" t="str">
        <f>Liste_Materiel_RIA!B102</f>
        <v>TESEGFFGA040</v>
      </c>
      <c r="C345" s="76" t="str">
        <f>Liste_Materiel_RIA!C102</f>
        <v>TES EGAL A VISSER FF GALVA DN40</v>
      </c>
      <c r="D345" s="76">
        <f>Liste_Materiel_RIA!D102</f>
        <v>0</v>
      </c>
      <c r="E345" s="76" t="str">
        <f>Liste_Materiel_RIA!E102</f>
        <v>pce</v>
      </c>
      <c r="F345" s="76" t="str">
        <f t="shared" si="7"/>
        <v/>
      </c>
      <c r="G345" s="76">
        <f>IF(AND(B341&lt;&gt;"",B341&lt;&gt;"Non trouvé - vérifier",D341&lt;&gt;"",D341&lt;&gt;0),IF(COUNTIF($B$2:B341,B341)=1,1,0),0)</f>
        <v>0</v>
      </c>
    </row>
    <row r="346" spans="1:7" x14ac:dyDescent="0.25">
      <c r="A346" s="76" t="str">
        <f>IF(Liste_Materiel_RIA!A103="","","RIA - "&amp;Liste_Materiel_RIA!A103)</f>
        <v>RIA - RIA 25/30 - Boucle 1</v>
      </c>
      <c r="B346" s="76" t="str">
        <f>Liste_Materiel_RIA!B103</f>
        <v>BOUCHVIMGA040</v>
      </c>
      <c r="C346" s="76" t="str">
        <f>Liste_Materiel_RIA!C103</f>
        <v>BOUCHON VISSER M GALVA DN40</v>
      </c>
      <c r="D346" s="76">
        <f>Liste_Materiel_RIA!D103</f>
        <v>0</v>
      </c>
      <c r="E346" s="76" t="str">
        <f>Liste_Materiel_RIA!E103</f>
        <v>pce</v>
      </c>
      <c r="F346" s="76" t="str">
        <f t="shared" si="7"/>
        <v/>
      </c>
      <c r="G346" s="76">
        <f>IF(AND(B342&lt;&gt;"",B342&lt;&gt;"Non trouvé - vérifier",D342&lt;&gt;"",D342&lt;&gt;0),IF(COUNTIF($B$2:B342,B342)=1,1,0),0)</f>
        <v>0</v>
      </c>
    </row>
    <row r="347" spans="1:7" x14ac:dyDescent="0.25">
      <c r="A347" s="76" t="str">
        <f>IF(Liste_Materiel_RIA!A104="","","RIA - "&amp;Liste_Materiel_RIA!A104)</f>
        <v>RIA - RIA 25/30 - Boucle 1</v>
      </c>
      <c r="B347" s="76" t="str">
        <f>Liste_Materiel_RIA!B104</f>
        <v>VANBSFFLA040P25</v>
      </c>
      <c r="C347" s="76" t="str">
        <f>Liste_Materiel_RIA!C104</f>
        <v>VANNE BS 1/4 FF LAITON DN40 PN25</v>
      </c>
      <c r="D347" s="76">
        <f>Liste_Materiel_RIA!D104</f>
        <v>0</v>
      </c>
      <c r="E347" s="76" t="str">
        <f>Liste_Materiel_RIA!E104</f>
        <v>pce</v>
      </c>
      <c r="F347" s="76" t="str">
        <f t="shared" si="7"/>
        <v/>
      </c>
      <c r="G347" s="76">
        <f>IF(AND(B343&lt;&gt;"",B343&lt;&gt;"Non trouvé - vérifier",D343&lt;&gt;"",D343&lt;&gt;0),IF(COUNTIF($B$2:B343,B343)=1,1,0),0)</f>
        <v>0</v>
      </c>
    </row>
    <row r="348" spans="1:7" x14ac:dyDescent="0.25">
      <c r="A348" s="76" t="str">
        <f>IF(Liste_Materiel_RIA!A105="","","RIA - "&amp;Liste_Materiel_RIA!A105)</f>
        <v>RIA - RIA 25/30 - Boucle 1</v>
      </c>
      <c r="B348" s="76" t="str">
        <f>Liste_Materiel_RIA!B105</f>
        <v>TUBETSSGA025</v>
      </c>
      <c r="C348" s="76" t="str">
        <f>Liste_Materiel_RIA!C105</f>
        <v>TUBE GALVA EN 10255 TSS DN 25X3.2</v>
      </c>
      <c r="D348" s="76">
        <f>Liste_Materiel_RIA!D105</f>
        <v>0</v>
      </c>
      <c r="E348" s="76" t="str">
        <f>Liste_Materiel_RIA!E105</f>
        <v>ml</v>
      </c>
      <c r="F348" s="76" t="str">
        <f t="shared" si="7"/>
        <v/>
      </c>
      <c r="G348" s="76">
        <f>IF(AND(B344&lt;&gt;"",B344&lt;&gt;"Non trouvé - vérifier",D344&lt;&gt;"",D344&lt;&gt;0),IF(COUNTIF($B$2:B344,B344)=1,1,0),0)</f>
        <v>0</v>
      </c>
    </row>
    <row r="349" spans="1:7" x14ac:dyDescent="0.25">
      <c r="A349" s="76" t="str">
        <f>IF(Liste_Materiel_RIA!A106="","","RIA - "&amp;Liste_Materiel_RIA!A106)</f>
        <v>RIA - RIA 25/30 - Boucle 1</v>
      </c>
      <c r="B349" s="76" t="str">
        <f>Liste_Materiel_RIA!B106</f>
        <v>RACCOUNFFGA025</v>
      </c>
      <c r="C349" s="76" t="str">
        <f>Liste_Materiel_RIA!C106</f>
        <v>RACCORD UNION VISSER FF GALVA DN25</v>
      </c>
      <c r="D349" s="76">
        <f>Liste_Materiel_RIA!D106</f>
        <v>0</v>
      </c>
      <c r="E349" s="76" t="str">
        <f>Liste_Materiel_RIA!E106</f>
        <v>pce</v>
      </c>
      <c r="F349" s="76" t="str">
        <f t="shared" si="7"/>
        <v/>
      </c>
      <c r="G349" s="76">
        <f>IF(AND(B345&lt;&gt;"",B345&lt;&gt;"Non trouvé - vérifier",D345&lt;&gt;"",D345&lt;&gt;0),IF(COUNTIF($B$2:B345,B345)=1,1,0),0)</f>
        <v>0</v>
      </c>
    </row>
    <row r="350" spans="1:7" x14ac:dyDescent="0.25">
      <c r="A350" s="76" t="str">
        <f>IF(Liste_Materiel_RIA!A107="","","RIA - "&amp;Liste_Materiel_RIA!A107)</f>
        <v>RIA - RIA 25/30 - Boucle 1</v>
      </c>
      <c r="B350" s="76" t="str">
        <f>Liste_Materiel_RIA!B107</f>
        <v>REDUCMFGA4025</v>
      </c>
      <c r="C350" s="76" t="str">
        <f>Liste_Materiel_RIA!C107</f>
        <v>REDUC VISSER MF GALVA DN40X25 1''1/2X1''</v>
      </c>
      <c r="D350" s="76">
        <f>Liste_Materiel_RIA!D107</f>
        <v>0</v>
      </c>
      <c r="E350" s="76" t="str">
        <f>Liste_Materiel_RIA!E107</f>
        <v>pce</v>
      </c>
      <c r="F350" s="76" t="str">
        <f t="shared" si="7"/>
        <v/>
      </c>
      <c r="G350" s="76">
        <f>IF(AND(B346&lt;&gt;"",B346&lt;&gt;"Non trouvé - vérifier",D346&lt;&gt;"",D346&lt;&gt;0),IF(COUNTIF($B$2:B346,B346)=1,1,0),0)</f>
        <v>0</v>
      </c>
    </row>
    <row r="351" spans="1:7" x14ac:dyDescent="0.25">
      <c r="A351" s="76" t="str">
        <f>IF(Liste_Materiel_RIA!A108="","","RIA - "&amp;Liste_Materiel_RIA!A108)</f>
        <v>RIA - RIA 25/30 - Boucle 1</v>
      </c>
      <c r="B351" s="76" t="str">
        <f>Liste_Materiel_RIA!B108</f>
        <v>RIATPDN25-30M</v>
      </c>
      <c r="C351" s="76" t="str">
        <f>Liste_Materiel_RIA!C108</f>
        <v>RIA TOURNANT PIVOTANT DN25-30M</v>
      </c>
      <c r="D351" s="76">
        <f>Liste_Materiel_RIA!D108</f>
        <v>0</v>
      </c>
      <c r="E351" s="76" t="str">
        <f>Liste_Materiel_RIA!E108</f>
        <v>pce</v>
      </c>
      <c r="F351" s="76" t="str">
        <f t="shared" si="7"/>
        <v/>
      </c>
      <c r="G351" s="76">
        <f>IF(AND(B347&lt;&gt;"",B347&lt;&gt;"Non trouvé - vérifier",D347&lt;&gt;"",D347&lt;&gt;0),IF(COUNTIF($B$2:B347,B347)=1,1,0),0)</f>
        <v>0</v>
      </c>
    </row>
    <row r="352" spans="1:7" x14ac:dyDescent="0.25">
      <c r="A352" s="76" t="str">
        <f>IF(Liste_Materiel_RIA!A109="","","RIA - "&amp;Liste_Materiel_RIA!A109)</f>
        <v>RIA - RIA 33/30 - Boucle 2</v>
      </c>
      <c r="B352" s="76" t="str">
        <f>Liste_Materiel_RIA!B109</f>
        <v>Non trouvé - vérifier</v>
      </c>
      <c r="C352" s="76" t="str">
        <f>Liste_Materiel_RIA!C109</f>
        <v/>
      </c>
      <c r="D352" s="76">
        <f>Liste_Materiel_RIA!D109</f>
        <v>0</v>
      </c>
      <c r="E352" s="76" t="str">
        <f>Liste_Materiel_RIA!E109</f>
        <v>pce</v>
      </c>
      <c r="F352" s="76" t="str">
        <f t="shared" si="7"/>
        <v/>
      </c>
      <c r="G352" s="76">
        <f>IF(AND(B348&lt;&gt;"",B348&lt;&gt;"Non trouvé - vérifier",D348&lt;&gt;"",D348&lt;&gt;0),IF(COUNTIF($B$2:B348,B348)=1,1,0),0)</f>
        <v>0</v>
      </c>
    </row>
    <row r="353" spans="1:7" x14ac:dyDescent="0.25">
      <c r="A353" s="76" t="str">
        <f>IF(Liste_Materiel_RIA!A110="","","RIA - "&amp;Liste_Materiel_RIA!A110)</f>
        <v>RIA - RIA 33/30 - Boucle 2</v>
      </c>
      <c r="B353" s="76" t="str">
        <f>Liste_Materiel_RIA!B110</f>
        <v>TUBESLGA040</v>
      </c>
      <c r="C353" s="76" t="str">
        <f>Liste_Materiel_RIA!C110</f>
        <v>TUBE GALVA EN 10255 SL DN40X2.9</v>
      </c>
      <c r="D353" s="76">
        <f>Liste_Materiel_RIA!D110</f>
        <v>0</v>
      </c>
      <c r="E353" s="76" t="str">
        <f>Liste_Materiel_RIA!E110</f>
        <v>ml</v>
      </c>
      <c r="F353" s="76" t="str">
        <f t="shared" si="7"/>
        <v/>
      </c>
      <c r="G353" s="76">
        <f>IF(AND(B349&lt;&gt;"",B349&lt;&gt;"Non trouvé - vérifier",D349&lt;&gt;"",D349&lt;&gt;0),IF(COUNTIF($B$2:B349,B349)=1,1,0),0)</f>
        <v>0</v>
      </c>
    </row>
    <row r="354" spans="1:7" x14ac:dyDescent="0.25">
      <c r="A354" s="76" t="str">
        <f>IF(Liste_Materiel_RIA!A111="","","RIA - "&amp;Liste_Materiel_RIA!A111)</f>
        <v>RIA - RIA 33/30 - Boucle 2</v>
      </c>
      <c r="B354" s="76" t="str">
        <f>Liste_Materiel_RIA!B111</f>
        <v>TESEGFFGA040</v>
      </c>
      <c r="C354" s="76" t="str">
        <f>Liste_Materiel_RIA!C111</f>
        <v>TES EGAL A VISSER FF GALVA DN40</v>
      </c>
      <c r="D354" s="76">
        <f>Liste_Materiel_RIA!D111</f>
        <v>0</v>
      </c>
      <c r="E354" s="76" t="str">
        <f>Liste_Materiel_RIA!E111</f>
        <v>pce</v>
      </c>
      <c r="F354" s="76" t="str">
        <f t="shared" si="7"/>
        <v/>
      </c>
      <c r="G354" s="76">
        <f>IF(AND(B350&lt;&gt;"",B350&lt;&gt;"Non trouvé - vérifier",D350&lt;&gt;"",D350&lt;&gt;0),IF(COUNTIF($B$2:B350,B350)=1,1,0),0)</f>
        <v>0</v>
      </c>
    </row>
    <row r="355" spans="1:7" x14ac:dyDescent="0.25">
      <c r="A355" s="76" t="str">
        <f>IF(Liste_Materiel_RIA!A112="","","RIA - "&amp;Liste_Materiel_RIA!A112)</f>
        <v>RIA - RIA 33/30 - Boucle 2</v>
      </c>
      <c r="B355" s="76" t="str">
        <f>Liste_Materiel_RIA!B112</f>
        <v>BOUCHVIMGA040</v>
      </c>
      <c r="C355" s="76" t="str">
        <f>Liste_Materiel_RIA!C112</f>
        <v>BOUCHON VISSER M GALVA DN40</v>
      </c>
      <c r="D355" s="76">
        <f>Liste_Materiel_RIA!D112</f>
        <v>0</v>
      </c>
      <c r="E355" s="76" t="str">
        <f>Liste_Materiel_RIA!E112</f>
        <v>pce</v>
      </c>
      <c r="F355" s="76" t="str">
        <f t="shared" si="7"/>
        <v/>
      </c>
      <c r="G355" s="76">
        <f>IF(AND(B351&lt;&gt;"",B351&lt;&gt;"Non trouvé - vérifier",D351&lt;&gt;"",D351&lt;&gt;0),IF(COUNTIF($B$2:B351,B351)=1,1,0),0)</f>
        <v>0</v>
      </c>
    </row>
    <row r="356" spans="1:7" x14ac:dyDescent="0.25">
      <c r="A356" s="76" t="str">
        <f>IF(Liste_Materiel_RIA!A113="","","RIA - "&amp;Liste_Materiel_RIA!A113)</f>
        <v>RIA - RIA 33/30 - Boucle 2</v>
      </c>
      <c r="B356" s="76" t="str">
        <f>Liste_Materiel_RIA!B113</f>
        <v>RACCORAGA040</v>
      </c>
      <c r="C356" s="76" t="str">
        <f>Liste_Materiel_RIA!C113</f>
        <v>RACCORD RAINURE GALVA DN40</v>
      </c>
      <c r="D356" s="76">
        <f>Liste_Materiel_RIA!D113</f>
        <v>0</v>
      </c>
      <c r="E356" s="76" t="str">
        <f>Liste_Materiel_RIA!E113</f>
        <v>pce</v>
      </c>
      <c r="F356" s="76" t="str">
        <f t="shared" si="7"/>
        <v/>
      </c>
      <c r="G356" s="76">
        <f>IF(AND(B352&lt;&gt;"",B352&lt;&gt;"Non trouvé - vérifier",D352&lt;&gt;"",D352&lt;&gt;0),IF(COUNTIF($B$2:B352,B352)=1,1,0),0)</f>
        <v>0</v>
      </c>
    </row>
    <row r="357" spans="1:7" x14ac:dyDescent="0.25">
      <c r="A357" s="76" t="str">
        <f>IF(Liste_Materiel_RIA!A114="","","RIA - "&amp;Liste_Materiel_RIA!A114)</f>
        <v>RIA - RIA 33/30 - Boucle 2</v>
      </c>
      <c r="B357" s="76" t="str">
        <f>Liste_Materiel_RIA!B114</f>
        <v>VANBSFFLA040P25</v>
      </c>
      <c r="C357" s="76" t="str">
        <f>Liste_Materiel_RIA!C114</f>
        <v>VANNE BS 1/4 FF LAITON DN40 PN25</v>
      </c>
      <c r="D357" s="76">
        <f>Liste_Materiel_RIA!D114</f>
        <v>0</v>
      </c>
      <c r="E357" s="76" t="str">
        <f>Liste_Materiel_RIA!E114</f>
        <v>pce</v>
      </c>
      <c r="F357" s="76" t="str">
        <f t="shared" si="7"/>
        <v/>
      </c>
      <c r="G357" s="76">
        <f>IF(AND(B353&lt;&gt;"",B353&lt;&gt;"Non trouvé - vérifier",D353&lt;&gt;"",D353&lt;&gt;0),IF(COUNTIF($B$2:B353,B353)=1,1,0),0)</f>
        <v>0</v>
      </c>
    </row>
    <row r="358" spans="1:7" x14ac:dyDescent="0.25">
      <c r="A358" s="76" t="str">
        <f>IF(Liste_Materiel_RIA!A115="","","RIA - "&amp;Liste_Materiel_RIA!A115)</f>
        <v>RIA - RIA 33/30 - Boucle 2</v>
      </c>
      <c r="B358" s="76" t="str">
        <f>Liste_Materiel_RIA!B115</f>
        <v>RIATPDN32-30M</v>
      </c>
      <c r="C358" s="76" t="str">
        <f>Liste_Materiel_RIA!C115</f>
        <v>RIA TOURNANT PIVOTANT DN33-30M</v>
      </c>
      <c r="D358" s="76">
        <f>Liste_Materiel_RIA!D115</f>
        <v>0</v>
      </c>
      <c r="E358" s="76" t="str">
        <f>Liste_Materiel_RIA!E115</f>
        <v>pce</v>
      </c>
      <c r="F358" s="76" t="str">
        <f t="shared" si="7"/>
        <v/>
      </c>
      <c r="G358" s="76">
        <f>IF(AND(B354&lt;&gt;"",B354&lt;&gt;"Non trouvé - vérifier",D354&lt;&gt;"",D354&lt;&gt;0),IF(COUNTIF($B$2:B354,B354)=1,1,0),0)</f>
        <v>0</v>
      </c>
    </row>
    <row r="359" spans="1:7" x14ac:dyDescent="0.25">
      <c r="A359" s="76" t="str">
        <f>IF(Liste_Materiel_RIA!A116="","","RIA - "&amp;Liste_Materiel_RIA!A116)</f>
        <v>RIA - RIA 25/30 - Boucle 2</v>
      </c>
      <c r="B359" s="76" t="str">
        <f>Liste_Materiel_RIA!B116</f>
        <v>Non trouvé - vérifier</v>
      </c>
      <c r="C359" s="76" t="str">
        <f>Liste_Materiel_RIA!C116</f>
        <v/>
      </c>
      <c r="D359" s="76">
        <f>Liste_Materiel_RIA!D116</f>
        <v>0</v>
      </c>
      <c r="E359" s="76" t="str">
        <f>Liste_Materiel_RIA!E116</f>
        <v>pce</v>
      </c>
      <c r="F359" s="76" t="str">
        <f t="shared" si="7"/>
        <v/>
      </c>
      <c r="G359" s="76">
        <f>IF(AND(B355&lt;&gt;"",B355&lt;&gt;"Non trouvé - vérifier",D355&lt;&gt;"",D355&lt;&gt;0),IF(COUNTIF($B$2:B355,B355)=1,1,0),0)</f>
        <v>0</v>
      </c>
    </row>
    <row r="360" spans="1:7" x14ac:dyDescent="0.25">
      <c r="A360" s="76" t="str">
        <f>IF(Liste_Materiel_RIA!A117="","","RIA - "&amp;Liste_Materiel_RIA!A117)</f>
        <v>RIA - RIA 25/30 - Boucle 2</v>
      </c>
      <c r="B360" s="76" t="str">
        <f>Liste_Materiel_RIA!B117</f>
        <v>TUBESLGA040</v>
      </c>
      <c r="C360" s="76" t="str">
        <f>Liste_Materiel_RIA!C117</f>
        <v>TUBE GALVA EN 10255 SL DN40X2.9</v>
      </c>
      <c r="D360" s="76">
        <f>Liste_Materiel_RIA!D117</f>
        <v>0</v>
      </c>
      <c r="E360" s="76" t="str">
        <f>Liste_Materiel_RIA!E117</f>
        <v>ml</v>
      </c>
      <c r="F360" s="76" t="str">
        <f t="shared" si="7"/>
        <v/>
      </c>
      <c r="G360" s="76">
        <f>IF(AND(B356&lt;&gt;"",B356&lt;&gt;"Non trouvé - vérifier",D356&lt;&gt;"",D356&lt;&gt;0),IF(COUNTIF($B$2:B356,B356)=1,1,0),0)</f>
        <v>0</v>
      </c>
    </row>
    <row r="361" spans="1:7" x14ac:dyDescent="0.25">
      <c r="A361" s="76" t="str">
        <f>IF(Liste_Materiel_RIA!A118="","","RIA - "&amp;Liste_Materiel_RIA!A118)</f>
        <v>RIA - RIA 25/30 - Boucle 2</v>
      </c>
      <c r="B361" s="76" t="str">
        <f>Liste_Materiel_RIA!B118</f>
        <v>TESEGFFGA040</v>
      </c>
      <c r="C361" s="76" t="str">
        <f>Liste_Materiel_RIA!C118</f>
        <v>TES EGAL A VISSER FF GALVA DN40</v>
      </c>
      <c r="D361" s="76">
        <f>Liste_Materiel_RIA!D118</f>
        <v>0</v>
      </c>
      <c r="E361" s="76" t="str">
        <f>Liste_Materiel_RIA!E118</f>
        <v>pce</v>
      </c>
      <c r="F361" s="76" t="str">
        <f t="shared" si="7"/>
        <v/>
      </c>
      <c r="G361" s="76">
        <f>IF(AND(B357&lt;&gt;"",B357&lt;&gt;"Non trouvé - vérifier",D357&lt;&gt;"",D357&lt;&gt;0),IF(COUNTIF($B$2:B357,B357)=1,1,0),0)</f>
        <v>0</v>
      </c>
    </row>
    <row r="362" spans="1:7" x14ac:dyDescent="0.25">
      <c r="A362" s="76" t="str">
        <f>IF(Liste_Materiel_RIA!A119="","","RIA - "&amp;Liste_Materiel_RIA!A119)</f>
        <v>RIA - RIA 25/30 - Boucle 2</v>
      </c>
      <c r="B362" s="76" t="str">
        <f>Liste_Materiel_RIA!B119</f>
        <v>BOUCHVIMGA040</v>
      </c>
      <c r="C362" s="76" t="str">
        <f>Liste_Materiel_RIA!C119</f>
        <v>BOUCHON VISSER M GALVA DN40</v>
      </c>
      <c r="D362" s="76">
        <f>Liste_Materiel_RIA!D119</f>
        <v>0</v>
      </c>
      <c r="E362" s="76" t="str">
        <f>Liste_Materiel_RIA!E119</f>
        <v>pce</v>
      </c>
      <c r="F362" s="76" t="str">
        <f t="shared" si="7"/>
        <v/>
      </c>
      <c r="G362" s="76">
        <f>IF(AND(B358&lt;&gt;"",B358&lt;&gt;"Non trouvé - vérifier",D358&lt;&gt;"",D358&lt;&gt;0),IF(COUNTIF($B$2:B358,B358)=1,1,0),0)</f>
        <v>0</v>
      </c>
    </row>
    <row r="363" spans="1:7" x14ac:dyDescent="0.25">
      <c r="A363" s="76" t="str">
        <f>IF(Liste_Materiel_RIA!A120="","","RIA - "&amp;Liste_Materiel_RIA!A120)</f>
        <v>RIA - RIA 25/30 - Boucle 2</v>
      </c>
      <c r="B363" s="76" t="str">
        <f>Liste_Materiel_RIA!B120</f>
        <v>VANBSFFLA040P25</v>
      </c>
      <c r="C363" s="76" t="str">
        <f>Liste_Materiel_RIA!C120</f>
        <v>VANNE BS 1/4 FF LAITON DN40 PN25</v>
      </c>
      <c r="D363" s="76">
        <f>Liste_Materiel_RIA!D120</f>
        <v>0</v>
      </c>
      <c r="E363" s="76" t="str">
        <f>Liste_Materiel_RIA!E120</f>
        <v>pce</v>
      </c>
      <c r="F363" s="76" t="str">
        <f t="shared" si="7"/>
        <v/>
      </c>
      <c r="G363" s="76">
        <f>IF(AND(B359&lt;&gt;"",B359&lt;&gt;"Non trouvé - vérifier",D359&lt;&gt;"",D359&lt;&gt;0),IF(COUNTIF($B$2:B359,B359)=1,1,0),0)</f>
        <v>0</v>
      </c>
    </row>
    <row r="364" spans="1:7" x14ac:dyDescent="0.25">
      <c r="A364" s="76" t="str">
        <f>IF(Liste_Materiel_RIA!A121="","","RIA - "&amp;Liste_Materiel_RIA!A121)</f>
        <v>RIA - RIA 25/30 - Boucle 2</v>
      </c>
      <c r="B364" s="76" t="str">
        <f>Liste_Materiel_RIA!B121</f>
        <v>TUBETSSGA025</v>
      </c>
      <c r="C364" s="76" t="str">
        <f>Liste_Materiel_RIA!C121</f>
        <v>TUBE GALVA EN 10255 TSS DN 25X3.2</v>
      </c>
      <c r="D364" s="76">
        <f>Liste_Materiel_RIA!D121</f>
        <v>0</v>
      </c>
      <c r="E364" s="76" t="str">
        <f>Liste_Materiel_RIA!E121</f>
        <v>ml</v>
      </c>
      <c r="F364" s="76" t="str">
        <f t="shared" si="7"/>
        <v/>
      </c>
      <c r="G364" s="76">
        <f>IF(AND(B360&lt;&gt;"",B360&lt;&gt;"Non trouvé - vérifier",D360&lt;&gt;"",D360&lt;&gt;0),IF(COUNTIF($B$2:B360,B360)=1,1,0),0)</f>
        <v>0</v>
      </c>
    </row>
    <row r="365" spans="1:7" x14ac:dyDescent="0.25">
      <c r="A365" s="76" t="str">
        <f>IF(Liste_Materiel_RIA!A122="","","RIA - "&amp;Liste_Materiel_RIA!A122)</f>
        <v>RIA - RIA 25/30 - Boucle 2</v>
      </c>
      <c r="B365" s="76" t="str">
        <f>Liste_Materiel_RIA!B122</f>
        <v>RACCOUNFFGA025</v>
      </c>
      <c r="C365" s="76" t="str">
        <f>Liste_Materiel_RIA!C122</f>
        <v>RACCORD UNION VISSER FF GALVA DN25</v>
      </c>
      <c r="D365" s="76">
        <f>Liste_Materiel_RIA!D122</f>
        <v>0</v>
      </c>
      <c r="E365" s="76" t="str">
        <f>Liste_Materiel_RIA!E122</f>
        <v>pce</v>
      </c>
      <c r="F365" s="76" t="str">
        <f t="shared" si="7"/>
        <v/>
      </c>
      <c r="G365" s="76">
        <f>IF(AND(B361&lt;&gt;"",B361&lt;&gt;"Non trouvé - vérifier",D361&lt;&gt;"",D361&lt;&gt;0),IF(COUNTIF($B$2:B361,B361)=1,1,0),0)</f>
        <v>0</v>
      </c>
    </row>
    <row r="366" spans="1:7" x14ac:dyDescent="0.25">
      <c r="A366" s="76" t="str">
        <f>IF(Liste_Materiel_RIA!A123="","","RIA - "&amp;Liste_Materiel_RIA!A123)</f>
        <v>RIA - RIA 25/30 - Boucle 2</v>
      </c>
      <c r="B366" s="76" t="str">
        <f>Liste_Materiel_RIA!B123</f>
        <v>REDUCMFGA4025</v>
      </c>
      <c r="C366" s="76" t="str">
        <f>Liste_Materiel_RIA!C123</f>
        <v>REDUC VISSER MF GALVA DN40X25 1''1/2X1''</v>
      </c>
      <c r="D366" s="76">
        <f>Liste_Materiel_RIA!D123</f>
        <v>0</v>
      </c>
      <c r="E366" s="76" t="str">
        <f>Liste_Materiel_RIA!E123</f>
        <v>pce</v>
      </c>
      <c r="F366" s="76" t="str">
        <f t="shared" si="7"/>
        <v/>
      </c>
      <c r="G366" s="76">
        <f>IF(AND(B362&lt;&gt;"",B362&lt;&gt;"Non trouvé - vérifier",D362&lt;&gt;"",D362&lt;&gt;0),IF(COUNTIF($B$2:B362,B362)=1,1,0),0)</f>
        <v>0</v>
      </c>
    </row>
    <row r="367" spans="1:7" x14ac:dyDescent="0.25">
      <c r="A367" s="76" t="str">
        <f>IF(Liste_Materiel_RIA!A124="","","RIA - "&amp;Liste_Materiel_RIA!A124)</f>
        <v>RIA - RIA 25/30 - Boucle 2</v>
      </c>
      <c r="B367" s="76" t="str">
        <f>Liste_Materiel_RIA!B124</f>
        <v>RIATPDN25-30M</v>
      </c>
      <c r="C367" s="76" t="str">
        <f>Liste_Materiel_RIA!C124</f>
        <v>RIA TOURNANT PIVOTANT DN25-30M</v>
      </c>
      <c r="D367" s="76">
        <f>Liste_Materiel_RIA!D124</f>
        <v>0</v>
      </c>
      <c r="E367" s="76" t="str">
        <f>Liste_Materiel_RIA!E124</f>
        <v>pce</v>
      </c>
      <c r="F367" s="76" t="str">
        <f t="shared" si="7"/>
        <v/>
      </c>
      <c r="G367" s="76">
        <f>IF(AND(B363&lt;&gt;"",B363&lt;&gt;"Non trouvé - vérifier",D363&lt;&gt;"",D363&lt;&gt;0),IF(COUNTIF($B$2:B363,B363)=1,1,0),0)</f>
        <v>0</v>
      </c>
    </row>
    <row r="368" spans="1:7" x14ac:dyDescent="0.25">
      <c r="A368" s="76" t="str">
        <f>IF(Liste_Materiel_RIA!A125="","","RIA - "&amp;Liste_Materiel_RIA!A125)</f>
        <v>RIA - RIA 33/30 - Boucle 3</v>
      </c>
      <c r="B368" s="76" t="str">
        <f>Liste_Materiel_RIA!B125</f>
        <v>Non trouvé - vérifier</v>
      </c>
      <c r="C368" s="76" t="str">
        <f>Liste_Materiel_RIA!C125</f>
        <v/>
      </c>
      <c r="D368" s="76">
        <f>Liste_Materiel_RIA!D125</f>
        <v>0</v>
      </c>
      <c r="E368" s="76" t="str">
        <f>Liste_Materiel_RIA!E125</f>
        <v>pce</v>
      </c>
      <c r="F368" s="76" t="str">
        <f t="shared" si="7"/>
        <v/>
      </c>
      <c r="G368" s="76">
        <f>IF(AND(B364&lt;&gt;"",B364&lt;&gt;"Non trouvé - vérifier",D364&lt;&gt;"",D364&lt;&gt;0),IF(COUNTIF($B$2:B364,B364)=1,1,0),0)</f>
        <v>0</v>
      </c>
    </row>
    <row r="369" spans="1:7" x14ac:dyDescent="0.25">
      <c r="A369" s="76" t="str">
        <f>IF(Liste_Materiel_RIA!A126="","","RIA - "&amp;Liste_Materiel_RIA!A126)</f>
        <v>RIA - RIA 33/30 - Boucle 3</v>
      </c>
      <c r="B369" s="76" t="str">
        <f>Liste_Materiel_RIA!B126</f>
        <v>TUBESLGA040</v>
      </c>
      <c r="C369" s="76" t="str">
        <f>Liste_Materiel_RIA!C126</f>
        <v>TUBE GALVA EN 10255 SL DN40X2.9</v>
      </c>
      <c r="D369" s="76">
        <f>Liste_Materiel_RIA!D126</f>
        <v>0</v>
      </c>
      <c r="E369" s="76" t="str">
        <f>Liste_Materiel_RIA!E126</f>
        <v>ml</v>
      </c>
      <c r="F369" s="76" t="str">
        <f t="shared" si="7"/>
        <v/>
      </c>
      <c r="G369" s="76">
        <f>IF(AND(B365&lt;&gt;"",B365&lt;&gt;"Non trouvé - vérifier",D365&lt;&gt;"",D365&lt;&gt;0),IF(COUNTIF($B$2:B365,B365)=1,1,0),0)</f>
        <v>0</v>
      </c>
    </row>
    <row r="370" spans="1:7" x14ac:dyDescent="0.25">
      <c r="A370" s="76" t="str">
        <f>IF(Liste_Materiel_RIA!A127="","","RIA - "&amp;Liste_Materiel_RIA!A127)</f>
        <v>RIA - RIA 33/30 - Boucle 3</v>
      </c>
      <c r="B370" s="76" t="str">
        <f>Liste_Materiel_RIA!B127</f>
        <v>TESEGFFGA040</v>
      </c>
      <c r="C370" s="76" t="str">
        <f>Liste_Materiel_RIA!C127</f>
        <v>TES EGAL A VISSER FF GALVA DN40</v>
      </c>
      <c r="D370" s="76">
        <f>Liste_Materiel_RIA!D127</f>
        <v>0</v>
      </c>
      <c r="E370" s="76" t="str">
        <f>Liste_Materiel_RIA!E127</f>
        <v>pce</v>
      </c>
      <c r="F370" s="76" t="str">
        <f t="shared" si="7"/>
        <v/>
      </c>
      <c r="G370" s="76">
        <f>IF(AND(B366&lt;&gt;"",B366&lt;&gt;"Non trouvé - vérifier",D366&lt;&gt;"",D366&lt;&gt;0),IF(COUNTIF($B$2:B366,B366)=1,1,0),0)</f>
        <v>0</v>
      </c>
    </row>
    <row r="371" spans="1:7" x14ac:dyDescent="0.25">
      <c r="A371" s="76" t="str">
        <f>IF(Liste_Materiel_RIA!A128="","","RIA - "&amp;Liste_Materiel_RIA!A128)</f>
        <v>RIA - RIA 33/30 - Boucle 3</v>
      </c>
      <c r="B371" s="76" t="str">
        <f>Liste_Materiel_RIA!B128</f>
        <v>BOUCHVIMGA040</v>
      </c>
      <c r="C371" s="76" t="str">
        <f>Liste_Materiel_RIA!C128</f>
        <v>BOUCHON VISSER M GALVA DN40</v>
      </c>
      <c r="D371" s="76">
        <f>Liste_Materiel_RIA!D128</f>
        <v>0</v>
      </c>
      <c r="E371" s="76" t="str">
        <f>Liste_Materiel_RIA!E128</f>
        <v>pce</v>
      </c>
      <c r="F371" s="76" t="str">
        <f t="shared" si="7"/>
        <v/>
      </c>
      <c r="G371" s="76">
        <f>IF(AND(B367&lt;&gt;"",B367&lt;&gt;"Non trouvé - vérifier",D367&lt;&gt;"",D367&lt;&gt;0),IF(COUNTIF($B$2:B367,B367)=1,1,0),0)</f>
        <v>0</v>
      </c>
    </row>
    <row r="372" spans="1:7" x14ac:dyDescent="0.25">
      <c r="A372" s="76" t="str">
        <f>IF(Liste_Materiel_RIA!A129="","","RIA - "&amp;Liste_Materiel_RIA!A129)</f>
        <v>RIA - RIA 33/30 - Boucle 3</v>
      </c>
      <c r="B372" s="76" t="str">
        <f>Liste_Materiel_RIA!B129</f>
        <v>RACCORAGA040</v>
      </c>
      <c r="C372" s="76" t="str">
        <f>Liste_Materiel_RIA!C129</f>
        <v>RACCORD RAINURE GALVA DN40</v>
      </c>
      <c r="D372" s="76">
        <f>Liste_Materiel_RIA!D129</f>
        <v>0</v>
      </c>
      <c r="E372" s="76" t="str">
        <f>Liste_Materiel_RIA!E129</f>
        <v>pce</v>
      </c>
      <c r="F372" s="76" t="str">
        <f t="shared" si="7"/>
        <v/>
      </c>
      <c r="G372" s="76">
        <f>IF(AND(B368&lt;&gt;"",B368&lt;&gt;"Non trouvé - vérifier",D368&lt;&gt;"",D368&lt;&gt;0),IF(COUNTIF($B$2:B368,B368)=1,1,0),0)</f>
        <v>0</v>
      </c>
    </row>
    <row r="373" spans="1:7" x14ac:dyDescent="0.25">
      <c r="A373" s="76" t="str">
        <f>IF(Liste_Materiel_RIA!A130="","","RIA - "&amp;Liste_Materiel_RIA!A130)</f>
        <v>RIA - RIA 33/30 - Boucle 3</v>
      </c>
      <c r="B373" s="76" t="str">
        <f>Liste_Materiel_RIA!B130</f>
        <v>VANBSFFLA040P25</v>
      </c>
      <c r="C373" s="76" t="str">
        <f>Liste_Materiel_RIA!C130</f>
        <v>VANNE BS 1/4 FF LAITON DN40 PN25</v>
      </c>
      <c r="D373" s="76">
        <f>Liste_Materiel_RIA!D130</f>
        <v>0</v>
      </c>
      <c r="E373" s="76" t="str">
        <f>Liste_Materiel_RIA!E130</f>
        <v>pce</v>
      </c>
      <c r="F373" s="76" t="str">
        <f t="shared" ref="F373:F404" si="8">IF(AND(B369&lt;&gt;"",B369&lt;&gt;"Non trouvé - vérifier",D369&lt;&gt;"",D369&lt;&gt;0),SUMIF($B$2:$B$426,B369,$D$2:$D$426),"")</f>
        <v/>
      </c>
      <c r="G373" s="76">
        <f>IF(AND(B369&lt;&gt;"",B369&lt;&gt;"Non trouvé - vérifier",D369&lt;&gt;"",D369&lt;&gt;0),IF(COUNTIF($B$2:B369,B369)=1,1,0),0)</f>
        <v>0</v>
      </c>
    </row>
    <row r="374" spans="1:7" x14ac:dyDescent="0.25">
      <c r="A374" s="76" t="str">
        <f>IF(Liste_Materiel_RIA!A131="","","RIA - "&amp;Liste_Materiel_RIA!A131)</f>
        <v>RIA - RIA 33/30 - Boucle 3</v>
      </c>
      <c r="B374" s="76" t="str">
        <f>Liste_Materiel_RIA!B131</f>
        <v>RIATPDN32-30M</v>
      </c>
      <c r="C374" s="76" t="str">
        <f>Liste_Materiel_RIA!C131</f>
        <v>RIA TOURNANT PIVOTANT DN33-30M</v>
      </c>
      <c r="D374" s="76">
        <f>Liste_Materiel_RIA!D131</f>
        <v>0</v>
      </c>
      <c r="E374" s="76" t="str">
        <f>Liste_Materiel_RIA!E131</f>
        <v>pce</v>
      </c>
      <c r="F374" s="76" t="str">
        <f t="shared" si="8"/>
        <v/>
      </c>
      <c r="G374" s="76">
        <f>IF(AND(B370&lt;&gt;"",B370&lt;&gt;"Non trouvé - vérifier",D370&lt;&gt;"",D370&lt;&gt;0),IF(COUNTIF($B$2:B370,B370)=1,1,0),0)</f>
        <v>0</v>
      </c>
    </row>
    <row r="375" spans="1:7" x14ac:dyDescent="0.25">
      <c r="A375" s="76" t="str">
        <f>IF(Liste_Materiel_RIA!A132="","","RIA - "&amp;Liste_Materiel_RIA!A132)</f>
        <v>RIA - RIA 25/30 - Boucle 3</v>
      </c>
      <c r="B375" s="76" t="str">
        <f>Liste_Materiel_RIA!B132</f>
        <v>Non trouvé - vérifier</v>
      </c>
      <c r="C375" s="76" t="str">
        <f>Liste_Materiel_RIA!C132</f>
        <v/>
      </c>
      <c r="D375" s="76">
        <f>Liste_Materiel_RIA!D132</f>
        <v>0</v>
      </c>
      <c r="E375" s="76" t="str">
        <f>Liste_Materiel_RIA!E132</f>
        <v>pce</v>
      </c>
      <c r="F375" s="76" t="str">
        <f t="shared" si="8"/>
        <v/>
      </c>
      <c r="G375" s="76">
        <f>IF(AND(B371&lt;&gt;"",B371&lt;&gt;"Non trouvé - vérifier",D371&lt;&gt;"",D371&lt;&gt;0),IF(COUNTIF($B$2:B371,B371)=1,1,0),0)</f>
        <v>0</v>
      </c>
    </row>
    <row r="376" spans="1:7" x14ac:dyDescent="0.25">
      <c r="A376" s="76" t="str">
        <f>IF(Liste_Materiel_RIA!A133="","","RIA - "&amp;Liste_Materiel_RIA!A133)</f>
        <v>RIA - RIA 25/30 - Boucle 3</v>
      </c>
      <c r="B376" s="76" t="str">
        <f>Liste_Materiel_RIA!B133</f>
        <v>TUBESLGA040</v>
      </c>
      <c r="C376" s="76" t="str">
        <f>Liste_Materiel_RIA!C133</f>
        <v>TUBE GALVA EN 10255 SL DN40X2.9</v>
      </c>
      <c r="D376" s="76">
        <f>Liste_Materiel_RIA!D133</f>
        <v>0</v>
      </c>
      <c r="E376" s="76" t="str">
        <f>Liste_Materiel_RIA!E133</f>
        <v>ml</v>
      </c>
      <c r="F376" s="76" t="str">
        <f t="shared" si="8"/>
        <v/>
      </c>
      <c r="G376" s="76">
        <f>IF(AND(B372&lt;&gt;"",B372&lt;&gt;"Non trouvé - vérifier",D372&lt;&gt;"",D372&lt;&gt;0),IF(COUNTIF($B$2:B372,B372)=1,1,0),0)</f>
        <v>0</v>
      </c>
    </row>
    <row r="377" spans="1:7" x14ac:dyDescent="0.25">
      <c r="A377" s="76" t="str">
        <f>IF(Liste_Materiel_RIA!A134="","","RIA - "&amp;Liste_Materiel_RIA!A134)</f>
        <v>RIA - RIA 25/30 - Boucle 3</v>
      </c>
      <c r="B377" s="76" t="str">
        <f>Liste_Materiel_RIA!B134</f>
        <v>TESEGFFGA040</v>
      </c>
      <c r="C377" s="76" t="str">
        <f>Liste_Materiel_RIA!C134</f>
        <v>TES EGAL A VISSER FF GALVA DN40</v>
      </c>
      <c r="D377" s="76">
        <f>Liste_Materiel_RIA!D134</f>
        <v>0</v>
      </c>
      <c r="E377" s="76" t="str">
        <f>Liste_Materiel_RIA!E134</f>
        <v>pce</v>
      </c>
      <c r="F377" s="76" t="str">
        <f t="shared" si="8"/>
        <v/>
      </c>
      <c r="G377" s="76">
        <f>IF(AND(B373&lt;&gt;"",B373&lt;&gt;"Non trouvé - vérifier",D373&lt;&gt;"",D373&lt;&gt;0),IF(COUNTIF($B$2:B373,B373)=1,1,0),0)</f>
        <v>0</v>
      </c>
    </row>
    <row r="378" spans="1:7" x14ac:dyDescent="0.25">
      <c r="A378" s="76" t="str">
        <f>IF(Liste_Materiel_RIA!A135="","","RIA - "&amp;Liste_Materiel_RIA!A135)</f>
        <v>RIA - RIA 25/30 - Boucle 3</v>
      </c>
      <c r="B378" s="76" t="str">
        <f>Liste_Materiel_RIA!B135</f>
        <v>BOUCHVIMGA040</v>
      </c>
      <c r="C378" s="76" t="str">
        <f>Liste_Materiel_RIA!C135</f>
        <v>BOUCHON VISSER M GALVA DN40</v>
      </c>
      <c r="D378" s="76">
        <f>Liste_Materiel_RIA!D135</f>
        <v>0</v>
      </c>
      <c r="E378" s="76" t="str">
        <f>Liste_Materiel_RIA!E135</f>
        <v>pce</v>
      </c>
      <c r="F378" s="76" t="str">
        <f t="shared" si="8"/>
        <v/>
      </c>
      <c r="G378" s="76">
        <f>IF(AND(B374&lt;&gt;"",B374&lt;&gt;"Non trouvé - vérifier",D374&lt;&gt;"",D374&lt;&gt;0),IF(COUNTIF($B$2:B374,B374)=1,1,0),0)</f>
        <v>0</v>
      </c>
    </row>
    <row r="379" spans="1:7" x14ac:dyDescent="0.25">
      <c r="A379" s="76" t="str">
        <f>IF(Liste_Materiel_RIA!A136="","","RIA - "&amp;Liste_Materiel_RIA!A136)</f>
        <v>RIA - RIA 25/30 - Boucle 3</v>
      </c>
      <c r="B379" s="76" t="str">
        <f>Liste_Materiel_RIA!B136</f>
        <v>VANBSFFLA040P25</v>
      </c>
      <c r="C379" s="76" t="str">
        <f>Liste_Materiel_RIA!C136</f>
        <v>VANNE BS 1/4 FF LAITON DN40 PN25</v>
      </c>
      <c r="D379" s="76">
        <f>Liste_Materiel_RIA!D136</f>
        <v>0</v>
      </c>
      <c r="E379" s="76" t="str">
        <f>Liste_Materiel_RIA!E136</f>
        <v>pce</v>
      </c>
      <c r="F379" s="76" t="str">
        <f t="shared" si="8"/>
        <v/>
      </c>
      <c r="G379" s="76">
        <f>IF(AND(B375&lt;&gt;"",B375&lt;&gt;"Non trouvé - vérifier",D375&lt;&gt;"",D375&lt;&gt;0),IF(COUNTIF($B$2:B375,B375)=1,1,0),0)</f>
        <v>0</v>
      </c>
    </row>
    <row r="380" spans="1:7" x14ac:dyDescent="0.25">
      <c r="A380" s="76" t="str">
        <f>IF(Liste_Materiel_RIA!A137="","","RIA - "&amp;Liste_Materiel_RIA!A137)</f>
        <v>RIA - RIA 25/30 - Boucle 3</v>
      </c>
      <c r="B380" s="76" t="str">
        <f>Liste_Materiel_RIA!B137</f>
        <v>TUBETSSGA025</v>
      </c>
      <c r="C380" s="76" t="str">
        <f>Liste_Materiel_RIA!C137</f>
        <v>TUBE GALVA EN 10255 TSS DN 25X3.2</v>
      </c>
      <c r="D380" s="76">
        <f>Liste_Materiel_RIA!D137</f>
        <v>0</v>
      </c>
      <c r="E380" s="76" t="str">
        <f>Liste_Materiel_RIA!E137</f>
        <v>ml</v>
      </c>
      <c r="F380" s="76" t="str">
        <f t="shared" si="8"/>
        <v/>
      </c>
      <c r="G380" s="76">
        <f>IF(AND(B376&lt;&gt;"",B376&lt;&gt;"Non trouvé - vérifier",D376&lt;&gt;"",D376&lt;&gt;0),IF(COUNTIF($B$2:B376,B376)=1,1,0),0)</f>
        <v>0</v>
      </c>
    </row>
    <row r="381" spans="1:7" x14ac:dyDescent="0.25">
      <c r="A381" s="76" t="str">
        <f>IF(Liste_Materiel_RIA!A138="","","RIA - "&amp;Liste_Materiel_RIA!A138)</f>
        <v>RIA - RIA 25/30 - Boucle 3</v>
      </c>
      <c r="B381" s="76" t="str">
        <f>Liste_Materiel_RIA!B138</f>
        <v>RACCOUNFFGA025</v>
      </c>
      <c r="C381" s="76" t="str">
        <f>Liste_Materiel_RIA!C138</f>
        <v>RACCORD UNION VISSER FF GALVA DN25</v>
      </c>
      <c r="D381" s="76">
        <f>Liste_Materiel_RIA!D138</f>
        <v>0</v>
      </c>
      <c r="E381" s="76" t="str">
        <f>Liste_Materiel_RIA!E138</f>
        <v>pce</v>
      </c>
      <c r="F381" s="76" t="str">
        <f t="shared" si="8"/>
        <v/>
      </c>
      <c r="G381" s="76">
        <f>IF(AND(B377&lt;&gt;"",B377&lt;&gt;"Non trouvé - vérifier",D377&lt;&gt;"",D377&lt;&gt;0),IF(COUNTIF($B$2:B377,B377)=1,1,0),0)</f>
        <v>0</v>
      </c>
    </row>
    <row r="382" spans="1:7" x14ac:dyDescent="0.25">
      <c r="A382" s="76" t="str">
        <f>IF(Liste_Materiel_RIA!A139="","","RIA - "&amp;Liste_Materiel_RIA!A139)</f>
        <v>RIA - RIA 25/30 - Boucle 3</v>
      </c>
      <c r="B382" s="76" t="str">
        <f>Liste_Materiel_RIA!B139</f>
        <v>REDUCMFGA4025</v>
      </c>
      <c r="C382" s="76" t="str">
        <f>Liste_Materiel_RIA!C139</f>
        <v>REDUC VISSER MF GALVA DN40X25 1''1/2X1''</v>
      </c>
      <c r="D382" s="76">
        <f>Liste_Materiel_RIA!D139</f>
        <v>0</v>
      </c>
      <c r="E382" s="76" t="str">
        <f>Liste_Materiel_RIA!E139</f>
        <v>pce</v>
      </c>
      <c r="F382" s="76" t="str">
        <f t="shared" si="8"/>
        <v/>
      </c>
      <c r="G382" s="76">
        <f>IF(AND(B378&lt;&gt;"",B378&lt;&gt;"Non trouvé - vérifier",D378&lt;&gt;"",D378&lt;&gt;0),IF(COUNTIF($B$2:B378,B378)=1,1,0),0)</f>
        <v>0</v>
      </c>
    </row>
    <row r="383" spans="1:7" x14ac:dyDescent="0.25">
      <c r="A383" s="76" t="str">
        <f>IF(Liste_Materiel_RIA!A140="","","RIA - "&amp;Liste_Materiel_RIA!A140)</f>
        <v>RIA - RIA 25/30 - Boucle 3</v>
      </c>
      <c r="B383" s="76" t="str">
        <f>Liste_Materiel_RIA!B140</f>
        <v>RIATPDN25-30M</v>
      </c>
      <c r="C383" s="76" t="str">
        <f>Liste_Materiel_RIA!C140</f>
        <v>RIA TOURNANT PIVOTANT DN25-30M</v>
      </c>
      <c r="D383" s="76">
        <f>Liste_Materiel_RIA!D140</f>
        <v>0</v>
      </c>
      <c r="E383" s="76" t="str">
        <f>Liste_Materiel_RIA!E140</f>
        <v>pce</v>
      </c>
      <c r="F383" s="76" t="str">
        <f t="shared" si="8"/>
        <v/>
      </c>
      <c r="G383" s="76">
        <f>IF(AND(B379&lt;&gt;"",B379&lt;&gt;"Non trouvé - vérifier",D379&lt;&gt;"",D379&lt;&gt;0),IF(COUNTIF($B$2:B379,B379)=1,1,0),0)</f>
        <v>0</v>
      </c>
    </row>
    <row r="384" spans="1:7" x14ac:dyDescent="0.25">
      <c r="A384" s="76" t="str">
        <f>IF(Liste_Materiel_RIA!A141="","","RIA - "&amp;Liste_Materiel_RIA!A141)</f>
        <v>RIA - RIA 33/30 - Boucle 4</v>
      </c>
      <c r="B384" s="76" t="str">
        <f>Liste_Materiel_RIA!B141</f>
        <v>Non trouvé - vérifier</v>
      </c>
      <c r="C384" s="76" t="str">
        <f>Liste_Materiel_RIA!C141</f>
        <v/>
      </c>
      <c r="D384" s="76">
        <f>Liste_Materiel_RIA!D141</f>
        <v>0</v>
      </c>
      <c r="E384" s="76" t="str">
        <f>Liste_Materiel_RIA!E141</f>
        <v>pce</v>
      </c>
      <c r="F384" s="76" t="str">
        <f t="shared" si="8"/>
        <v/>
      </c>
      <c r="G384" s="76">
        <f>IF(AND(B380&lt;&gt;"",B380&lt;&gt;"Non trouvé - vérifier",D380&lt;&gt;"",D380&lt;&gt;0),IF(COUNTIF($B$2:B380,B380)=1,1,0),0)</f>
        <v>0</v>
      </c>
    </row>
    <row r="385" spans="1:7" x14ac:dyDescent="0.25">
      <c r="A385" s="76" t="str">
        <f>IF(Liste_Materiel_RIA!A142="","","RIA - "&amp;Liste_Materiel_RIA!A142)</f>
        <v>RIA - RIA 33/30 - Boucle 4</v>
      </c>
      <c r="B385" s="76" t="str">
        <f>Liste_Materiel_RIA!B142</f>
        <v>TUBESLGA040</v>
      </c>
      <c r="C385" s="76" t="str">
        <f>Liste_Materiel_RIA!C142</f>
        <v>TUBE GALVA EN 10255 SL DN40X2.9</v>
      </c>
      <c r="D385" s="76">
        <f>Liste_Materiel_RIA!D142</f>
        <v>0</v>
      </c>
      <c r="E385" s="76" t="str">
        <f>Liste_Materiel_RIA!E142</f>
        <v>ml</v>
      </c>
      <c r="F385" s="76" t="str">
        <f t="shared" si="8"/>
        <v/>
      </c>
      <c r="G385" s="76">
        <f>IF(AND(B381&lt;&gt;"",B381&lt;&gt;"Non trouvé - vérifier",D381&lt;&gt;"",D381&lt;&gt;0),IF(COUNTIF($B$2:B381,B381)=1,1,0),0)</f>
        <v>0</v>
      </c>
    </row>
    <row r="386" spans="1:7" x14ac:dyDescent="0.25">
      <c r="A386" s="76" t="str">
        <f>IF(Liste_Materiel_RIA!A143="","","RIA - "&amp;Liste_Materiel_RIA!A143)</f>
        <v>RIA - RIA 33/30 - Boucle 4</v>
      </c>
      <c r="B386" s="76" t="str">
        <f>Liste_Materiel_RIA!B143</f>
        <v>TESEGFFGA040</v>
      </c>
      <c r="C386" s="76" t="str">
        <f>Liste_Materiel_RIA!C143</f>
        <v>TES EGAL A VISSER FF GALVA DN40</v>
      </c>
      <c r="D386" s="76">
        <f>Liste_Materiel_RIA!D143</f>
        <v>0</v>
      </c>
      <c r="E386" s="76" t="str">
        <f>Liste_Materiel_RIA!E143</f>
        <v>pce</v>
      </c>
      <c r="F386" s="76" t="str">
        <f t="shared" si="8"/>
        <v/>
      </c>
      <c r="G386" s="76">
        <f>IF(AND(B382&lt;&gt;"",B382&lt;&gt;"Non trouvé - vérifier",D382&lt;&gt;"",D382&lt;&gt;0),IF(COUNTIF($B$2:B382,B382)=1,1,0),0)</f>
        <v>0</v>
      </c>
    </row>
    <row r="387" spans="1:7" x14ac:dyDescent="0.25">
      <c r="A387" s="76" t="str">
        <f>IF(Liste_Materiel_RIA!A144="","","RIA - "&amp;Liste_Materiel_RIA!A144)</f>
        <v>RIA - RIA 33/30 - Boucle 4</v>
      </c>
      <c r="B387" s="76" t="str">
        <f>Liste_Materiel_RIA!B144</f>
        <v>BOUCHVIMGA040</v>
      </c>
      <c r="C387" s="76" t="str">
        <f>Liste_Materiel_RIA!C144</f>
        <v>BOUCHON VISSER M GALVA DN40</v>
      </c>
      <c r="D387" s="76">
        <f>Liste_Materiel_RIA!D144</f>
        <v>0</v>
      </c>
      <c r="E387" s="76" t="str">
        <f>Liste_Materiel_RIA!E144</f>
        <v>pce</v>
      </c>
      <c r="F387" s="76" t="str">
        <f t="shared" si="8"/>
        <v/>
      </c>
      <c r="G387" s="76">
        <f>IF(AND(B383&lt;&gt;"",B383&lt;&gt;"Non trouvé - vérifier",D383&lt;&gt;"",D383&lt;&gt;0),IF(COUNTIF($B$2:B383,B383)=1,1,0),0)</f>
        <v>0</v>
      </c>
    </row>
    <row r="388" spans="1:7" x14ac:dyDescent="0.25">
      <c r="A388" s="76" t="str">
        <f>IF(Liste_Materiel_RIA!A145="","","RIA - "&amp;Liste_Materiel_RIA!A145)</f>
        <v>RIA - RIA 33/30 - Boucle 4</v>
      </c>
      <c r="B388" s="76" t="str">
        <f>Liste_Materiel_RIA!B145</f>
        <v>RACCORAGA040</v>
      </c>
      <c r="C388" s="76" t="str">
        <f>Liste_Materiel_RIA!C145</f>
        <v>RACCORD RAINURE GALVA DN40</v>
      </c>
      <c r="D388" s="76">
        <f>Liste_Materiel_RIA!D145</f>
        <v>0</v>
      </c>
      <c r="E388" s="76" t="str">
        <f>Liste_Materiel_RIA!E145</f>
        <v>pce</v>
      </c>
      <c r="F388" s="76" t="str">
        <f t="shared" si="8"/>
        <v/>
      </c>
      <c r="G388" s="76">
        <f>IF(AND(B384&lt;&gt;"",B384&lt;&gt;"Non trouvé - vérifier",D384&lt;&gt;"",D384&lt;&gt;0),IF(COUNTIF($B$2:B384,B384)=1,1,0),0)</f>
        <v>0</v>
      </c>
    </row>
    <row r="389" spans="1:7" x14ac:dyDescent="0.25">
      <c r="A389" s="76" t="str">
        <f>IF(Liste_Materiel_RIA!A146="","","RIA - "&amp;Liste_Materiel_RIA!A146)</f>
        <v>RIA - RIA 33/30 - Boucle 4</v>
      </c>
      <c r="B389" s="76" t="str">
        <f>Liste_Materiel_RIA!B146</f>
        <v>VANBSFFLA040P25</v>
      </c>
      <c r="C389" s="76" t="str">
        <f>Liste_Materiel_RIA!C146</f>
        <v>VANNE BS 1/4 FF LAITON DN40 PN25</v>
      </c>
      <c r="D389" s="76">
        <f>Liste_Materiel_RIA!D146</f>
        <v>0</v>
      </c>
      <c r="E389" s="76" t="str">
        <f>Liste_Materiel_RIA!E146</f>
        <v>pce</v>
      </c>
      <c r="F389" s="76" t="str">
        <f t="shared" si="8"/>
        <v/>
      </c>
      <c r="G389" s="76">
        <f>IF(AND(B385&lt;&gt;"",B385&lt;&gt;"Non trouvé - vérifier",D385&lt;&gt;"",D385&lt;&gt;0),IF(COUNTIF($B$2:B385,B385)=1,1,0),0)</f>
        <v>0</v>
      </c>
    </row>
    <row r="390" spans="1:7" x14ac:dyDescent="0.25">
      <c r="A390" s="76" t="str">
        <f>IF(Liste_Materiel_RIA!A147="","","RIA - "&amp;Liste_Materiel_RIA!A147)</f>
        <v>RIA - RIA 33/30 - Boucle 4</v>
      </c>
      <c r="B390" s="76" t="str">
        <f>Liste_Materiel_RIA!B147</f>
        <v>RIATPDN32-30M</v>
      </c>
      <c r="C390" s="76" t="str">
        <f>Liste_Materiel_RIA!C147</f>
        <v>RIA TOURNANT PIVOTANT DN33-30M</v>
      </c>
      <c r="D390" s="76">
        <f>Liste_Materiel_RIA!D147</f>
        <v>0</v>
      </c>
      <c r="E390" s="76" t="str">
        <f>Liste_Materiel_RIA!E147</f>
        <v>pce</v>
      </c>
      <c r="F390" s="76" t="str">
        <f t="shared" si="8"/>
        <v/>
      </c>
      <c r="G390" s="76">
        <f>IF(AND(B386&lt;&gt;"",B386&lt;&gt;"Non trouvé - vérifier",D386&lt;&gt;"",D386&lt;&gt;0),IF(COUNTIF($B$2:B386,B386)=1,1,0),0)</f>
        <v>0</v>
      </c>
    </row>
    <row r="391" spans="1:7" x14ac:dyDescent="0.25">
      <c r="A391" s="76" t="str">
        <f>IF(Liste_Materiel_RIA!A148="","","RIA - "&amp;Liste_Materiel_RIA!A148)</f>
        <v>RIA - RIA 25/30 - Boucle 4</v>
      </c>
      <c r="B391" s="76" t="str">
        <f>Liste_Materiel_RIA!B148</f>
        <v>Non trouvé - vérifier</v>
      </c>
      <c r="C391" s="76" t="str">
        <f>Liste_Materiel_RIA!C148</f>
        <v/>
      </c>
      <c r="D391" s="76">
        <f>Liste_Materiel_RIA!D148</f>
        <v>0</v>
      </c>
      <c r="E391" s="76" t="str">
        <f>Liste_Materiel_RIA!E148</f>
        <v>pce</v>
      </c>
      <c r="F391" s="76" t="str">
        <f t="shared" si="8"/>
        <v/>
      </c>
      <c r="G391" s="76">
        <f>IF(AND(B387&lt;&gt;"",B387&lt;&gt;"Non trouvé - vérifier",D387&lt;&gt;"",D387&lt;&gt;0),IF(COUNTIF($B$2:B387,B387)=1,1,0),0)</f>
        <v>0</v>
      </c>
    </row>
    <row r="392" spans="1:7" x14ac:dyDescent="0.25">
      <c r="A392" s="76" t="str">
        <f>IF(Liste_Materiel_RIA!A149="","","RIA - "&amp;Liste_Materiel_RIA!A149)</f>
        <v>RIA - RIA 25/30 - Boucle 4</v>
      </c>
      <c r="B392" s="76" t="str">
        <f>Liste_Materiel_RIA!B149</f>
        <v>TUBESLGA040</v>
      </c>
      <c r="C392" s="76" t="str">
        <f>Liste_Materiel_RIA!C149</f>
        <v>TUBE GALVA EN 10255 SL DN40X2.9</v>
      </c>
      <c r="D392" s="76">
        <f>Liste_Materiel_RIA!D149</f>
        <v>0</v>
      </c>
      <c r="E392" s="76" t="str">
        <f>Liste_Materiel_RIA!E149</f>
        <v>ml</v>
      </c>
      <c r="F392" s="76" t="str">
        <f t="shared" si="8"/>
        <v/>
      </c>
      <c r="G392" s="76">
        <f>IF(AND(B388&lt;&gt;"",B388&lt;&gt;"Non trouvé - vérifier",D388&lt;&gt;"",D388&lt;&gt;0),IF(COUNTIF($B$2:B388,B388)=1,1,0),0)</f>
        <v>0</v>
      </c>
    </row>
    <row r="393" spans="1:7" x14ac:dyDescent="0.25">
      <c r="A393" s="76" t="str">
        <f>IF(Liste_Materiel_RIA!A150="","","RIA - "&amp;Liste_Materiel_RIA!A150)</f>
        <v>RIA - RIA 25/30 - Boucle 4</v>
      </c>
      <c r="B393" s="76" t="str">
        <f>Liste_Materiel_RIA!B150</f>
        <v>TESEGFFGA040</v>
      </c>
      <c r="C393" s="76" t="str">
        <f>Liste_Materiel_RIA!C150</f>
        <v>TES EGAL A VISSER FF GALVA DN40</v>
      </c>
      <c r="D393" s="76">
        <f>Liste_Materiel_RIA!D150</f>
        <v>0</v>
      </c>
      <c r="E393" s="76" t="str">
        <f>Liste_Materiel_RIA!E150</f>
        <v>pce</v>
      </c>
      <c r="F393" s="76" t="str">
        <f t="shared" si="8"/>
        <v/>
      </c>
      <c r="G393" s="76">
        <f>IF(AND(B389&lt;&gt;"",B389&lt;&gt;"Non trouvé - vérifier",D389&lt;&gt;"",D389&lt;&gt;0),IF(COUNTIF($B$2:B389,B389)=1,1,0),0)</f>
        <v>0</v>
      </c>
    </row>
    <row r="394" spans="1:7" x14ac:dyDescent="0.25">
      <c r="A394" s="76" t="str">
        <f>IF(Liste_Materiel_RIA!A151="","","RIA - "&amp;Liste_Materiel_RIA!A151)</f>
        <v>RIA - RIA 25/30 - Boucle 4</v>
      </c>
      <c r="B394" s="76" t="str">
        <f>Liste_Materiel_RIA!B151</f>
        <v>BOUCHVIMGA040</v>
      </c>
      <c r="C394" s="76" t="str">
        <f>Liste_Materiel_RIA!C151</f>
        <v>BOUCHON VISSER M GALVA DN40</v>
      </c>
      <c r="D394" s="76">
        <f>Liste_Materiel_RIA!D151</f>
        <v>0</v>
      </c>
      <c r="E394" s="76" t="str">
        <f>Liste_Materiel_RIA!E151</f>
        <v>pce</v>
      </c>
      <c r="F394" s="76" t="str">
        <f t="shared" si="8"/>
        <v/>
      </c>
      <c r="G394" s="76">
        <f>IF(AND(B390&lt;&gt;"",B390&lt;&gt;"Non trouvé - vérifier",D390&lt;&gt;"",D390&lt;&gt;0),IF(COUNTIF($B$2:B390,B390)=1,1,0),0)</f>
        <v>0</v>
      </c>
    </row>
    <row r="395" spans="1:7" x14ac:dyDescent="0.25">
      <c r="A395" s="76" t="str">
        <f>IF(Liste_Materiel_RIA!A152="","","RIA - "&amp;Liste_Materiel_RIA!A152)</f>
        <v>RIA - RIA 25/30 - Boucle 4</v>
      </c>
      <c r="B395" s="76" t="str">
        <f>Liste_Materiel_RIA!B152</f>
        <v>VANBSFFLA040P25</v>
      </c>
      <c r="C395" s="76" t="str">
        <f>Liste_Materiel_RIA!C152</f>
        <v>VANNE BS 1/4 FF LAITON DN40 PN25</v>
      </c>
      <c r="D395" s="76">
        <f>Liste_Materiel_RIA!D152</f>
        <v>0</v>
      </c>
      <c r="E395" s="76" t="str">
        <f>Liste_Materiel_RIA!E152</f>
        <v>pce</v>
      </c>
      <c r="F395" s="76" t="str">
        <f t="shared" si="8"/>
        <v/>
      </c>
      <c r="G395" s="76">
        <f>IF(AND(B391&lt;&gt;"",B391&lt;&gt;"Non trouvé - vérifier",D391&lt;&gt;"",D391&lt;&gt;0),IF(COUNTIF($B$2:B391,B391)=1,1,0),0)</f>
        <v>0</v>
      </c>
    </row>
    <row r="396" spans="1:7" x14ac:dyDescent="0.25">
      <c r="A396" s="76" t="str">
        <f>IF(Liste_Materiel_RIA!A153="","","RIA - "&amp;Liste_Materiel_RIA!A153)</f>
        <v>RIA - RIA 25/30 - Boucle 4</v>
      </c>
      <c r="B396" s="76" t="str">
        <f>Liste_Materiel_RIA!B153</f>
        <v>TUBETSSGA025</v>
      </c>
      <c r="C396" s="76" t="str">
        <f>Liste_Materiel_RIA!C153</f>
        <v>TUBE GALVA EN 10255 TSS DN 25X3.2</v>
      </c>
      <c r="D396" s="76">
        <f>Liste_Materiel_RIA!D153</f>
        <v>0</v>
      </c>
      <c r="E396" s="76" t="str">
        <f>Liste_Materiel_RIA!E153</f>
        <v>ml</v>
      </c>
      <c r="F396" s="76" t="str">
        <f t="shared" si="8"/>
        <v/>
      </c>
      <c r="G396" s="76">
        <f>IF(AND(B392&lt;&gt;"",B392&lt;&gt;"Non trouvé - vérifier",D392&lt;&gt;"",D392&lt;&gt;0),IF(COUNTIF($B$2:B392,B392)=1,1,0),0)</f>
        <v>0</v>
      </c>
    </row>
    <row r="397" spans="1:7" x14ac:dyDescent="0.25">
      <c r="A397" s="76" t="str">
        <f>IF(Liste_Materiel_RIA!A154="","","RIA - "&amp;Liste_Materiel_RIA!A154)</f>
        <v>RIA - RIA 25/30 - Boucle 4</v>
      </c>
      <c r="B397" s="76" t="str">
        <f>Liste_Materiel_RIA!B154</f>
        <v>RACCOUNFFGA025</v>
      </c>
      <c r="C397" s="76" t="str">
        <f>Liste_Materiel_RIA!C154</f>
        <v>RACCORD UNION VISSER FF GALVA DN25</v>
      </c>
      <c r="D397" s="76">
        <f>Liste_Materiel_RIA!D154</f>
        <v>0</v>
      </c>
      <c r="E397" s="76" t="str">
        <f>Liste_Materiel_RIA!E154</f>
        <v>pce</v>
      </c>
      <c r="F397" s="76" t="str">
        <f t="shared" si="8"/>
        <v/>
      </c>
      <c r="G397" s="76">
        <f>IF(AND(B393&lt;&gt;"",B393&lt;&gt;"Non trouvé - vérifier",D393&lt;&gt;"",D393&lt;&gt;0),IF(COUNTIF($B$2:B393,B393)=1,1,0),0)</f>
        <v>0</v>
      </c>
    </row>
    <row r="398" spans="1:7" x14ac:dyDescent="0.25">
      <c r="A398" s="76" t="str">
        <f>IF(Liste_Materiel_RIA!A155="","","RIA - "&amp;Liste_Materiel_RIA!A155)</f>
        <v>RIA - RIA 25/30 - Boucle 4</v>
      </c>
      <c r="B398" s="76" t="str">
        <f>Liste_Materiel_RIA!B155</f>
        <v>REDUCMFGA4025</v>
      </c>
      <c r="C398" s="76" t="str">
        <f>Liste_Materiel_RIA!C155</f>
        <v>REDUC VISSER MF GALVA DN40X25 1''1/2X1''</v>
      </c>
      <c r="D398" s="76">
        <f>Liste_Materiel_RIA!D155</f>
        <v>0</v>
      </c>
      <c r="E398" s="76" t="str">
        <f>Liste_Materiel_RIA!E155</f>
        <v>pce</v>
      </c>
      <c r="F398" s="76" t="str">
        <f t="shared" si="8"/>
        <v/>
      </c>
      <c r="G398" s="76">
        <f>IF(AND(B394&lt;&gt;"",B394&lt;&gt;"Non trouvé - vérifier",D394&lt;&gt;"",D394&lt;&gt;0),IF(COUNTIF($B$2:B394,B394)=1,1,0),0)</f>
        <v>0</v>
      </c>
    </row>
    <row r="399" spans="1:7" x14ac:dyDescent="0.25">
      <c r="A399" s="76" t="str">
        <f>IF(Liste_Materiel_RIA!A156="","","RIA - "&amp;Liste_Materiel_RIA!A156)</f>
        <v>RIA - RIA 25/30 - Boucle 4</v>
      </c>
      <c r="B399" s="76" t="str">
        <f>Liste_Materiel_RIA!B156</f>
        <v>RIATPDN25-30M</v>
      </c>
      <c r="C399" s="76" t="str">
        <f>Liste_Materiel_RIA!C156</f>
        <v>RIA TOURNANT PIVOTANT DN25-30M</v>
      </c>
      <c r="D399" s="76">
        <f>Liste_Materiel_RIA!D156</f>
        <v>0</v>
      </c>
      <c r="E399" s="76" t="str">
        <f>Liste_Materiel_RIA!E156</f>
        <v>pce</v>
      </c>
      <c r="F399" s="76" t="str">
        <f t="shared" si="8"/>
        <v/>
      </c>
      <c r="G399" s="76">
        <f>IF(AND(B395&lt;&gt;"",B395&lt;&gt;"Non trouvé - vérifier",D395&lt;&gt;"",D395&lt;&gt;0),IF(COUNTIF($B$2:B395,B395)=1,1,0),0)</f>
        <v>0</v>
      </c>
    </row>
    <row r="400" spans="1:7" x14ac:dyDescent="0.25">
      <c r="A400" s="76" t="str">
        <f>IF(Liste_Materiel_RIA!A157="","","RIA - "&amp;Liste_Materiel_RIA!A157)</f>
        <v>RIA - Matériel divers 1</v>
      </c>
      <c r="B400" s="76" t="str">
        <f>Liste_Materiel_RIA!B157</f>
        <v/>
      </c>
      <c r="C400" s="76" t="str">
        <f>Liste_Materiel_RIA!C157</f>
        <v/>
      </c>
      <c r="D400" s="76" t="str">
        <f>Liste_Materiel_RIA!D157</f>
        <v/>
      </c>
      <c r="E400" s="76" t="str">
        <f>Liste_Materiel_RIA!E157</f>
        <v>pce</v>
      </c>
      <c r="F400" s="76" t="str">
        <f t="shared" si="8"/>
        <v/>
      </c>
      <c r="G400" s="76">
        <f>IF(AND(B396&lt;&gt;"",B396&lt;&gt;"Non trouvé - vérifier",D396&lt;&gt;"",D396&lt;&gt;0),IF(COUNTIF($B$2:B396,B396)=1,1,0),0)</f>
        <v>0</v>
      </c>
    </row>
    <row r="401" spans="1:7" x14ac:dyDescent="0.25">
      <c r="A401" s="76" t="str">
        <f>IF(Liste_Materiel_RIA!A158="","","RIA - "&amp;Liste_Materiel_RIA!A158)</f>
        <v>RIA - Matériel divers 2</v>
      </c>
      <c r="B401" s="76" t="str">
        <f>Liste_Materiel_RIA!B158</f>
        <v/>
      </c>
      <c r="C401" s="76" t="str">
        <f>Liste_Materiel_RIA!C158</f>
        <v/>
      </c>
      <c r="D401" s="76" t="str">
        <f>Liste_Materiel_RIA!D158</f>
        <v/>
      </c>
      <c r="E401" s="76" t="str">
        <f>Liste_Materiel_RIA!E158</f>
        <v>pce</v>
      </c>
      <c r="F401" s="76" t="str">
        <f t="shared" si="8"/>
        <v/>
      </c>
      <c r="G401" s="76">
        <f>IF(AND(B397&lt;&gt;"",B397&lt;&gt;"Non trouvé - vérifier",D397&lt;&gt;"",D397&lt;&gt;0),IF(COUNTIF($B$2:B397,B397)=1,1,0),0)</f>
        <v>0</v>
      </c>
    </row>
    <row r="402" spans="1:7" x14ac:dyDescent="0.25">
      <c r="A402" s="76" t="str">
        <f>IF(Liste_Materiel_RIA!A159="","","RIA - "&amp;Liste_Materiel_RIA!A159)</f>
        <v>RIA - Matériel divers 3</v>
      </c>
      <c r="B402" s="76" t="str">
        <f>Liste_Materiel_RIA!B159</f>
        <v/>
      </c>
      <c r="C402" s="76" t="str">
        <f>Liste_Materiel_RIA!C159</f>
        <v/>
      </c>
      <c r="D402" s="76" t="str">
        <f>Liste_Materiel_RIA!D159</f>
        <v/>
      </c>
      <c r="E402" s="76" t="str">
        <f>Liste_Materiel_RIA!E159</f>
        <v>pce</v>
      </c>
      <c r="F402" s="76" t="str">
        <f t="shared" si="8"/>
        <v/>
      </c>
      <c r="G402" s="76">
        <f>IF(AND(B398&lt;&gt;"",B398&lt;&gt;"Non trouvé - vérifier",D398&lt;&gt;"",D398&lt;&gt;0),IF(COUNTIF($B$2:B398,B398)=1,1,0),0)</f>
        <v>0</v>
      </c>
    </row>
    <row r="403" spans="1:7" x14ac:dyDescent="0.25">
      <c r="A403" s="76" t="str">
        <f>IF(Liste_Materiel_RIA!A160="","","RIA - "&amp;Liste_Materiel_RIA!A160)</f>
        <v>RIA - Matériel divers 4</v>
      </c>
      <c r="B403" s="76" t="str">
        <f>Liste_Materiel_RIA!B160</f>
        <v/>
      </c>
      <c r="C403" s="76" t="str">
        <f>Liste_Materiel_RIA!C160</f>
        <v/>
      </c>
      <c r="D403" s="76" t="str">
        <f>Liste_Materiel_RIA!D160</f>
        <v/>
      </c>
      <c r="E403" s="76" t="str">
        <f>Liste_Materiel_RIA!E160</f>
        <v>pce</v>
      </c>
      <c r="F403" s="76" t="str">
        <f t="shared" si="8"/>
        <v/>
      </c>
      <c r="G403" s="76">
        <f>IF(AND(B399&lt;&gt;"",B399&lt;&gt;"Non trouvé - vérifier",D399&lt;&gt;"",D399&lt;&gt;0),IF(COUNTIF($B$2:B399,B399)=1,1,0),0)</f>
        <v>0</v>
      </c>
    </row>
    <row r="404" spans="1:7" x14ac:dyDescent="0.25">
      <c r="A404" s="76" t="str">
        <f>IF(Liste_Materiel_RIA!A161="","","RIA - "&amp;Liste_Materiel_RIA!A161)</f>
        <v>RIA - Matériel divers 5</v>
      </c>
      <c r="B404" s="76" t="str">
        <f>Liste_Materiel_RIA!B161</f>
        <v/>
      </c>
      <c r="C404" s="76" t="str">
        <f>Liste_Materiel_RIA!C161</f>
        <v/>
      </c>
      <c r="D404" s="76" t="str">
        <f>Liste_Materiel_RIA!D161</f>
        <v/>
      </c>
      <c r="E404" s="76" t="str">
        <f>Liste_Materiel_RIA!E161</f>
        <v>pce</v>
      </c>
      <c r="F404" s="76" t="str">
        <f t="shared" si="8"/>
        <v/>
      </c>
      <c r="G404" s="76">
        <f>IF(AND(B400&lt;&gt;"",B400&lt;&gt;"Non trouvé - vérifier",D400&lt;&gt;"",D400&lt;&gt;0),IF(COUNTIF($B$2:B400,B400)=1,1,0),0)</f>
        <v>0</v>
      </c>
    </row>
    <row r="405" spans="1:7" x14ac:dyDescent="0.25">
      <c r="A405" s="76" t="str">
        <f>IF(Liste_Materiel_RIA!A162="","","RIA - "&amp;Liste_Materiel_RIA!A162)</f>
        <v>RIA - Matériel divers 6</v>
      </c>
      <c r="B405" s="76" t="str">
        <f>Liste_Materiel_RIA!B162</f>
        <v/>
      </c>
      <c r="C405" s="76" t="str">
        <f>Liste_Materiel_RIA!C162</f>
        <v/>
      </c>
      <c r="D405" s="76" t="str">
        <f>Liste_Materiel_RIA!D162</f>
        <v/>
      </c>
      <c r="E405" s="76" t="str">
        <f>Liste_Materiel_RIA!E162</f>
        <v>pce</v>
      </c>
      <c r="F405" s="76" t="str">
        <f t="shared" ref="F405:F426" si="9">IF(AND(B401&lt;&gt;"",B401&lt;&gt;"Non trouvé - vérifier",D401&lt;&gt;"",D401&lt;&gt;0),SUMIF($B$2:$B$426,B401,$D$2:$D$426),"")</f>
        <v/>
      </c>
      <c r="G405" s="76">
        <f>IF(AND(B401&lt;&gt;"",B401&lt;&gt;"Non trouvé - vérifier",D401&lt;&gt;"",D401&lt;&gt;0),IF(COUNTIF($B$2:B401,B401)=1,1,0),0)</f>
        <v>0</v>
      </c>
    </row>
    <row r="406" spans="1:7" x14ac:dyDescent="0.25">
      <c r="A406" s="76" t="str">
        <f>IF(Liste_Materiel_RIA!A163="","","RIA - "&amp;Liste_Materiel_RIA!A163)</f>
        <v>RIA - Matériel divers 7</v>
      </c>
      <c r="B406" s="76" t="str">
        <f>Liste_Materiel_RIA!B163</f>
        <v/>
      </c>
      <c r="C406" s="76" t="str">
        <f>Liste_Materiel_RIA!C163</f>
        <v/>
      </c>
      <c r="D406" s="76" t="str">
        <f>Liste_Materiel_RIA!D163</f>
        <v/>
      </c>
      <c r="E406" s="76" t="str">
        <f>Liste_Materiel_RIA!E163</f>
        <v>pce</v>
      </c>
      <c r="F406" s="76" t="str">
        <f t="shared" si="9"/>
        <v/>
      </c>
      <c r="G406" s="76">
        <f>IF(AND(B402&lt;&gt;"",B402&lt;&gt;"Non trouvé - vérifier",D402&lt;&gt;"",D402&lt;&gt;0),IF(COUNTIF($B$2:B402,B402)=1,1,0),0)</f>
        <v>0</v>
      </c>
    </row>
    <row r="407" spans="1:7" x14ac:dyDescent="0.25">
      <c r="A407" s="76" t="str">
        <f>IF(Liste_Materiel_RIA!A164="","","RIA - "&amp;Liste_Materiel_RIA!A164)</f>
        <v>RIA - Matériel divers 8</v>
      </c>
      <c r="B407" s="76" t="str">
        <f>Liste_Materiel_RIA!B164</f>
        <v/>
      </c>
      <c r="C407" s="76" t="str">
        <f>Liste_Materiel_RIA!C164</f>
        <v/>
      </c>
      <c r="D407" s="76" t="str">
        <f>Liste_Materiel_RIA!D164</f>
        <v/>
      </c>
      <c r="E407" s="76" t="str">
        <f>Liste_Materiel_RIA!E164</f>
        <v>pce</v>
      </c>
      <c r="F407" s="76" t="str">
        <f t="shared" si="9"/>
        <v/>
      </c>
      <c r="G407" s="76">
        <f>IF(AND(B403&lt;&gt;"",B403&lt;&gt;"Non trouvé - vérifier",D403&lt;&gt;"",D403&lt;&gt;0),IF(COUNTIF($B$2:B403,B403)=1,1,0),0)</f>
        <v>0</v>
      </c>
    </row>
    <row r="408" spans="1:7" x14ac:dyDescent="0.25">
      <c r="A408" s="76" t="str">
        <f>IF(Liste_Materiel_RIA!A165="","","RIA - "&amp;Liste_Materiel_RIA!A165)</f>
        <v>RIA - Matériel divers 9</v>
      </c>
      <c r="B408" s="76" t="str">
        <f>Liste_Materiel_RIA!B165</f>
        <v/>
      </c>
      <c r="C408" s="76" t="str">
        <f>Liste_Materiel_RIA!C165</f>
        <v/>
      </c>
      <c r="D408" s="76" t="str">
        <f>Liste_Materiel_RIA!D165</f>
        <v/>
      </c>
      <c r="E408" s="76" t="str">
        <f>Liste_Materiel_RIA!E165</f>
        <v>pce</v>
      </c>
      <c r="F408" s="76" t="str">
        <f t="shared" si="9"/>
        <v/>
      </c>
      <c r="G408" s="76">
        <f>IF(AND(B404&lt;&gt;"",B404&lt;&gt;"Non trouvé - vérifier",D404&lt;&gt;"",D404&lt;&gt;0),IF(COUNTIF($B$2:B404,B404)=1,1,0),0)</f>
        <v>0</v>
      </c>
    </row>
    <row r="409" spans="1:7" x14ac:dyDescent="0.25">
      <c r="A409" s="76" t="str">
        <f>IF(Liste_Materiel_RIA!A166="","","RIA - "&amp;Liste_Materiel_RIA!A166)</f>
        <v>RIA - Matériel divers 10</v>
      </c>
      <c r="B409" s="76" t="str">
        <f>Liste_Materiel_RIA!B166</f>
        <v/>
      </c>
      <c r="C409" s="76" t="str">
        <f>Liste_Materiel_RIA!C166</f>
        <v/>
      </c>
      <c r="D409" s="76" t="str">
        <f>Liste_Materiel_RIA!D166</f>
        <v/>
      </c>
      <c r="E409" s="76" t="str">
        <f>Liste_Materiel_RIA!E166</f>
        <v>pce</v>
      </c>
      <c r="F409" s="76" t="str">
        <f t="shared" si="9"/>
        <v/>
      </c>
      <c r="G409" s="76">
        <f>IF(AND(B405&lt;&gt;"",B405&lt;&gt;"Non trouvé - vérifier",D405&lt;&gt;"",D405&lt;&gt;0),IF(COUNTIF($B$2:B405,B405)=1,1,0),0)</f>
        <v>0</v>
      </c>
    </row>
    <row r="410" spans="1:7" x14ac:dyDescent="0.25">
      <c r="A410" s="76" t="str">
        <f>IF(Liste_Materiel_RIA!A167="","","RIA - "&amp;Liste_Materiel_RIA!A167)</f>
        <v>RIA - Consommable</v>
      </c>
      <c r="B410" s="76" t="str">
        <f>Liste_Materiel_RIA!B167</f>
        <v>KOLMAT360</v>
      </c>
      <c r="C410" s="76" t="str">
        <f>Liste_Materiel_RIA!C167</f>
        <v>KOLMAT POT DE 360ML</v>
      </c>
      <c r="D410" s="76">
        <f>Liste_Materiel_RIA!D167</f>
        <v>0</v>
      </c>
      <c r="E410" s="76" t="str">
        <f>Liste_Materiel_RIA!E167</f>
        <v>pot</v>
      </c>
      <c r="F410" s="76" t="str">
        <f t="shared" si="9"/>
        <v/>
      </c>
      <c r="G410" s="76">
        <f>IF(AND(B406&lt;&gt;"",B406&lt;&gt;"Non trouvé - vérifier",D406&lt;&gt;"",D406&lt;&gt;0),IF(COUNTIF($B$2:B406,B406)=1,1,0),0)</f>
        <v>0</v>
      </c>
    </row>
    <row r="411" spans="1:7" x14ac:dyDescent="0.25">
      <c r="A411" s="76" t="str">
        <f>IF(Liste_Materiel_RIA!A168="","","RIA - "&amp;Liste_Materiel_RIA!A168)</f>
        <v>RIA - Consommable</v>
      </c>
      <c r="B411" s="76" t="str">
        <f>Liste_Materiel_RIA!B168</f>
        <v>FILASSE200</v>
      </c>
      <c r="C411" s="76" t="str">
        <f>Liste_Materiel_RIA!C168</f>
        <v>FILASSE POUPEE DE 200 GR</v>
      </c>
      <c r="D411" s="76">
        <f>Liste_Materiel_RIA!D168</f>
        <v>0</v>
      </c>
      <c r="E411" s="76" t="str">
        <f>Liste_Materiel_RIA!E168</f>
        <v>unité</v>
      </c>
      <c r="F411" s="76" t="str">
        <f t="shared" si="9"/>
        <v/>
      </c>
      <c r="G411" s="76">
        <f>IF(AND(B407&lt;&gt;"",B407&lt;&gt;"Non trouvé - vérifier",D407&lt;&gt;"",D407&lt;&gt;0),IF(COUNTIF($B$2:B407,B407)=1,1,0),0)</f>
        <v>0</v>
      </c>
    </row>
    <row r="412" spans="1:7" x14ac:dyDescent="0.25">
      <c r="A412" s="76" t="str">
        <f>IF(Liste_Materiel_RIA!A169="","","RIA - "&amp;Liste_Materiel_RIA!A169)</f>
        <v>RIA - Consommable</v>
      </c>
      <c r="B412" s="76" t="str">
        <f>Liste_Materiel_RIA!B169</f>
        <v>TEFLON</v>
      </c>
      <c r="C412" s="76" t="str">
        <f>Liste_Materiel_RIA!C169</f>
        <v>TEFLON</v>
      </c>
      <c r="D412" s="76">
        <f>Liste_Materiel_RIA!D169</f>
        <v>0</v>
      </c>
      <c r="E412" s="76" t="str">
        <f>Liste_Materiel_RIA!E169</f>
        <v>unité</v>
      </c>
      <c r="F412" s="76" t="str">
        <f t="shared" si="9"/>
        <v/>
      </c>
      <c r="G412" s="76">
        <f>IF(AND(B408&lt;&gt;"",B408&lt;&gt;"Non trouvé - vérifier",D408&lt;&gt;"",D408&lt;&gt;0),IF(COUNTIF($B$2:B408,B408)=1,1,0),0)</f>
        <v>0</v>
      </c>
    </row>
    <row r="413" spans="1:7" x14ac:dyDescent="0.25">
      <c r="A413" s="76" t="str">
        <f>IF(Liste_Materiel_RIA!A170="","","RIA - "&amp;Liste_Materiel_RIA!A170)</f>
        <v>RIA - Consommable</v>
      </c>
      <c r="B413" s="76" t="str">
        <f>Liste_Materiel_RIA!B170</f>
        <v>GRAISSEGRUVLOCK</v>
      </c>
      <c r="C413" s="76" t="str">
        <f>Liste_Materiel_RIA!C170</f>
        <v>GRAISSE GRUVLOCK RACCORD RAINURE 1 KG</v>
      </c>
      <c r="D413" s="76">
        <f>Liste_Materiel_RIA!D170</f>
        <v>0</v>
      </c>
      <c r="E413" s="76" t="str">
        <f>Liste_Materiel_RIA!E170</f>
        <v>kg</v>
      </c>
      <c r="F413" s="76" t="str">
        <f t="shared" si="9"/>
        <v/>
      </c>
      <c r="G413" s="76">
        <f>IF(AND(B409&lt;&gt;"",B409&lt;&gt;"Non trouvé - vérifier",D409&lt;&gt;"",D409&lt;&gt;0),IF(COUNTIF($B$2:B409,B409)=1,1,0),0)</f>
        <v>0</v>
      </c>
    </row>
    <row r="414" spans="1:7" x14ac:dyDescent="0.25">
      <c r="A414" s="76" t="str">
        <f>IF(Liste_Materiel_RIA!A171="","","RIA - "&amp;Liste_Materiel_RIA!A171)</f>
        <v>RIA - Consommable</v>
      </c>
      <c r="B414" s="76" t="str">
        <f>Liste_Materiel_RIA!B171</f>
        <v>PEINTBOMGALVA360</v>
      </c>
      <c r="C414" s="76" t="str">
        <f>Liste_Materiel_RIA!C171</f>
        <v>PEINTURE BOMBE GALVA BRILLANT</v>
      </c>
      <c r="D414" s="76">
        <f>Liste_Materiel_RIA!D171</f>
        <v>0</v>
      </c>
      <c r="E414" s="76" t="str">
        <f>Liste_Materiel_RIA!E171</f>
        <v>unité</v>
      </c>
      <c r="F414" s="76" t="str">
        <f t="shared" si="9"/>
        <v/>
      </c>
      <c r="G414" s="76">
        <f>IF(AND(B410&lt;&gt;"",B410&lt;&gt;"Non trouvé - vérifier",D410&lt;&gt;"",D410&lt;&gt;0),IF(COUNTIF($B$2:B410,B410)=1,1,0),0)</f>
        <v>0</v>
      </c>
    </row>
    <row r="415" spans="1:7" x14ac:dyDescent="0.25">
      <c r="A415" s="76" t="str">
        <f>IF(Liste_Materiel_RIA!A172="","","RIA - "&amp;Liste_Materiel_RIA!A172)</f>
        <v>RIA - Accessoires - FAVO</v>
      </c>
      <c r="B415" s="76" t="str">
        <f>Liste_Materiel_RIA!B172</f>
        <v>CPCTAGA04015</v>
      </c>
      <c r="C415" s="76" t="str">
        <f>Liste_Materiel_RIA!C172</f>
        <v>COLLIER PRISE EN CHARGE TA GA DN40X15</v>
      </c>
      <c r="D415" s="78">
        <f>Liste_Materiel_RIA!D172</f>
        <v>0</v>
      </c>
      <c r="E415" s="76" t="str">
        <f>Liste_Materiel_RIA!E172</f>
        <v>pce</v>
      </c>
      <c r="F415" s="76" t="str">
        <f t="shared" si="9"/>
        <v/>
      </c>
      <c r="G415" s="76">
        <f>IF(AND(B411&lt;&gt;"",B411&lt;&gt;"Non trouvé - vérifier",D411&lt;&gt;"",D411&lt;&gt;0),IF(COUNTIF($B$2:B411,B411)=1,1,0),0)</f>
        <v>0</v>
      </c>
    </row>
    <row r="416" spans="1:7" x14ac:dyDescent="0.25">
      <c r="A416" s="76" t="str">
        <f>IF(Liste_Materiel_RIA!A173="","","RIA - "&amp;Liste_Materiel_RIA!A173)</f>
        <v>RIA - Accessoires - FAVO</v>
      </c>
      <c r="B416" s="76" t="str">
        <f>Liste_Materiel_RIA!B173</f>
        <v>COUGR90VIMFGA015</v>
      </c>
      <c r="C416" s="76" t="str">
        <f>Liste_Materiel_RIA!C173</f>
        <v>COUDE 90°VISSER MF GALVA GRANDRAYON DN15</v>
      </c>
      <c r="D416" s="78">
        <f>Liste_Materiel_RIA!D173</f>
        <v>0</v>
      </c>
      <c r="E416" s="76" t="str">
        <f>Liste_Materiel_RIA!E173</f>
        <v>pce</v>
      </c>
      <c r="F416" s="76" t="str">
        <f t="shared" si="9"/>
        <v/>
      </c>
      <c r="G416" s="76">
        <f>IF(AND(B412&lt;&gt;"",B412&lt;&gt;"Non trouvé - vérifier",D412&lt;&gt;"",D412&lt;&gt;0),IF(COUNTIF($B$2:B412,B412)=1,1,0),0)</f>
        <v>0</v>
      </c>
    </row>
    <row r="417" spans="1:7" x14ac:dyDescent="0.25">
      <c r="A417" s="76" t="str">
        <f>IF(Liste_Materiel_RIA!A174="","","RIA - "&amp;Liste_Materiel_RIA!A174)</f>
        <v>RIA - Accessoires - FAVO</v>
      </c>
      <c r="B417" s="76" t="str">
        <f>Liste_Materiel_RIA!B174</f>
        <v>VANSPMFLA15MA</v>
      </c>
      <c r="C417" s="76" t="str">
        <f>Liste_Materiel_RIA!C174</f>
        <v>ROBINET PORTE MANO DN15</v>
      </c>
      <c r="D417" s="78">
        <f>Liste_Materiel_RIA!D174</f>
        <v>0</v>
      </c>
      <c r="E417" s="76" t="str">
        <f>Liste_Materiel_RIA!E174</f>
        <v>pce</v>
      </c>
      <c r="F417" s="76" t="str">
        <f t="shared" si="9"/>
        <v/>
      </c>
      <c r="G417" s="76">
        <f>IF(AND(B413&lt;&gt;"",B413&lt;&gt;"Non trouvé - vérifier",D413&lt;&gt;"",D413&lt;&gt;0),IF(COUNTIF($B$2:B413,B413)=1,1,0),0)</f>
        <v>0</v>
      </c>
    </row>
    <row r="418" spans="1:7" x14ac:dyDescent="0.25">
      <c r="A418" s="76" t="str">
        <f>IF(Liste_Materiel_RIA!A175="","","RIA - "&amp;Liste_Materiel_RIA!A175)</f>
        <v>RIA - Accessoires - FAVO</v>
      </c>
      <c r="B418" s="76" t="str">
        <f>Liste_Materiel_RIA!B175</f>
        <v>MANOAAI16</v>
      </c>
      <c r="C418" s="76" t="str">
        <f>Liste_Materiel_RIA!C175</f>
        <v>MANOMETRE 16 BARS LOGO AAI</v>
      </c>
      <c r="D418" s="78">
        <f>Liste_Materiel_RIA!D175</f>
        <v>0</v>
      </c>
      <c r="E418" s="76" t="str">
        <f>Liste_Materiel_RIA!E175</f>
        <v>pce</v>
      </c>
      <c r="F418" s="76" t="str">
        <f t="shared" si="9"/>
        <v/>
      </c>
      <c r="G418" s="76">
        <f>IF(AND(B414&lt;&gt;"",B414&lt;&gt;"Non trouvé - vérifier",D414&lt;&gt;"",D414&lt;&gt;0),IF(COUNTIF($B$2:B414,B414)=1,1,0),0)</f>
        <v>0</v>
      </c>
    </row>
    <row r="419" spans="1:7" x14ac:dyDescent="0.25">
      <c r="A419" s="76" t="str">
        <f>IF(Liste_Materiel_RIA!A176="","","RIA - "&amp;Liste_Materiel_RIA!A176)</f>
        <v>RIA - Accessoires - DEFAVO</v>
      </c>
      <c r="B419" s="76" t="str">
        <f>Liste_Materiel_RIA!B176</f>
        <v>CPCTAGA04015</v>
      </c>
      <c r="C419" s="76" t="str">
        <f>Liste_Materiel_RIA!C176</f>
        <v>COLLIER PRISE EN CHARGE TA GA DN40X15</v>
      </c>
      <c r="D419" s="78">
        <f>Liste_Materiel_RIA!D176</f>
        <v>0</v>
      </c>
      <c r="E419" s="76" t="str">
        <f>Liste_Materiel_RIA!E176</f>
        <v>pce</v>
      </c>
      <c r="F419" s="76" t="str">
        <f t="shared" si="9"/>
        <v/>
      </c>
      <c r="G419" s="76">
        <f>IF(AND(B415&lt;&gt;"",B415&lt;&gt;"Non trouvé - vérifier",D415&lt;&gt;"",D415&lt;&gt;0),IF(COUNTIF($B$2:B415,B415)=1,1,0),0)</f>
        <v>0</v>
      </c>
    </row>
    <row r="420" spans="1:7" x14ac:dyDescent="0.25">
      <c r="A420" s="76" t="str">
        <f>IF(Liste_Materiel_RIA!A177="","","RIA - "&amp;Liste_Materiel_RIA!A177)</f>
        <v>RIA - Accessoires - DEFAVO</v>
      </c>
      <c r="B420" s="76" t="str">
        <f>Liste_Materiel_RIA!B177</f>
        <v>COUGR90VIMFGA015</v>
      </c>
      <c r="C420" s="76" t="str">
        <f>Liste_Materiel_RIA!C177</f>
        <v>COUDE 90°VISSER MF GALVA GRANDRAYON DN15</v>
      </c>
      <c r="D420" s="78">
        <f>Liste_Materiel_RIA!D177</f>
        <v>0</v>
      </c>
      <c r="E420" s="76" t="str">
        <f>Liste_Materiel_RIA!E177</f>
        <v>pce</v>
      </c>
      <c r="F420" s="76" t="str">
        <f t="shared" si="9"/>
        <v/>
      </c>
      <c r="G420" s="76">
        <f>IF(AND(B416&lt;&gt;"",B416&lt;&gt;"Non trouvé - vérifier",D416&lt;&gt;"",D416&lt;&gt;0),IF(COUNTIF($B$2:B416,B416)=1,1,0),0)</f>
        <v>0</v>
      </c>
    </row>
    <row r="421" spans="1:7" x14ac:dyDescent="0.25">
      <c r="A421" s="76" t="str">
        <f>IF(Liste_Materiel_RIA!A178="","","RIA - "&amp;Liste_Materiel_RIA!A178)</f>
        <v>RIA - Accessoires - DEFAVO</v>
      </c>
      <c r="B421" s="76" t="str">
        <f>Liste_Materiel_RIA!B178</f>
        <v>VANSPMFLA15MA</v>
      </c>
      <c r="C421" s="76" t="str">
        <f>Liste_Materiel_RIA!C178</f>
        <v>ROBINET PORTE MANO DN15</v>
      </c>
      <c r="D421" s="78">
        <f>Liste_Materiel_RIA!D178</f>
        <v>0</v>
      </c>
      <c r="E421" s="76" t="str">
        <f>Liste_Materiel_RIA!E178</f>
        <v>pce</v>
      </c>
      <c r="F421" s="76" t="str">
        <f t="shared" si="9"/>
        <v/>
      </c>
      <c r="G421" s="76">
        <f>IF(AND(B417&lt;&gt;"",B417&lt;&gt;"Non trouvé - vérifier",D417&lt;&gt;"",D417&lt;&gt;0),IF(COUNTIF($B$2:B417,B417)=1,1,0),0)</f>
        <v>0</v>
      </c>
    </row>
    <row r="422" spans="1:7" x14ac:dyDescent="0.25">
      <c r="A422" s="76" t="str">
        <f>IF(Liste_Materiel_RIA!A179="","","RIA - "&amp;Liste_Materiel_RIA!A179)</f>
        <v>RIA - Accessoires - DEFAVO</v>
      </c>
      <c r="B422" s="76" t="str">
        <f>Liste_Materiel_RIA!B179</f>
        <v>MANOAAI16</v>
      </c>
      <c r="C422" s="76" t="str">
        <f>Liste_Materiel_RIA!C179</f>
        <v>MANOMETRE 16 BARS LOGO AAI</v>
      </c>
      <c r="D422" s="78">
        <f>Liste_Materiel_RIA!D179</f>
        <v>0</v>
      </c>
      <c r="E422" s="76" t="str">
        <f>Liste_Materiel_RIA!E179</f>
        <v>pce</v>
      </c>
      <c r="F422" s="76" t="str">
        <f t="shared" si="9"/>
        <v/>
      </c>
      <c r="G422" s="76">
        <f>IF(AND(B418&lt;&gt;"",B418&lt;&gt;"Non trouvé - vérifier",D418&lt;&gt;"",D418&lt;&gt;0),IF(COUNTIF($B$2:B418,B418)=1,1,0),0)</f>
        <v>0</v>
      </c>
    </row>
    <row r="423" spans="1:7" x14ac:dyDescent="0.25">
      <c r="A423" s="76" t="str">
        <f>IF(Liste_Materiel_RIA!A180="","","RIA - "&amp;Liste_Materiel_RIA!A180)</f>
        <v>RIA - Accessoires</v>
      </c>
      <c r="B423" s="76" t="str">
        <f>Liste_Materiel_RIA!B180</f>
        <v>RIAPOTEAU</v>
      </c>
      <c r="C423" s="76" t="str">
        <f>Liste_Materiel_RIA!C180</f>
        <v>POTEAU POUR RIA TOURNANT PIVOTANT</v>
      </c>
      <c r="D423" s="78">
        <f>Liste_Materiel_RIA!D180</f>
        <v>0</v>
      </c>
      <c r="E423" s="76" t="str">
        <f>Liste_Materiel_RIA!E180</f>
        <v>pce</v>
      </c>
      <c r="F423" s="76" t="str">
        <f t="shared" si="9"/>
        <v/>
      </c>
      <c r="G423" s="76">
        <f>IF(AND(B419&lt;&gt;"",B419&lt;&gt;"Non trouvé - vérifier",D419&lt;&gt;"",D419&lt;&gt;0),IF(COUNTIF($B$2:B419,B419)=1,1,0),0)</f>
        <v>0</v>
      </c>
    </row>
    <row r="424" spans="1:7" x14ac:dyDescent="0.25">
      <c r="A424" s="76" t="str">
        <f>IF(Liste_Materiel_RIA!A181="","","RIA - "&amp;Liste_Materiel_RIA!A181)</f>
        <v>RIA - Accessoires</v>
      </c>
      <c r="B424" s="76" t="str">
        <f>Liste_Materiel_RIA!B181</f>
        <v>Non trouvé - vérifier</v>
      </c>
      <c r="C424" s="76" t="str">
        <f>Liste_Materiel_RIA!C181</f>
        <v/>
      </c>
      <c r="D424" s="78">
        <f>Liste_Materiel_RIA!D181</f>
        <v>0</v>
      </c>
      <c r="E424" s="76" t="str">
        <f>Liste_Materiel_RIA!E181</f>
        <v>pce</v>
      </c>
      <c r="F424" s="76" t="str">
        <f t="shared" si="9"/>
        <v/>
      </c>
      <c r="G424" s="76">
        <f>IF(AND(B420&lt;&gt;"",B420&lt;&gt;"Non trouvé - vérifier",D420&lt;&gt;"",D420&lt;&gt;0),IF(COUNTIF($B$2:B420,B420)=1,1,0),0)</f>
        <v>0</v>
      </c>
    </row>
    <row r="425" spans="1:7" x14ac:dyDescent="0.25">
      <c r="A425" s="76" t="str">
        <f>IF(Liste_Materiel_RIA!A182="","","RIA - "&amp;Liste_Materiel_RIA!A182)</f>
        <v>RIA - Accessoires</v>
      </c>
      <c r="B425" s="76" t="str">
        <f>Liste_Materiel_RIA!B182</f>
        <v>Non trouvé - vérifier</v>
      </c>
      <c r="C425" s="76" t="str">
        <f>Liste_Materiel_RIA!C182</f>
        <v/>
      </c>
      <c r="D425" s="78">
        <f>Liste_Materiel_RIA!D182</f>
        <v>0</v>
      </c>
      <c r="E425" s="76" t="str">
        <f>Liste_Materiel_RIA!E182</f>
        <v>pce</v>
      </c>
      <c r="F425" s="76" t="str">
        <f t="shared" si="9"/>
        <v/>
      </c>
      <c r="G425" s="76">
        <f>IF(AND(B421&lt;&gt;"",B421&lt;&gt;"Non trouvé - vérifier",D421&lt;&gt;"",D421&lt;&gt;0),IF(COUNTIF($B$2:B421,B421)=1,1,0),0)</f>
        <v>0</v>
      </c>
    </row>
    <row r="426" spans="1:7" x14ac:dyDescent="0.25">
      <c r="A426" s="76" t="str">
        <f>IF(Liste_Materiel_RIA!A183="","","RIA - "&amp;Liste_Materiel_RIA!A183)</f>
        <v>RIA - Accessoires</v>
      </c>
      <c r="B426" s="76" t="str">
        <f>Liste_Materiel_RIA!B183</f>
        <v>Non trouvé - vérifier</v>
      </c>
      <c r="C426" s="76" t="str">
        <f>Liste_Materiel_RIA!C183</f>
        <v/>
      </c>
      <c r="D426" s="78">
        <f>Liste_Materiel_RIA!D183</f>
        <v>0</v>
      </c>
      <c r="E426" s="76" t="str">
        <f>Liste_Materiel_RIA!E183</f>
        <v>pce</v>
      </c>
      <c r="F426" s="76" t="str">
        <f t="shared" si="9"/>
        <v/>
      </c>
      <c r="G426" s="76">
        <f>IF(AND(B422&lt;&gt;"",B422&lt;&gt;"Non trouvé - vérifier",D422&lt;&gt;"",D422&lt;&gt;0),IF(COUNTIF($B$2:B422,B422)=1,1,0),0)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23"/>
  <sheetViews>
    <sheetView showGridLines="0" zoomScaleNormal="100" workbookViewId="0">
      <pane ySplit="2" topLeftCell="A3" activePane="bottomLeft" state="frozen"/>
      <selection pane="bottomLeft" activeCell="E13" sqref="E13"/>
    </sheetView>
  </sheetViews>
  <sheetFormatPr baseColWidth="10" defaultColWidth="8.5703125" defaultRowHeight="15" x14ac:dyDescent="0.25"/>
  <cols>
    <col min="1" max="1" width="17.140625" style="90" customWidth="1"/>
    <col min="2" max="2" width="49.5703125" customWidth="1"/>
    <col min="3" max="3" width="17.140625" style="91" customWidth="1"/>
    <col min="4" max="4" width="11.42578125" customWidth="1"/>
    <col min="5" max="5" width="17.140625" style="92" customWidth="1"/>
    <col min="6" max="6" width="19" style="93" hidden="1" customWidth="1"/>
    <col min="7" max="7" width="8.5703125" style="90"/>
    <col min="8" max="8" width="10.42578125" customWidth="1"/>
  </cols>
  <sheetData>
    <row r="1" spans="1:9" x14ac:dyDescent="0.25">
      <c r="A1" s="9" t="s">
        <v>1151</v>
      </c>
      <c r="B1" s="9"/>
      <c r="C1" s="9"/>
      <c r="D1" s="9"/>
      <c r="E1" s="94"/>
      <c r="F1" s="94"/>
      <c r="G1" s="9"/>
      <c r="H1" s="9"/>
      <c r="I1" s="9"/>
    </row>
    <row r="2" spans="1:9" ht="16.5" customHeight="1" x14ac:dyDescent="0.25">
      <c r="A2" s="95" t="s">
        <v>1026</v>
      </c>
      <c r="B2" s="95" t="s">
        <v>1027</v>
      </c>
      <c r="C2" s="95" t="s">
        <v>1152</v>
      </c>
      <c r="D2" s="95" t="s">
        <v>1029</v>
      </c>
      <c r="E2" s="95" t="s">
        <v>1153</v>
      </c>
      <c r="F2" s="96" t="s">
        <v>9</v>
      </c>
      <c r="G2" s="7"/>
      <c r="H2" s="97"/>
      <c r="I2" s="98" t="s">
        <v>1154</v>
      </c>
    </row>
    <row r="3" spans="1:9" x14ac:dyDescent="0.25">
      <c r="A3" s="99" t="str">
        <f>IFERROR(INDEX(Liste_Materiel_Combinee!$B:$B,(_xlfn.AGGREGATE(15,6,(ROW(Liste_Materiel_Combinee!$G$2:$G$426)-1)/(Liste_Materiel_Combinee!$G$2:$G$426=1),1)+1)),"")</f>
        <v/>
      </c>
      <c r="B3" s="100" t="str">
        <f>IFERROR(INDEX(Liste_Materiel_Combinee!$C:$C,(_xlfn.AGGREGATE(15,6,(ROW(Liste_Materiel_Combinee!$G$2:$G$426)-1)/(Liste_Materiel_Combinee!$G$2:$G$426=1),1)+1)),"")</f>
        <v/>
      </c>
      <c r="C3" s="100" t="str">
        <f>IF(IFERROR(INDEX(Liste_Materiel_Combinee!$F:$F,(_xlfn.AGGREGATE(15,6,(ROW(Liste_Materiel_Combinee!$G$2:$G$426)-1)/(Liste_Materiel_Combinee!$G$2:$G$426=1),1)+1)),"")="","",ROUNDUP(IFERROR(INDEX(Liste_Materiel_Combinee!$F:$F,(_xlfn.AGGREGATE(15,6,(ROW(Liste_Materiel_Combinee!$G$2:$G$426)-1)/(Liste_Materiel_Combinee!$G$2:$G$426=1),1)+1)),""),0))</f>
        <v/>
      </c>
      <c r="D3" s="100" t="str">
        <f>IF($H$5="EFFACER","",IFERROR(INDEX(Liste_Materiel_Combinee!$E:$E,(_xlfn.AGGREGATE(15,6,(ROW(Liste_Materiel_Combinee!$G$2:$G$426)-1)/(Liste_Materiel_Combinee!$G$2:$G$426=1),1)+1)),""))</f>
        <v/>
      </c>
      <c r="E3" s="101">
        <f t="shared" ref="E3:E66" si="0">$H$2</f>
        <v>0</v>
      </c>
      <c r="F3" s="100" t="str">
        <f>IFERROR(INDEX(Catalogue!$K:$K,MATCH(A3,Catalogue!$A:$A,0)),"")</f>
        <v/>
      </c>
      <c r="G3" s="102"/>
      <c r="H3" s="7"/>
      <c r="I3" s="7"/>
    </row>
    <row r="4" spans="1:9" ht="15.75" customHeight="1" x14ac:dyDescent="0.25">
      <c r="A4" s="103" t="str">
        <f>IFERROR(INDEX(Liste_Materiel_Combinee!$B:$B,(_xlfn.AGGREGATE(15,6,(ROW(Liste_Materiel_Combinee!$G$2:$G$426)-1)/(Liste_Materiel_Combinee!$G$2:$G$426=1),2)+1)),"")</f>
        <v/>
      </c>
      <c r="B4" s="104" t="str">
        <f>IFERROR(INDEX(Liste_Materiel_Combinee!$C:$C,(_xlfn.AGGREGATE(15,6,(ROW(Liste_Materiel_Combinee!$G$2:$G$426)-1)/(Liste_Materiel_Combinee!$G$2:$G$426=1),2)+1)),"")</f>
        <v/>
      </c>
      <c r="C4" s="104" t="str">
        <f>IF(IFERROR(INDEX(Liste_Materiel_Combinee!$F:$F,(_xlfn.AGGREGATE(15,6,(ROW(Liste_Materiel_Combinee!$G$2:$G$426)-1)/(Liste_Materiel_Combinee!$G$2:$G$426=1),2)+1)),"")="","",ROUNDUP(IFERROR(INDEX(Liste_Materiel_Combinee!$F:$F,(_xlfn.AGGREGATE(15,6,(ROW(Liste_Materiel_Combinee!$G$2:$G$426)-1)/(Liste_Materiel_Combinee!$G$2:$G$426=1),2)+1)),""),0))</f>
        <v/>
      </c>
      <c r="D4" s="104" t="str">
        <f>IF($H$5="EFFACER","",IFERROR(INDEX(Liste_Materiel_Combinee!$E:$E,(_xlfn.AGGREGATE(15,6,(ROW(Liste_Materiel_Combinee!$G$2:$G$426)-1)/(Liste_Materiel_Combinee!$G$2:$G$426=1),2)+1)),""))</f>
        <v/>
      </c>
      <c r="E4" s="105">
        <f t="shared" si="0"/>
        <v>0</v>
      </c>
      <c r="F4" s="104" t="str">
        <f>IFERROR(INDEX(Catalogue!$K:$K,MATCH(A4,Catalogue!$A:$A,0)),"")</f>
        <v/>
      </c>
      <c r="G4" s="102"/>
      <c r="H4" s="7"/>
      <c r="I4" s="7"/>
    </row>
    <row r="5" spans="1:9" ht="15.75" customHeight="1" x14ac:dyDescent="0.25">
      <c r="A5" s="103" t="str">
        <f>IFERROR(INDEX(Liste_Materiel_Combinee!$B:$B,(_xlfn.AGGREGATE(15,6,(ROW(Liste_Materiel_Combinee!$G$2:$G$426)-1)/(Liste_Materiel_Combinee!$G$2:$G$426=1),3)+1)),"")</f>
        <v/>
      </c>
      <c r="B5" s="104" t="str">
        <f>IFERROR(INDEX(Liste_Materiel_Combinee!$C:$C,(_xlfn.AGGREGATE(15,6,(ROW(Liste_Materiel_Combinee!$G$2:$G$426)-1)/(Liste_Materiel_Combinee!$G$2:$G$426=1),3)+1)),"")</f>
        <v/>
      </c>
      <c r="C5" s="104" t="str">
        <f>IF(IFERROR(INDEX(Liste_Materiel_Combinee!$F:$F,(_xlfn.AGGREGATE(15,6,(ROW(Liste_Materiel_Combinee!$G$2:$G$426)-1)/(Liste_Materiel_Combinee!$G$2:$G$426=1),3)+1)),"")="","",ROUNDUP(IFERROR(INDEX(Liste_Materiel_Combinee!$F:$F,(_xlfn.AGGREGATE(15,6,(ROW(Liste_Materiel_Combinee!$G$2:$G$426)-1)/(Liste_Materiel_Combinee!$G$2:$G$426=1),3)+1)),""),0))</f>
        <v/>
      </c>
      <c r="D5" s="104" t="str">
        <f>IF($H$5="EFFACER","",IFERROR(INDEX(Liste_Materiel_Combinee!$E:$E,(_xlfn.AGGREGATE(15,6,(ROW(Liste_Materiel_Combinee!$G$2:$G$426)-1)/(Liste_Materiel_Combinee!$G$2:$G$426=1),3)+1)),""))</f>
        <v/>
      </c>
      <c r="E5" s="105">
        <f t="shared" si="0"/>
        <v>0</v>
      </c>
      <c r="F5" s="104" t="str">
        <f>IFERROR(INDEX(Catalogue!$K:$K,MATCH(A5,Catalogue!$A:$A,0)),"")</f>
        <v/>
      </c>
      <c r="G5" s="106" t="s">
        <v>1155</v>
      </c>
      <c r="H5" s="107" t="s">
        <v>1156</v>
      </c>
      <c r="I5" s="7"/>
    </row>
    <row r="6" spans="1:9" x14ac:dyDescent="0.25">
      <c r="A6" s="103" t="str">
        <f>IFERROR(INDEX(Liste_Materiel_Combinee!$B:$B,(_xlfn.AGGREGATE(15,6,(ROW(Liste_Materiel_Combinee!$G$2:$G$426)-1)/(Liste_Materiel_Combinee!$G$2:$G$426=1),4)+1)),"")</f>
        <v/>
      </c>
      <c r="B6" s="104" t="str">
        <f>IFERROR(INDEX(Liste_Materiel_Combinee!$C:$C,(_xlfn.AGGREGATE(15,6,(ROW(Liste_Materiel_Combinee!$G$2:$G$426)-1)/(Liste_Materiel_Combinee!$G$2:$G$426=1),4)+1)),"")</f>
        <v/>
      </c>
      <c r="C6" s="104" t="str">
        <f>IF(IFERROR(INDEX(Liste_Materiel_Combinee!$F:$F,(_xlfn.AGGREGATE(15,6,(ROW(Liste_Materiel_Combinee!$G$2:$G$426)-1)/(Liste_Materiel_Combinee!$G$2:$G$426=1),4)+1)),"")="","",ROUNDUP(IFERROR(INDEX(Liste_Materiel_Combinee!$F:$F,(_xlfn.AGGREGATE(15,6,(ROW(Liste_Materiel_Combinee!$G$2:$G$426)-1)/(Liste_Materiel_Combinee!$G$2:$G$426=1),4)+1)),""),0))</f>
        <v/>
      </c>
      <c r="D6" s="104" t="str">
        <f>IF($H$5="EFFACER","",IFERROR(INDEX(Liste_Materiel_Combinee!$E:$E,(_xlfn.AGGREGATE(15,6,(ROW(Liste_Materiel_Combinee!$G$2:$G$426)-1)/(Liste_Materiel_Combinee!$G$2:$G$426=1),4)+1)),""))</f>
        <v/>
      </c>
      <c r="E6" s="105">
        <f>$H$2</f>
        <v>0</v>
      </c>
      <c r="F6" s="104" t="str">
        <f>IFERROR(INDEX(Catalogue!$K:$K,MATCH(A6,Catalogue!$A:$A,0)),"")</f>
        <v/>
      </c>
      <c r="G6" s="102"/>
      <c r="H6" s="7"/>
      <c r="I6" s="7"/>
    </row>
    <row r="7" spans="1:9" x14ac:dyDescent="0.25">
      <c r="A7" s="103" t="str">
        <f>IFERROR(INDEX(Liste_Materiel_Combinee!$B:$B,(_xlfn.AGGREGATE(15,6,(ROW(Liste_Materiel_Combinee!$G$2:$G$426)-1)/(Liste_Materiel_Combinee!$G$2:$G$426=1),5)+1)),"")</f>
        <v/>
      </c>
      <c r="B7" s="104" t="str">
        <f>IFERROR(INDEX(Liste_Materiel_Combinee!$C:$C,(_xlfn.AGGREGATE(15,6,(ROW(Liste_Materiel_Combinee!$G$2:$G$426)-1)/(Liste_Materiel_Combinee!$G$2:$G$426=1),5)+1)),"")</f>
        <v/>
      </c>
      <c r="C7" s="104" t="str">
        <f>IF(IFERROR(INDEX(Liste_Materiel_Combinee!$F:$F,(_xlfn.AGGREGATE(15,6,(ROW(Liste_Materiel_Combinee!$G$2:$G$426)-1)/(Liste_Materiel_Combinee!$G$2:$G$426=1),5)+1)),"")="","",ROUNDUP(IFERROR(INDEX(Liste_Materiel_Combinee!$F:$F,(_xlfn.AGGREGATE(15,6,(ROW(Liste_Materiel_Combinee!$G$2:$G$426)-1)/(Liste_Materiel_Combinee!$G$2:$G$426=1),5)+1)),""),0))</f>
        <v/>
      </c>
      <c r="D7" s="104" t="str">
        <f>IF($H$5="EFFACER","",IFERROR(INDEX(Liste_Materiel_Combinee!$E:$E,(_xlfn.AGGREGATE(15,6,(ROW(Liste_Materiel_Combinee!$G$2:$G$426)-1)/(Liste_Materiel_Combinee!$G$2:$G$426=1),5)+1)),""))</f>
        <v/>
      </c>
      <c r="E7" s="105">
        <f t="shared" si="0"/>
        <v>0</v>
      </c>
      <c r="F7" s="104" t="str">
        <f>IFERROR(INDEX(Catalogue!$K:$K,MATCH(A7,Catalogue!$A:$A,0)),"")</f>
        <v/>
      </c>
      <c r="G7" s="102"/>
      <c r="H7" s="7"/>
      <c r="I7" s="7"/>
    </row>
    <row r="8" spans="1:9" x14ac:dyDescent="0.25">
      <c r="A8" s="103" t="str">
        <f>IFERROR(INDEX(Liste_Materiel_Combinee!$B:$B,(_xlfn.AGGREGATE(15,6,(ROW(Liste_Materiel_Combinee!$G$2:$G$426)-1)/(Liste_Materiel_Combinee!$G$2:$G$426=1),6)+1)),"")</f>
        <v/>
      </c>
      <c r="B8" s="104" t="str">
        <f>IFERROR(INDEX(Liste_Materiel_Combinee!$C:$C,(_xlfn.AGGREGATE(15,6,(ROW(Liste_Materiel_Combinee!$G$2:$G$426)-1)/(Liste_Materiel_Combinee!$G$2:$G$426=1),6)+1)),"")</f>
        <v/>
      </c>
      <c r="C8" s="104" t="str">
        <f>IF(IFERROR(INDEX(Liste_Materiel_Combinee!$F:$F,(_xlfn.AGGREGATE(15,6,(ROW(Liste_Materiel_Combinee!$G$2:$G$426)-1)/(Liste_Materiel_Combinee!$G$2:$G$426=1),6)+1)),"")="","",ROUNDUP(IFERROR(INDEX(Liste_Materiel_Combinee!$F:$F,(_xlfn.AGGREGATE(15,6,(ROW(Liste_Materiel_Combinee!$G$2:$G$426)-1)/(Liste_Materiel_Combinee!$G$2:$G$426=1),6)+1)),""),0))</f>
        <v/>
      </c>
      <c r="D8" s="104" t="str">
        <f>IF($H$5="EFFACER","",IFERROR(INDEX(Liste_Materiel_Combinee!$E:$E,(_xlfn.AGGREGATE(15,6,(ROW(Liste_Materiel_Combinee!$G$2:$G$426)-1)/(Liste_Materiel_Combinee!$G$2:$G$426=1),6)+1)),""))</f>
        <v/>
      </c>
      <c r="E8" s="105">
        <f t="shared" si="0"/>
        <v>0</v>
      </c>
      <c r="F8" s="104" t="str">
        <f>IFERROR(INDEX(Catalogue!$K:$K,MATCH(A8,Catalogue!$A:$A,0)),"")</f>
        <v/>
      </c>
      <c r="G8" s="102"/>
      <c r="H8" s="7"/>
      <c r="I8" s="7"/>
    </row>
    <row r="9" spans="1:9" x14ac:dyDescent="0.25">
      <c r="A9" s="103" t="str">
        <f>IFERROR(INDEX(Liste_Materiel_Combinee!$B:$B,(_xlfn.AGGREGATE(15,6,(ROW(Liste_Materiel_Combinee!$G$2:$G$426)-1)/(Liste_Materiel_Combinee!$G$2:$G$426=1),7)+1)),"")</f>
        <v/>
      </c>
      <c r="B9" s="104" t="str">
        <f>IFERROR(INDEX(Liste_Materiel_Combinee!$C:$C,(_xlfn.AGGREGATE(15,6,(ROW(Liste_Materiel_Combinee!$G$2:$G$426)-1)/(Liste_Materiel_Combinee!$G$2:$G$426=1),7)+1)),"")</f>
        <v/>
      </c>
      <c r="C9" s="104" t="str">
        <f>IF(IFERROR(INDEX(Liste_Materiel_Combinee!$F:$F,(_xlfn.AGGREGATE(15,6,(ROW(Liste_Materiel_Combinee!$G$2:$G$426)-1)/(Liste_Materiel_Combinee!$G$2:$G$426=1),7)+1)),"")="","",ROUNDUP(IFERROR(INDEX(Liste_Materiel_Combinee!$F:$F,(_xlfn.AGGREGATE(15,6,(ROW(Liste_Materiel_Combinee!$G$2:$G$426)-1)/(Liste_Materiel_Combinee!$G$2:$G$426=1),7)+1)),""),0))</f>
        <v/>
      </c>
      <c r="D9" s="104" t="str">
        <f>IF($H$5="EFFACER","",IFERROR(INDEX(Liste_Materiel_Combinee!$E:$E,(_xlfn.AGGREGATE(15,6,(ROW(Liste_Materiel_Combinee!$G$2:$G$426)-1)/(Liste_Materiel_Combinee!$G$2:$G$426=1),7)+1)),""))</f>
        <v/>
      </c>
      <c r="E9" s="105">
        <f t="shared" si="0"/>
        <v>0</v>
      </c>
      <c r="F9" s="104" t="str">
        <f>IFERROR(INDEX(Catalogue!$K:$K,MATCH(A9,Catalogue!$A:$A,0)),"")</f>
        <v/>
      </c>
      <c r="G9" s="102"/>
      <c r="H9" s="7"/>
      <c r="I9" s="7"/>
    </row>
    <row r="10" spans="1:9" x14ac:dyDescent="0.25">
      <c r="A10" s="103" t="str">
        <f>IFERROR(INDEX(Liste_Materiel_Combinee!$B:$B,(_xlfn.AGGREGATE(15,6,(ROW(Liste_Materiel_Combinee!$G$2:$G$426)-1)/(Liste_Materiel_Combinee!$G$2:$G$426=1),8)+1)),"")</f>
        <v/>
      </c>
      <c r="B10" s="104" t="str">
        <f>IFERROR(INDEX(Liste_Materiel_Combinee!$C:$C,(_xlfn.AGGREGATE(15,6,(ROW(Liste_Materiel_Combinee!$G$2:$G$426)-1)/(Liste_Materiel_Combinee!$G$2:$G$426=1),8)+1)),"")</f>
        <v/>
      </c>
      <c r="C10" s="104" t="str">
        <f>IF(IFERROR(INDEX(Liste_Materiel_Combinee!$F:$F,(_xlfn.AGGREGATE(15,6,(ROW(Liste_Materiel_Combinee!$G$2:$G$426)-1)/(Liste_Materiel_Combinee!$G$2:$G$426=1),8)+1)),"")="","",ROUNDUP(IFERROR(INDEX(Liste_Materiel_Combinee!$F:$F,(_xlfn.AGGREGATE(15,6,(ROW(Liste_Materiel_Combinee!$G$2:$G$426)-1)/(Liste_Materiel_Combinee!$G$2:$G$426=1),8)+1)),""),0))</f>
        <v/>
      </c>
      <c r="D10" s="104" t="str">
        <f>IF($H$5="EFFACER","",IFERROR(INDEX(Liste_Materiel_Combinee!$E:$E,(_xlfn.AGGREGATE(15,6,(ROW(Liste_Materiel_Combinee!$G$2:$G$426)-1)/(Liste_Materiel_Combinee!$G$2:$G$426=1),8)+1)),""))</f>
        <v/>
      </c>
      <c r="E10" s="105">
        <f t="shared" si="0"/>
        <v>0</v>
      </c>
      <c r="F10" s="104" t="str">
        <f>IFERROR(INDEX(Catalogue!$K:$K,MATCH(A10,Catalogue!$A:$A,0)),"")</f>
        <v/>
      </c>
      <c r="G10" s="102"/>
      <c r="H10" s="7"/>
      <c r="I10" s="7"/>
    </row>
    <row r="11" spans="1:9" x14ac:dyDescent="0.25">
      <c r="A11" s="103" t="str">
        <f>IFERROR(INDEX(Liste_Materiel_Combinee!$B:$B,(_xlfn.AGGREGATE(15,6,(ROW(Liste_Materiel_Combinee!$G$2:$G$426)-1)/(Liste_Materiel_Combinee!$G$2:$G$426=1),9)+1)),"")</f>
        <v/>
      </c>
      <c r="B11" s="104" t="str">
        <f>IFERROR(INDEX(Liste_Materiel_Combinee!$C:$C,(_xlfn.AGGREGATE(15,6,(ROW(Liste_Materiel_Combinee!$G$2:$G$426)-1)/(Liste_Materiel_Combinee!$G$2:$G$426=1),9)+1)),"")</f>
        <v/>
      </c>
      <c r="C11" s="104" t="str">
        <f>IF(IFERROR(INDEX(Liste_Materiel_Combinee!$F:$F,(_xlfn.AGGREGATE(15,6,(ROW(Liste_Materiel_Combinee!$G$2:$G$426)-1)/(Liste_Materiel_Combinee!$G$2:$G$426=1),9)+1)),"")="","",ROUNDUP(IFERROR(INDEX(Liste_Materiel_Combinee!$F:$F,(_xlfn.AGGREGATE(15,6,(ROW(Liste_Materiel_Combinee!$G$2:$G$426)-1)/(Liste_Materiel_Combinee!$G$2:$G$426=1),9)+1)),""),0))</f>
        <v/>
      </c>
      <c r="D11" s="104" t="str">
        <f>IF($H$5="EFFACER","",IFERROR(INDEX(Liste_Materiel_Combinee!$E:$E,(_xlfn.AGGREGATE(15,6,(ROW(Liste_Materiel_Combinee!$G$2:$G$426)-1)/(Liste_Materiel_Combinee!$G$2:$G$426=1),9)+1)),""))</f>
        <v/>
      </c>
      <c r="E11" s="105">
        <f t="shared" si="0"/>
        <v>0</v>
      </c>
      <c r="F11" s="104" t="str">
        <f>IFERROR(INDEX(Catalogue!$K:$K,MATCH(A11,Catalogue!$A:$A,0)),"")</f>
        <v/>
      </c>
      <c r="G11" s="102"/>
      <c r="H11" s="7"/>
      <c r="I11" s="7"/>
    </row>
    <row r="12" spans="1:9" x14ac:dyDescent="0.25">
      <c r="A12" s="103" t="str">
        <f>IFERROR(INDEX(Liste_Materiel_Combinee!$B:$B,(_xlfn.AGGREGATE(15,6,(ROW(Liste_Materiel_Combinee!$G$2:$G$426)-1)/(Liste_Materiel_Combinee!$G$2:$G$426=1),10)+1)),"")</f>
        <v/>
      </c>
      <c r="B12" s="104" t="str">
        <f>IFERROR(INDEX(Liste_Materiel_Combinee!$C:$C,(_xlfn.AGGREGATE(15,6,(ROW(Liste_Materiel_Combinee!$G$2:$G$426)-1)/(Liste_Materiel_Combinee!$G$2:$G$426=1),10)+1)),"")</f>
        <v/>
      </c>
      <c r="C12" s="104" t="str">
        <f>IF(IFERROR(INDEX(Liste_Materiel_Combinee!$F:$F,(_xlfn.AGGREGATE(15,6,(ROW(Liste_Materiel_Combinee!$G$2:$G$426)-1)/(Liste_Materiel_Combinee!$G$2:$G$426=1),10)+1)),"")="","",ROUNDUP(IFERROR(INDEX(Liste_Materiel_Combinee!$F:$F,(_xlfn.AGGREGATE(15,6,(ROW(Liste_Materiel_Combinee!$G$2:$G$426)-1)/(Liste_Materiel_Combinee!$G$2:$G$426=1),10)+1)),""),0))</f>
        <v/>
      </c>
      <c r="D12" s="104" t="str">
        <f>IF($H$5="EFFACER","",IFERROR(INDEX(Liste_Materiel_Combinee!$E:$E,(_xlfn.AGGREGATE(15,6,(ROW(Liste_Materiel_Combinee!$G$2:$G$426)-1)/(Liste_Materiel_Combinee!$G$2:$G$426=1),10)+1)),""))</f>
        <v/>
      </c>
      <c r="E12" s="105">
        <f t="shared" si="0"/>
        <v>0</v>
      </c>
      <c r="F12" s="104" t="str">
        <f>IFERROR(INDEX(Catalogue!$K:$K,MATCH(A12,Catalogue!$A:$A,0)),"")</f>
        <v/>
      </c>
      <c r="G12" s="102"/>
      <c r="H12" s="7"/>
      <c r="I12" s="7"/>
    </row>
    <row r="13" spans="1:9" x14ac:dyDescent="0.25">
      <c r="A13" s="103" t="str">
        <f>IFERROR(INDEX(Liste_Materiel_Combinee!$B:$B,(_xlfn.AGGREGATE(15,6,(ROW(Liste_Materiel_Combinee!$G$2:$G$426)-1)/(Liste_Materiel_Combinee!$G$2:$G$426=1),11)+1)),"")</f>
        <v/>
      </c>
      <c r="B13" s="104" t="str">
        <f>IFERROR(INDEX(Liste_Materiel_Combinee!$C:$C,(_xlfn.AGGREGATE(15,6,(ROW(Liste_Materiel_Combinee!$G$2:$G$426)-1)/(Liste_Materiel_Combinee!$G$2:$G$426=1),11)+1)),"")</f>
        <v/>
      </c>
      <c r="C13" s="104" t="str">
        <f>IF(IFERROR(INDEX(Liste_Materiel_Combinee!$F:$F,(_xlfn.AGGREGATE(15,6,(ROW(Liste_Materiel_Combinee!$G$2:$G$426)-1)/(Liste_Materiel_Combinee!$G$2:$G$426=1),11)+1)),"")="","",ROUNDUP(IFERROR(INDEX(Liste_Materiel_Combinee!$F:$F,(_xlfn.AGGREGATE(15,6,(ROW(Liste_Materiel_Combinee!$G$2:$G$426)-1)/(Liste_Materiel_Combinee!$G$2:$G$426=1),11)+1)),""),0))</f>
        <v/>
      </c>
      <c r="D13" s="104" t="str">
        <f>IF($H$5="EFFACER","",IFERROR(INDEX(Liste_Materiel_Combinee!$E:$E,(_xlfn.AGGREGATE(15,6,(ROW(Liste_Materiel_Combinee!$G$2:$G$426)-1)/(Liste_Materiel_Combinee!$G$2:$G$426=1),11)+1)),""))</f>
        <v/>
      </c>
      <c r="E13" s="105">
        <f t="shared" si="0"/>
        <v>0</v>
      </c>
      <c r="F13" s="104" t="str">
        <f>IFERROR(INDEX(Catalogue!$K:$K,MATCH(A13,Catalogue!$A:$A,0)),"")</f>
        <v/>
      </c>
      <c r="G13" s="102"/>
      <c r="H13" s="7"/>
      <c r="I13" s="7"/>
    </row>
    <row r="14" spans="1:9" x14ac:dyDescent="0.25">
      <c r="A14" s="103" t="str">
        <f>IFERROR(INDEX(Liste_Materiel_Combinee!$B:$B,(_xlfn.AGGREGATE(15,6,(ROW(Liste_Materiel_Combinee!$G$2:$G$426)-1)/(Liste_Materiel_Combinee!$G$2:$G$426=1),12)+1)),"")</f>
        <v/>
      </c>
      <c r="B14" s="104" t="str">
        <f>IFERROR(INDEX(Liste_Materiel_Combinee!$C:$C,(_xlfn.AGGREGATE(15,6,(ROW(Liste_Materiel_Combinee!$G$2:$G$426)-1)/(Liste_Materiel_Combinee!$G$2:$G$426=1),12)+1)),"")</f>
        <v/>
      </c>
      <c r="C14" s="104" t="str">
        <f>IF(IFERROR(INDEX(Liste_Materiel_Combinee!$F:$F,(_xlfn.AGGREGATE(15,6,(ROW(Liste_Materiel_Combinee!$G$2:$G$426)-1)/(Liste_Materiel_Combinee!$G$2:$G$426=1),12)+1)),"")="","",ROUNDUP(IFERROR(INDEX(Liste_Materiel_Combinee!$F:$F,(_xlfn.AGGREGATE(15,6,(ROW(Liste_Materiel_Combinee!$G$2:$G$426)-1)/(Liste_Materiel_Combinee!$G$2:$G$426=1),12)+1)),""),0))</f>
        <v/>
      </c>
      <c r="D14" s="104" t="str">
        <f>IF($H$5="EFFACER","",IFERROR(INDEX(Liste_Materiel_Combinee!$E:$E,(_xlfn.AGGREGATE(15,6,(ROW(Liste_Materiel_Combinee!$G$2:$G$426)-1)/(Liste_Materiel_Combinee!$G$2:$G$426=1),12)+1)),""))</f>
        <v/>
      </c>
      <c r="E14" s="105">
        <f t="shared" si="0"/>
        <v>0</v>
      </c>
      <c r="F14" s="104" t="str">
        <f>IFERROR(INDEX(Catalogue!$K:$K,MATCH(A14,Catalogue!$A:$A,0)),"")</f>
        <v/>
      </c>
      <c r="G14" s="102"/>
      <c r="H14" s="7"/>
      <c r="I14" s="7"/>
    </row>
    <row r="15" spans="1:9" x14ac:dyDescent="0.25">
      <c r="A15" s="103" t="str">
        <f>IFERROR(INDEX(Liste_Materiel_Combinee!$B:$B,(_xlfn.AGGREGATE(15,6,(ROW(Liste_Materiel_Combinee!$G$2:$G$426)-1)/(Liste_Materiel_Combinee!$G$2:$G$426=1),13)+1)),"")</f>
        <v/>
      </c>
      <c r="B15" s="104" t="str">
        <f>IFERROR(INDEX(Liste_Materiel_Combinee!$C:$C,(_xlfn.AGGREGATE(15,6,(ROW(Liste_Materiel_Combinee!$G$2:$G$426)-1)/(Liste_Materiel_Combinee!$G$2:$G$426=1),13)+1)),"")</f>
        <v/>
      </c>
      <c r="C15" s="104" t="str">
        <f>IF(IFERROR(INDEX(Liste_Materiel_Combinee!$F:$F,(_xlfn.AGGREGATE(15,6,(ROW(Liste_Materiel_Combinee!$G$2:$G$426)-1)/(Liste_Materiel_Combinee!$G$2:$G$426=1),13)+1)),"")="","",ROUNDUP(IFERROR(INDEX(Liste_Materiel_Combinee!$F:$F,(_xlfn.AGGREGATE(15,6,(ROW(Liste_Materiel_Combinee!$G$2:$G$426)-1)/(Liste_Materiel_Combinee!$G$2:$G$426=1),13)+1)),""),0))</f>
        <v/>
      </c>
      <c r="D15" s="104" t="str">
        <f>IF($H$5="EFFACER","",IFERROR(INDEX(Liste_Materiel_Combinee!$E:$E,(_xlfn.AGGREGATE(15,6,(ROW(Liste_Materiel_Combinee!$G$2:$G$426)-1)/(Liste_Materiel_Combinee!$G$2:$G$426=1),13)+1)),""))</f>
        <v/>
      </c>
      <c r="E15" s="105">
        <f t="shared" si="0"/>
        <v>0</v>
      </c>
      <c r="F15" s="104" t="str">
        <f>IFERROR(INDEX(Catalogue!$K:$K,MATCH(A15,Catalogue!$A:$A,0)),"")</f>
        <v/>
      </c>
      <c r="G15" s="102"/>
      <c r="H15" s="7"/>
      <c r="I15" s="7"/>
    </row>
    <row r="16" spans="1:9" x14ac:dyDescent="0.25">
      <c r="A16" s="103" t="str">
        <f>IFERROR(INDEX(Liste_Materiel_Combinee!$B:$B,(_xlfn.AGGREGATE(15,6,(ROW(Liste_Materiel_Combinee!$G$2:$G$426)-1)/(Liste_Materiel_Combinee!$G$2:$G$426=1),14)+1)),"")</f>
        <v/>
      </c>
      <c r="B16" s="104" t="str">
        <f>IFERROR(INDEX(Liste_Materiel_Combinee!$C:$C,(_xlfn.AGGREGATE(15,6,(ROW(Liste_Materiel_Combinee!$G$2:$G$426)-1)/(Liste_Materiel_Combinee!$G$2:$G$426=1),14)+1)),"")</f>
        <v/>
      </c>
      <c r="C16" s="104" t="str">
        <f>IF(IFERROR(INDEX(Liste_Materiel_Combinee!$F:$F,(_xlfn.AGGREGATE(15,6,(ROW(Liste_Materiel_Combinee!$G$2:$G$426)-1)/(Liste_Materiel_Combinee!$G$2:$G$426=1),14)+1)),"")="","",ROUNDUP(IFERROR(INDEX(Liste_Materiel_Combinee!$F:$F,(_xlfn.AGGREGATE(15,6,(ROW(Liste_Materiel_Combinee!$G$2:$G$426)-1)/(Liste_Materiel_Combinee!$G$2:$G$426=1),14)+1)),""),0))</f>
        <v/>
      </c>
      <c r="D16" s="104" t="str">
        <f>IF($H$5="EFFACER","",IFERROR(INDEX(Liste_Materiel_Combinee!$E:$E,(_xlfn.AGGREGATE(15,6,(ROW(Liste_Materiel_Combinee!$G$2:$G$426)-1)/(Liste_Materiel_Combinee!$G$2:$G$426=1),14)+1)),""))</f>
        <v/>
      </c>
      <c r="E16" s="105">
        <f t="shared" si="0"/>
        <v>0</v>
      </c>
      <c r="F16" s="104" t="str">
        <f>IFERROR(INDEX(Catalogue!$K:$K,MATCH(A16,Catalogue!$A:$A,0)),"")</f>
        <v/>
      </c>
      <c r="G16" s="102"/>
      <c r="H16" s="7"/>
      <c r="I16" s="7"/>
    </row>
    <row r="17" spans="1:9" x14ac:dyDescent="0.25">
      <c r="A17" s="103" t="str">
        <f>IFERROR(INDEX(Liste_Materiel_Combinee!$B:$B,(_xlfn.AGGREGATE(15,6,(ROW(Liste_Materiel_Combinee!$G$2:$G$426)-1)/(Liste_Materiel_Combinee!$G$2:$G$426=1),15)+1)),"")</f>
        <v/>
      </c>
      <c r="B17" s="104" t="str">
        <f>IFERROR(INDEX(Liste_Materiel_Combinee!$C:$C,(_xlfn.AGGREGATE(15,6,(ROW(Liste_Materiel_Combinee!$G$2:$G$426)-1)/(Liste_Materiel_Combinee!$G$2:$G$426=1),15)+1)),"")</f>
        <v/>
      </c>
      <c r="C17" s="104" t="str">
        <f>IF(IFERROR(INDEX(Liste_Materiel_Combinee!$F:$F,(_xlfn.AGGREGATE(15,6,(ROW(Liste_Materiel_Combinee!$G$2:$G$426)-1)/(Liste_Materiel_Combinee!$G$2:$G$426=1),15)+1)),"")="","",ROUNDUP(IFERROR(INDEX(Liste_Materiel_Combinee!$F:$F,(_xlfn.AGGREGATE(15,6,(ROW(Liste_Materiel_Combinee!$G$2:$G$426)-1)/(Liste_Materiel_Combinee!$G$2:$G$426=1),15)+1)),""),0))</f>
        <v/>
      </c>
      <c r="D17" s="104" t="str">
        <f>IF($H$5="EFFACER","",IFERROR(INDEX(Liste_Materiel_Combinee!$E:$E,(_xlfn.AGGREGATE(15,6,(ROW(Liste_Materiel_Combinee!$G$2:$G$426)-1)/(Liste_Materiel_Combinee!$G$2:$G$426=1),15)+1)),""))</f>
        <v/>
      </c>
      <c r="E17" s="105">
        <f t="shared" si="0"/>
        <v>0</v>
      </c>
      <c r="F17" s="104" t="str">
        <f>IFERROR(INDEX(Catalogue!$K:$K,MATCH(A17,Catalogue!$A:$A,0)),"")</f>
        <v/>
      </c>
      <c r="G17" s="102"/>
      <c r="H17" s="7"/>
      <c r="I17" s="7"/>
    </row>
    <row r="18" spans="1:9" x14ac:dyDescent="0.25">
      <c r="A18" s="103" t="str">
        <f>IFERROR(INDEX(Liste_Materiel_Combinee!$B:$B,(_xlfn.AGGREGATE(15,6,(ROW(Liste_Materiel_Combinee!$G$2:$G$426)-1)/(Liste_Materiel_Combinee!$G$2:$G$426=1),16)+1)),"")</f>
        <v/>
      </c>
      <c r="B18" s="104" t="str">
        <f>IFERROR(INDEX(Liste_Materiel_Combinee!$C:$C,(_xlfn.AGGREGATE(15,6,(ROW(Liste_Materiel_Combinee!$G$2:$G$426)-1)/(Liste_Materiel_Combinee!$G$2:$G$426=1),16)+1)),"")</f>
        <v/>
      </c>
      <c r="C18" s="104" t="str">
        <f>IF(IFERROR(INDEX(Liste_Materiel_Combinee!$F:$F,(_xlfn.AGGREGATE(15,6,(ROW(Liste_Materiel_Combinee!$G$2:$G$426)-1)/(Liste_Materiel_Combinee!$G$2:$G$426=1),16)+1)),"")="","",ROUNDUP(IFERROR(INDEX(Liste_Materiel_Combinee!$F:$F,(_xlfn.AGGREGATE(15,6,(ROW(Liste_Materiel_Combinee!$G$2:$G$426)-1)/(Liste_Materiel_Combinee!$G$2:$G$426=1),16)+1)),""),0))</f>
        <v/>
      </c>
      <c r="D18" s="104" t="str">
        <f>IF($H$5="EFFACER","",IFERROR(INDEX(Liste_Materiel_Combinee!$E:$E,(_xlfn.AGGREGATE(15,6,(ROW(Liste_Materiel_Combinee!$G$2:$G$426)-1)/(Liste_Materiel_Combinee!$G$2:$G$426=1),16)+1)),""))</f>
        <v/>
      </c>
      <c r="E18" s="105">
        <f t="shared" si="0"/>
        <v>0</v>
      </c>
      <c r="F18" s="104" t="str">
        <f>IFERROR(INDEX(Catalogue!$K:$K,MATCH(A18,Catalogue!$A:$A,0)),"")</f>
        <v/>
      </c>
      <c r="G18" s="102"/>
      <c r="H18" s="7"/>
      <c r="I18" s="7"/>
    </row>
    <row r="19" spans="1:9" x14ac:dyDescent="0.25">
      <c r="A19" s="103" t="str">
        <f>IFERROR(INDEX(Liste_Materiel_Combinee!$B:$B,(_xlfn.AGGREGATE(15,6,(ROW(Liste_Materiel_Combinee!$G$2:$G$426)-1)/(Liste_Materiel_Combinee!$G$2:$G$426=1),17)+1)),"")</f>
        <v/>
      </c>
      <c r="B19" s="104" t="str">
        <f>IFERROR(INDEX(Liste_Materiel_Combinee!$C:$C,(_xlfn.AGGREGATE(15,6,(ROW(Liste_Materiel_Combinee!$G$2:$G$426)-1)/(Liste_Materiel_Combinee!$G$2:$G$426=1),17)+1)),"")</f>
        <v/>
      </c>
      <c r="C19" s="104" t="str">
        <f>IF(IFERROR(INDEX(Liste_Materiel_Combinee!$F:$F,(_xlfn.AGGREGATE(15,6,(ROW(Liste_Materiel_Combinee!$G$2:$G$426)-1)/(Liste_Materiel_Combinee!$G$2:$G$426=1),17)+1)),"")="","",ROUNDUP(IFERROR(INDEX(Liste_Materiel_Combinee!$F:$F,(_xlfn.AGGREGATE(15,6,(ROW(Liste_Materiel_Combinee!$G$2:$G$426)-1)/(Liste_Materiel_Combinee!$G$2:$G$426=1),17)+1)),""),0))</f>
        <v/>
      </c>
      <c r="D19" s="104" t="str">
        <f>IF($H$5="EFFACER","",IFERROR(INDEX(Liste_Materiel_Combinee!$E:$E,(_xlfn.AGGREGATE(15,6,(ROW(Liste_Materiel_Combinee!$G$2:$G$426)-1)/(Liste_Materiel_Combinee!$G$2:$G$426=1),17)+1)),""))</f>
        <v/>
      </c>
      <c r="E19" s="105">
        <f t="shared" si="0"/>
        <v>0</v>
      </c>
      <c r="F19" s="104" t="str">
        <f>IFERROR(INDEX(Catalogue!$K:$K,MATCH(A19,Catalogue!$A:$A,0)),"")</f>
        <v/>
      </c>
      <c r="G19" s="102"/>
      <c r="H19" s="7"/>
      <c r="I19" s="7"/>
    </row>
    <row r="20" spans="1:9" x14ac:dyDescent="0.25">
      <c r="A20" s="103" t="str">
        <f>IFERROR(INDEX(Liste_Materiel_Combinee!$B:$B,(_xlfn.AGGREGATE(15,6,(ROW(Liste_Materiel_Combinee!$G$2:$G$426)-1)/(Liste_Materiel_Combinee!$G$2:$G$426=1),18)+1)),"")</f>
        <v/>
      </c>
      <c r="B20" s="104" t="str">
        <f>IFERROR(INDEX(Liste_Materiel_Combinee!$C:$C,(_xlfn.AGGREGATE(15,6,(ROW(Liste_Materiel_Combinee!$G$2:$G$426)-1)/(Liste_Materiel_Combinee!$G$2:$G$426=1),18)+1)),"")</f>
        <v/>
      </c>
      <c r="C20" s="104" t="str">
        <f>IF(IFERROR(INDEX(Liste_Materiel_Combinee!$F:$F,(_xlfn.AGGREGATE(15,6,(ROW(Liste_Materiel_Combinee!$G$2:$G$426)-1)/(Liste_Materiel_Combinee!$G$2:$G$426=1),18)+1)),"")="","",ROUNDUP(IFERROR(INDEX(Liste_Materiel_Combinee!$F:$F,(_xlfn.AGGREGATE(15,6,(ROW(Liste_Materiel_Combinee!$G$2:$G$426)-1)/(Liste_Materiel_Combinee!$G$2:$G$426=1),18)+1)),""),0))</f>
        <v/>
      </c>
      <c r="D20" s="104" t="str">
        <f>IF($H$5="EFFACER","",IFERROR(INDEX(Liste_Materiel_Combinee!$E:$E,(_xlfn.AGGREGATE(15,6,(ROW(Liste_Materiel_Combinee!$G$2:$G$426)-1)/(Liste_Materiel_Combinee!$G$2:$G$426=1),18)+1)),""))</f>
        <v/>
      </c>
      <c r="E20" s="105">
        <f t="shared" si="0"/>
        <v>0</v>
      </c>
      <c r="F20" s="104" t="str">
        <f>IFERROR(INDEX(Catalogue!$K:$K,MATCH(A20,Catalogue!$A:$A,0)),"")</f>
        <v/>
      </c>
      <c r="G20" s="102"/>
      <c r="H20" s="7"/>
      <c r="I20" s="7"/>
    </row>
    <row r="21" spans="1:9" x14ac:dyDescent="0.25">
      <c r="A21" s="103" t="str">
        <f>IFERROR(INDEX(Liste_Materiel_Combinee!$B:$B,(_xlfn.AGGREGATE(15,6,(ROW(Liste_Materiel_Combinee!$G$2:$G$426)-1)/(Liste_Materiel_Combinee!$G$2:$G$426=1),19)+1)),"")</f>
        <v/>
      </c>
      <c r="B21" s="104" t="str">
        <f>IFERROR(INDEX(Liste_Materiel_Combinee!$C:$C,(_xlfn.AGGREGATE(15,6,(ROW(Liste_Materiel_Combinee!$G$2:$G$426)-1)/(Liste_Materiel_Combinee!$G$2:$G$426=1),19)+1)),"")</f>
        <v/>
      </c>
      <c r="C21" s="104" t="str">
        <f>IF(IFERROR(INDEX(Liste_Materiel_Combinee!$F:$F,(_xlfn.AGGREGATE(15,6,(ROW(Liste_Materiel_Combinee!$G$2:$G$426)-1)/(Liste_Materiel_Combinee!$G$2:$G$426=1),19)+1)),"")="","",ROUNDUP(IFERROR(INDEX(Liste_Materiel_Combinee!$F:$F,(_xlfn.AGGREGATE(15,6,(ROW(Liste_Materiel_Combinee!$G$2:$G$426)-1)/(Liste_Materiel_Combinee!$G$2:$G$426=1),19)+1)),""),0))</f>
        <v/>
      </c>
      <c r="D21" s="104" t="str">
        <f>IF($H$5="EFFACER","",IFERROR(INDEX(Liste_Materiel_Combinee!$E:$E,(_xlfn.AGGREGATE(15,6,(ROW(Liste_Materiel_Combinee!$G$2:$G$426)-1)/(Liste_Materiel_Combinee!$G$2:$G$426=1),19)+1)),""))</f>
        <v/>
      </c>
      <c r="E21" s="105">
        <f t="shared" si="0"/>
        <v>0</v>
      </c>
      <c r="F21" s="104" t="str">
        <f>IFERROR(INDEX(Catalogue!$K:$K,MATCH(A21,Catalogue!$A:$A,0)),"")</f>
        <v/>
      </c>
      <c r="G21" s="102"/>
      <c r="H21" s="7"/>
      <c r="I21" s="7"/>
    </row>
    <row r="22" spans="1:9" x14ac:dyDescent="0.25">
      <c r="A22" s="103" t="str">
        <f>IFERROR(INDEX(Liste_Materiel_Combinee!$B:$B,(_xlfn.AGGREGATE(15,6,(ROW(Liste_Materiel_Combinee!$G$2:$G$426)-1)/(Liste_Materiel_Combinee!$G$2:$G$426=1),20)+1)),"")</f>
        <v/>
      </c>
      <c r="B22" s="104" t="str">
        <f>IFERROR(INDEX(Liste_Materiel_Combinee!$C:$C,(_xlfn.AGGREGATE(15,6,(ROW(Liste_Materiel_Combinee!$G$2:$G$426)-1)/(Liste_Materiel_Combinee!$G$2:$G$426=1),20)+1)),"")</f>
        <v/>
      </c>
      <c r="C22" s="104" t="str">
        <f>IF(IFERROR(INDEX(Liste_Materiel_Combinee!$F:$F,(_xlfn.AGGREGATE(15,6,(ROW(Liste_Materiel_Combinee!$G$2:$G$426)-1)/(Liste_Materiel_Combinee!$G$2:$G$426=1),20)+1)),"")="","",ROUNDUP(IFERROR(INDEX(Liste_Materiel_Combinee!$F:$F,(_xlfn.AGGREGATE(15,6,(ROW(Liste_Materiel_Combinee!$G$2:$G$426)-1)/(Liste_Materiel_Combinee!$G$2:$G$426=1),20)+1)),""),0))</f>
        <v/>
      </c>
      <c r="D22" s="104" t="str">
        <f>IF($H$5="EFFACER","",IFERROR(INDEX(Liste_Materiel_Combinee!$E:$E,(_xlfn.AGGREGATE(15,6,(ROW(Liste_Materiel_Combinee!$G$2:$G$426)-1)/(Liste_Materiel_Combinee!$G$2:$G$426=1),20)+1)),""))</f>
        <v/>
      </c>
      <c r="E22" s="105">
        <f t="shared" si="0"/>
        <v>0</v>
      </c>
      <c r="F22" s="104" t="str">
        <f>IFERROR(INDEX(Catalogue!$K:$K,MATCH(A22,Catalogue!$A:$A,0)),"")</f>
        <v/>
      </c>
      <c r="G22" s="102"/>
      <c r="H22" s="7"/>
      <c r="I22" s="7"/>
    </row>
    <row r="23" spans="1:9" x14ac:dyDescent="0.25">
      <c r="A23" s="103" t="str">
        <f>IFERROR(INDEX(Liste_Materiel_Combinee!$B:$B,(_xlfn.AGGREGATE(15,6,(ROW(Liste_Materiel_Combinee!$G$2:$G$426)-1)/(Liste_Materiel_Combinee!$G$2:$G$426=1),21)+1)),"")</f>
        <v/>
      </c>
      <c r="B23" s="104" t="str">
        <f>IFERROR(INDEX(Liste_Materiel_Combinee!$C:$C,(_xlfn.AGGREGATE(15,6,(ROW(Liste_Materiel_Combinee!$G$2:$G$426)-1)/(Liste_Materiel_Combinee!$G$2:$G$426=1),21)+1)),"")</f>
        <v/>
      </c>
      <c r="C23" s="104" t="str">
        <f>IF(IFERROR(INDEX(Liste_Materiel_Combinee!$F:$F,(_xlfn.AGGREGATE(15,6,(ROW(Liste_Materiel_Combinee!$G$2:$G$426)-1)/(Liste_Materiel_Combinee!$G$2:$G$426=1),21)+1)),"")="","",ROUNDUP(IFERROR(INDEX(Liste_Materiel_Combinee!$F:$F,(_xlfn.AGGREGATE(15,6,(ROW(Liste_Materiel_Combinee!$G$2:$G$426)-1)/(Liste_Materiel_Combinee!$G$2:$G$426=1),21)+1)),""),0))</f>
        <v/>
      </c>
      <c r="D23" s="104" t="str">
        <f>IF($H$5="EFFACER","",IFERROR(INDEX(Liste_Materiel_Combinee!$E:$E,(_xlfn.AGGREGATE(15,6,(ROW(Liste_Materiel_Combinee!$G$2:$G$426)-1)/(Liste_Materiel_Combinee!$G$2:$G$426=1),21)+1)),""))</f>
        <v/>
      </c>
      <c r="E23" s="105">
        <f t="shared" si="0"/>
        <v>0</v>
      </c>
      <c r="F23" s="104" t="str">
        <f>IFERROR(INDEX(Catalogue!$K:$K,MATCH(A23,Catalogue!$A:$A,0)),"")</f>
        <v/>
      </c>
      <c r="G23" s="102"/>
      <c r="H23" s="7"/>
      <c r="I23" s="7"/>
    </row>
    <row r="24" spans="1:9" x14ac:dyDescent="0.25">
      <c r="A24" s="103" t="str">
        <f>IFERROR(INDEX(Liste_Materiel_Combinee!$B:$B,(_xlfn.AGGREGATE(15,6,(ROW(Liste_Materiel_Combinee!$G$2:$G$426)-1)/(Liste_Materiel_Combinee!$G$2:$G$426=1),22)+1)),"")</f>
        <v/>
      </c>
      <c r="B24" s="104" t="str">
        <f>IFERROR(INDEX(Liste_Materiel_Combinee!$C:$C,(_xlfn.AGGREGATE(15,6,(ROW(Liste_Materiel_Combinee!$G$2:$G$426)-1)/(Liste_Materiel_Combinee!$G$2:$G$426=1),22)+1)),"")</f>
        <v/>
      </c>
      <c r="C24" s="104" t="str">
        <f>IF(IFERROR(INDEX(Liste_Materiel_Combinee!$F:$F,(_xlfn.AGGREGATE(15,6,(ROW(Liste_Materiel_Combinee!$G$2:$G$426)-1)/(Liste_Materiel_Combinee!$G$2:$G$426=1),22)+1)),"")="","",ROUNDUP(IFERROR(INDEX(Liste_Materiel_Combinee!$F:$F,(_xlfn.AGGREGATE(15,6,(ROW(Liste_Materiel_Combinee!$G$2:$G$426)-1)/(Liste_Materiel_Combinee!$G$2:$G$426=1),22)+1)),""),0))</f>
        <v/>
      </c>
      <c r="D24" s="104" t="str">
        <f>IF($H$5="EFFACER","",IFERROR(INDEX(Liste_Materiel_Combinee!$E:$E,(_xlfn.AGGREGATE(15,6,(ROW(Liste_Materiel_Combinee!$G$2:$G$426)-1)/(Liste_Materiel_Combinee!$G$2:$G$426=1),22)+1)),""))</f>
        <v/>
      </c>
      <c r="E24" s="105">
        <f t="shared" si="0"/>
        <v>0</v>
      </c>
      <c r="F24" s="104" t="str">
        <f>IFERROR(INDEX(Catalogue!$K:$K,MATCH(A24,Catalogue!$A:$A,0)),"")</f>
        <v/>
      </c>
      <c r="G24" s="102"/>
      <c r="H24" s="7"/>
      <c r="I24" s="7"/>
    </row>
    <row r="25" spans="1:9" x14ac:dyDescent="0.25">
      <c r="A25" s="103" t="str">
        <f>IFERROR(INDEX(Liste_Materiel_Combinee!$B:$B,(_xlfn.AGGREGATE(15,6,(ROW(Liste_Materiel_Combinee!$G$2:$G$426)-1)/(Liste_Materiel_Combinee!$G$2:$G$426=1),23)+1)),"")</f>
        <v/>
      </c>
      <c r="B25" s="104" t="str">
        <f>IFERROR(INDEX(Liste_Materiel_Combinee!$C:$C,(_xlfn.AGGREGATE(15,6,(ROW(Liste_Materiel_Combinee!$G$2:$G$426)-1)/(Liste_Materiel_Combinee!$G$2:$G$426=1),23)+1)),"")</f>
        <v/>
      </c>
      <c r="C25" s="104" t="str">
        <f>IF(IFERROR(INDEX(Liste_Materiel_Combinee!$F:$F,(_xlfn.AGGREGATE(15,6,(ROW(Liste_Materiel_Combinee!$G$2:$G$426)-1)/(Liste_Materiel_Combinee!$G$2:$G$426=1),23)+1)),"")="","",ROUNDUP(IFERROR(INDEX(Liste_Materiel_Combinee!$F:$F,(_xlfn.AGGREGATE(15,6,(ROW(Liste_Materiel_Combinee!$G$2:$G$426)-1)/(Liste_Materiel_Combinee!$G$2:$G$426=1),23)+1)),""),0))</f>
        <v/>
      </c>
      <c r="D25" s="104" t="str">
        <f>IF($H$5="EFFACER","",IFERROR(INDEX(Liste_Materiel_Combinee!$E:$E,(_xlfn.AGGREGATE(15,6,(ROW(Liste_Materiel_Combinee!$G$2:$G$426)-1)/(Liste_Materiel_Combinee!$G$2:$G$426=1),23)+1)),""))</f>
        <v/>
      </c>
      <c r="E25" s="105">
        <f t="shared" si="0"/>
        <v>0</v>
      </c>
      <c r="F25" s="104" t="str">
        <f>IFERROR(INDEX(Catalogue!$K:$K,MATCH(A25,Catalogue!$A:$A,0)),"")</f>
        <v/>
      </c>
      <c r="G25" s="102"/>
      <c r="H25" s="7"/>
      <c r="I25" s="7"/>
    </row>
    <row r="26" spans="1:9" x14ac:dyDescent="0.25">
      <c r="A26" s="103" t="str">
        <f>IFERROR(INDEX(Liste_Materiel_Combinee!$B:$B,(_xlfn.AGGREGATE(15,6,(ROW(Liste_Materiel_Combinee!$G$2:$G$426)-1)/(Liste_Materiel_Combinee!$G$2:$G$426=1),24)+1)),"")</f>
        <v/>
      </c>
      <c r="B26" s="104" t="str">
        <f>IFERROR(INDEX(Liste_Materiel_Combinee!$C:$C,(_xlfn.AGGREGATE(15,6,(ROW(Liste_Materiel_Combinee!$G$2:$G$426)-1)/(Liste_Materiel_Combinee!$G$2:$G$426=1),24)+1)),"")</f>
        <v/>
      </c>
      <c r="C26" s="104" t="str">
        <f>IF(IFERROR(INDEX(Liste_Materiel_Combinee!$F:$F,(_xlfn.AGGREGATE(15,6,(ROW(Liste_Materiel_Combinee!$G$2:$G$426)-1)/(Liste_Materiel_Combinee!$G$2:$G$426=1),24)+1)),"")="","",ROUNDUP(IFERROR(INDEX(Liste_Materiel_Combinee!$F:$F,(_xlfn.AGGREGATE(15,6,(ROW(Liste_Materiel_Combinee!$G$2:$G$426)-1)/(Liste_Materiel_Combinee!$G$2:$G$426=1),24)+1)),""),0))</f>
        <v/>
      </c>
      <c r="D26" s="104" t="str">
        <f>IF($H$5="EFFACER","",IFERROR(INDEX(Liste_Materiel_Combinee!$E:$E,(_xlfn.AGGREGATE(15,6,(ROW(Liste_Materiel_Combinee!$G$2:$G$426)-1)/(Liste_Materiel_Combinee!$G$2:$G$426=1),24)+1)),""))</f>
        <v/>
      </c>
      <c r="E26" s="105">
        <f t="shared" si="0"/>
        <v>0</v>
      </c>
      <c r="F26" s="104" t="str">
        <f>IFERROR(INDEX(Catalogue!$K:$K,MATCH(A26,Catalogue!$A:$A,0)),"")</f>
        <v/>
      </c>
      <c r="G26" s="102"/>
      <c r="H26" s="7"/>
      <c r="I26" s="7"/>
    </row>
    <row r="27" spans="1:9" x14ac:dyDescent="0.25">
      <c r="A27" s="103" t="str">
        <f>IFERROR(INDEX(Liste_Materiel_Combinee!$B:$B,(_xlfn.AGGREGATE(15,6,(ROW(Liste_Materiel_Combinee!$G$2:$G$426)-1)/(Liste_Materiel_Combinee!$G$2:$G$426=1),25)+1)),"")</f>
        <v/>
      </c>
      <c r="B27" s="104" t="str">
        <f>IFERROR(INDEX(Liste_Materiel_Combinee!$C:$C,(_xlfn.AGGREGATE(15,6,(ROW(Liste_Materiel_Combinee!$G$2:$G$426)-1)/(Liste_Materiel_Combinee!$G$2:$G$426=1),25)+1)),"")</f>
        <v/>
      </c>
      <c r="C27" s="104" t="str">
        <f>IF(IFERROR(INDEX(Liste_Materiel_Combinee!$F:$F,(_xlfn.AGGREGATE(15,6,(ROW(Liste_Materiel_Combinee!$G$2:$G$426)-1)/(Liste_Materiel_Combinee!$G$2:$G$426=1),25)+1)),"")="","",ROUNDUP(IFERROR(INDEX(Liste_Materiel_Combinee!$F:$F,(_xlfn.AGGREGATE(15,6,(ROW(Liste_Materiel_Combinee!$G$2:$G$426)-1)/(Liste_Materiel_Combinee!$G$2:$G$426=1),25)+1)),""),0))</f>
        <v/>
      </c>
      <c r="D27" s="104" t="str">
        <f>IF($H$5="EFFACER","",IFERROR(INDEX(Liste_Materiel_Combinee!$E:$E,(_xlfn.AGGREGATE(15,6,(ROW(Liste_Materiel_Combinee!$G$2:$G$426)-1)/(Liste_Materiel_Combinee!$G$2:$G$426=1),25)+1)),""))</f>
        <v/>
      </c>
      <c r="E27" s="105">
        <f t="shared" si="0"/>
        <v>0</v>
      </c>
      <c r="F27" s="104" t="str">
        <f>IFERROR(INDEX(Catalogue!$K:$K,MATCH(A27,Catalogue!$A:$A,0)),"")</f>
        <v/>
      </c>
      <c r="G27" s="102"/>
      <c r="H27" s="7"/>
      <c r="I27" s="7"/>
    </row>
    <row r="28" spans="1:9" x14ac:dyDescent="0.25">
      <c r="A28" s="103" t="str">
        <f>IFERROR(INDEX(Liste_Materiel_Combinee!$B:$B,(_xlfn.AGGREGATE(15,6,(ROW(Liste_Materiel_Combinee!$G$2:$G$426)-1)/(Liste_Materiel_Combinee!$G$2:$G$426=1),26)+1)),"")</f>
        <v/>
      </c>
      <c r="B28" s="104" t="str">
        <f>IFERROR(INDEX(Liste_Materiel_Combinee!$C:$C,(_xlfn.AGGREGATE(15,6,(ROW(Liste_Materiel_Combinee!$G$2:$G$426)-1)/(Liste_Materiel_Combinee!$G$2:$G$426=1),26)+1)),"")</f>
        <v/>
      </c>
      <c r="C28" s="104" t="str">
        <f>IF(IFERROR(INDEX(Liste_Materiel_Combinee!$F:$F,(_xlfn.AGGREGATE(15,6,(ROW(Liste_Materiel_Combinee!$G$2:$G$426)-1)/(Liste_Materiel_Combinee!$G$2:$G$426=1),26)+1)),"")="","",ROUNDUP(IFERROR(INDEX(Liste_Materiel_Combinee!$F:$F,(_xlfn.AGGREGATE(15,6,(ROW(Liste_Materiel_Combinee!$G$2:$G$426)-1)/(Liste_Materiel_Combinee!$G$2:$G$426=1),26)+1)),""),0))</f>
        <v/>
      </c>
      <c r="D28" s="104" t="str">
        <f>IF($H$5="EFFACER","",IFERROR(INDEX(Liste_Materiel_Combinee!$E:$E,(_xlfn.AGGREGATE(15,6,(ROW(Liste_Materiel_Combinee!$G$2:$G$426)-1)/(Liste_Materiel_Combinee!$G$2:$G$426=1),26)+1)),""))</f>
        <v/>
      </c>
      <c r="E28" s="105">
        <f t="shared" si="0"/>
        <v>0</v>
      </c>
      <c r="F28" s="104" t="str">
        <f>IFERROR(INDEX(Catalogue!$K:$K,MATCH(A28,Catalogue!$A:$A,0)),"")</f>
        <v/>
      </c>
      <c r="G28" s="102"/>
      <c r="H28" s="7"/>
      <c r="I28" s="7"/>
    </row>
    <row r="29" spans="1:9" x14ac:dyDescent="0.25">
      <c r="A29" s="103" t="str">
        <f>IFERROR(INDEX(Liste_Materiel_Combinee!$B:$B,(_xlfn.AGGREGATE(15,6,(ROW(Liste_Materiel_Combinee!$G$2:$G$426)-1)/(Liste_Materiel_Combinee!$G$2:$G$426=1),27)+1)),"")</f>
        <v/>
      </c>
      <c r="B29" s="104" t="str">
        <f>IFERROR(INDEX(Liste_Materiel_Combinee!$C:$C,(_xlfn.AGGREGATE(15,6,(ROW(Liste_Materiel_Combinee!$G$2:$G$426)-1)/(Liste_Materiel_Combinee!$G$2:$G$426=1),27)+1)),"")</f>
        <v/>
      </c>
      <c r="C29" s="104" t="str">
        <f>IF(IFERROR(INDEX(Liste_Materiel_Combinee!$F:$F,(_xlfn.AGGREGATE(15,6,(ROW(Liste_Materiel_Combinee!$G$2:$G$426)-1)/(Liste_Materiel_Combinee!$G$2:$G$426=1),27)+1)),"")="","",ROUNDUP(IFERROR(INDEX(Liste_Materiel_Combinee!$F:$F,(_xlfn.AGGREGATE(15,6,(ROW(Liste_Materiel_Combinee!$G$2:$G$426)-1)/(Liste_Materiel_Combinee!$G$2:$G$426=1),27)+1)),""),0))</f>
        <v/>
      </c>
      <c r="D29" s="104" t="str">
        <f>IF($H$5="EFFACER","",IFERROR(INDEX(Liste_Materiel_Combinee!$E:$E,(_xlfn.AGGREGATE(15,6,(ROW(Liste_Materiel_Combinee!$G$2:$G$426)-1)/(Liste_Materiel_Combinee!$G$2:$G$426=1),27)+1)),""))</f>
        <v/>
      </c>
      <c r="E29" s="105">
        <f t="shared" si="0"/>
        <v>0</v>
      </c>
      <c r="F29" s="104" t="str">
        <f>IFERROR(INDEX(Catalogue!$K:$K,MATCH(A29,Catalogue!$A:$A,0)),"")</f>
        <v/>
      </c>
      <c r="G29" s="102"/>
      <c r="H29" s="7"/>
      <c r="I29" s="7"/>
    </row>
    <row r="30" spans="1:9" x14ac:dyDescent="0.25">
      <c r="A30" s="103" t="str">
        <f>IFERROR(INDEX(Liste_Materiel_Combinee!$B:$B,(_xlfn.AGGREGATE(15,6,(ROW(Liste_Materiel_Combinee!$G$2:$G$426)-1)/(Liste_Materiel_Combinee!$G$2:$G$426=1),28)+1)),"")</f>
        <v/>
      </c>
      <c r="B30" s="104" t="str">
        <f>IFERROR(INDEX(Liste_Materiel_Combinee!$C:$C,(_xlfn.AGGREGATE(15,6,(ROW(Liste_Materiel_Combinee!$G$2:$G$426)-1)/(Liste_Materiel_Combinee!$G$2:$G$426=1),28)+1)),"")</f>
        <v/>
      </c>
      <c r="C30" s="104" t="str">
        <f>IF(IFERROR(INDEX(Liste_Materiel_Combinee!$F:$F,(_xlfn.AGGREGATE(15,6,(ROW(Liste_Materiel_Combinee!$G$2:$G$426)-1)/(Liste_Materiel_Combinee!$G$2:$G$426=1),28)+1)),"")="","",ROUNDUP(IFERROR(INDEX(Liste_Materiel_Combinee!$F:$F,(_xlfn.AGGREGATE(15,6,(ROW(Liste_Materiel_Combinee!$G$2:$G$426)-1)/(Liste_Materiel_Combinee!$G$2:$G$426=1),28)+1)),""),0))</f>
        <v/>
      </c>
      <c r="D30" s="104" t="str">
        <f>IF($H$5="EFFACER","",IFERROR(INDEX(Liste_Materiel_Combinee!$E:$E,(_xlfn.AGGREGATE(15,6,(ROW(Liste_Materiel_Combinee!$G$2:$G$426)-1)/(Liste_Materiel_Combinee!$G$2:$G$426=1),28)+1)),""))</f>
        <v/>
      </c>
      <c r="E30" s="105">
        <f t="shared" si="0"/>
        <v>0</v>
      </c>
      <c r="F30" s="104" t="str">
        <f>IFERROR(INDEX(Catalogue!$K:$K,MATCH(A30,Catalogue!$A:$A,0)),"")</f>
        <v/>
      </c>
      <c r="G30" s="102"/>
      <c r="H30" s="7"/>
      <c r="I30" s="7"/>
    </row>
    <row r="31" spans="1:9" x14ac:dyDescent="0.25">
      <c r="A31" s="103" t="str">
        <f>IFERROR(INDEX(Liste_Materiel_Combinee!$B:$B,(_xlfn.AGGREGATE(15,6,(ROW(Liste_Materiel_Combinee!$G$2:$G$426)-1)/(Liste_Materiel_Combinee!$G$2:$G$426=1),29)+1)),"")</f>
        <v/>
      </c>
      <c r="B31" s="104" t="str">
        <f>IFERROR(INDEX(Liste_Materiel_Combinee!$C:$C,(_xlfn.AGGREGATE(15,6,(ROW(Liste_Materiel_Combinee!$G$2:$G$426)-1)/(Liste_Materiel_Combinee!$G$2:$G$426=1),29)+1)),"")</f>
        <v/>
      </c>
      <c r="C31" s="104" t="str">
        <f>IF(IFERROR(INDEX(Liste_Materiel_Combinee!$F:$F,(_xlfn.AGGREGATE(15,6,(ROW(Liste_Materiel_Combinee!$G$2:$G$426)-1)/(Liste_Materiel_Combinee!$G$2:$G$426=1),29)+1)),"")="","",ROUNDUP(IFERROR(INDEX(Liste_Materiel_Combinee!$F:$F,(_xlfn.AGGREGATE(15,6,(ROW(Liste_Materiel_Combinee!$G$2:$G$426)-1)/(Liste_Materiel_Combinee!$G$2:$G$426=1),29)+1)),""),0))</f>
        <v/>
      </c>
      <c r="D31" s="104" t="str">
        <f>IF($H$5="EFFACER","",IFERROR(INDEX(Liste_Materiel_Combinee!$E:$E,(_xlfn.AGGREGATE(15,6,(ROW(Liste_Materiel_Combinee!$G$2:$G$426)-1)/(Liste_Materiel_Combinee!$G$2:$G$426=1),29)+1)),""))</f>
        <v/>
      </c>
      <c r="E31" s="105">
        <f t="shared" si="0"/>
        <v>0</v>
      </c>
      <c r="F31" s="104" t="str">
        <f>IFERROR(INDEX(Catalogue!$K:$K,MATCH(A31,Catalogue!$A:$A,0)),"")</f>
        <v/>
      </c>
      <c r="G31" s="102"/>
      <c r="H31" s="7"/>
      <c r="I31" s="7"/>
    </row>
    <row r="32" spans="1:9" x14ac:dyDescent="0.25">
      <c r="A32" s="103" t="str">
        <f>IFERROR(INDEX(Liste_Materiel_Combinee!$B:$B,(_xlfn.AGGREGATE(15,6,(ROW(Liste_Materiel_Combinee!$G$2:$G$426)-1)/(Liste_Materiel_Combinee!$G$2:$G$426=1),30)+1)),"")</f>
        <v/>
      </c>
      <c r="B32" s="104" t="str">
        <f>IFERROR(INDEX(Liste_Materiel_Combinee!$C:$C,(_xlfn.AGGREGATE(15,6,(ROW(Liste_Materiel_Combinee!$G$2:$G$426)-1)/(Liste_Materiel_Combinee!$G$2:$G$426=1),30)+1)),"")</f>
        <v/>
      </c>
      <c r="C32" s="104" t="str">
        <f>IF(IFERROR(INDEX(Liste_Materiel_Combinee!$F:$F,(_xlfn.AGGREGATE(15,6,(ROW(Liste_Materiel_Combinee!$G$2:$G$426)-1)/(Liste_Materiel_Combinee!$G$2:$G$426=1),30)+1)),"")="","",ROUNDUP(IFERROR(INDEX(Liste_Materiel_Combinee!$F:$F,(_xlfn.AGGREGATE(15,6,(ROW(Liste_Materiel_Combinee!$G$2:$G$426)-1)/(Liste_Materiel_Combinee!$G$2:$G$426=1),30)+1)),""),0))</f>
        <v/>
      </c>
      <c r="D32" s="104" t="str">
        <f>IF($H$5="EFFACER","",IFERROR(INDEX(Liste_Materiel_Combinee!$E:$E,(_xlfn.AGGREGATE(15,6,(ROW(Liste_Materiel_Combinee!$G$2:$G$426)-1)/(Liste_Materiel_Combinee!$G$2:$G$426=1),30)+1)),""))</f>
        <v/>
      </c>
      <c r="E32" s="105">
        <f t="shared" si="0"/>
        <v>0</v>
      </c>
      <c r="F32" s="104" t="str">
        <f>IFERROR(INDEX(Catalogue!$K:$K,MATCH(A32,Catalogue!$A:$A,0)),"")</f>
        <v/>
      </c>
      <c r="G32" s="102"/>
      <c r="H32" s="7"/>
      <c r="I32" s="7"/>
    </row>
    <row r="33" spans="1:9" x14ac:dyDescent="0.25">
      <c r="A33" s="103" t="str">
        <f>IFERROR(INDEX(Liste_Materiel_Combinee!$B:$B,(_xlfn.AGGREGATE(15,6,(ROW(Liste_Materiel_Combinee!$G$2:$G$426)-1)/(Liste_Materiel_Combinee!$G$2:$G$426=1),31)+1)),"")</f>
        <v/>
      </c>
      <c r="B33" s="104" t="str">
        <f>IFERROR(INDEX(Liste_Materiel_Combinee!$C:$C,(_xlfn.AGGREGATE(15,6,(ROW(Liste_Materiel_Combinee!$G$2:$G$426)-1)/(Liste_Materiel_Combinee!$G$2:$G$426=1),31)+1)),"")</f>
        <v/>
      </c>
      <c r="C33" s="104" t="str">
        <f>IF(IFERROR(INDEX(Liste_Materiel_Combinee!$F:$F,(_xlfn.AGGREGATE(15,6,(ROW(Liste_Materiel_Combinee!$G$2:$G$426)-1)/(Liste_Materiel_Combinee!$G$2:$G$426=1),31)+1)),"")="","",ROUNDUP(IFERROR(INDEX(Liste_Materiel_Combinee!$F:$F,(_xlfn.AGGREGATE(15,6,(ROW(Liste_Materiel_Combinee!$G$2:$G$426)-1)/(Liste_Materiel_Combinee!$G$2:$G$426=1),31)+1)),""),0))</f>
        <v/>
      </c>
      <c r="D33" s="104" t="str">
        <f>IF($H$5="EFFACER","",IFERROR(INDEX(Liste_Materiel_Combinee!$E:$E,(_xlfn.AGGREGATE(15,6,(ROW(Liste_Materiel_Combinee!$G$2:$G$426)-1)/(Liste_Materiel_Combinee!$G$2:$G$426=1),31)+1)),""))</f>
        <v/>
      </c>
      <c r="E33" s="105">
        <f t="shared" si="0"/>
        <v>0</v>
      </c>
      <c r="F33" s="104" t="str">
        <f>IFERROR(INDEX(Catalogue!$K:$K,MATCH(A33,Catalogue!$A:$A,0)),"")</f>
        <v/>
      </c>
      <c r="G33" s="102"/>
      <c r="H33" s="7"/>
      <c r="I33" s="7"/>
    </row>
    <row r="34" spans="1:9" x14ac:dyDescent="0.25">
      <c r="A34" s="103" t="str">
        <f>IFERROR(INDEX(Liste_Materiel_Combinee!$B:$B,(_xlfn.AGGREGATE(15,6,(ROW(Liste_Materiel_Combinee!$G$2:$G$426)-1)/(Liste_Materiel_Combinee!$G$2:$G$426=1),32)+1)),"")</f>
        <v/>
      </c>
      <c r="B34" s="104" t="str">
        <f>IFERROR(INDEX(Liste_Materiel_Combinee!$C:$C,(_xlfn.AGGREGATE(15,6,(ROW(Liste_Materiel_Combinee!$G$2:$G$426)-1)/(Liste_Materiel_Combinee!$G$2:$G$426=1),32)+1)),"")</f>
        <v/>
      </c>
      <c r="C34" s="104" t="str">
        <f>IF(IFERROR(INDEX(Liste_Materiel_Combinee!$F:$F,(_xlfn.AGGREGATE(15,6,(ROW(Liste_Materiel_Combinee!$G$2:$G$426)-1)/(Liste_Materiel_Combinee!$G$2:$G$426=1),32)+1)),"")="","",ROUNDUP(IFERROR(INDEX(Liste_Materiel_Combinee!$F:$F,(_xlfn.AGGREGATE(15,6,(ROW(Liste_Materiel_Combinee!$G$2:$G$426)-1)/(Liste_Materiel_Combinee!$G$2:$G$426=1),32)+1)),""),0))</f>
        <v/>
      </c>
      <c r="D34" s="104" t="str">
        <f>IF($H$5="EFFACER","",IFERROR(INDEX(Liste_Materiel_Combinee!$E:$E,(_xlfn.AGGREGATE(15,6,(ROW(Liste_Materiel_Combinee!$G$2:$G$426)-1)/(Liste_Materiel_Combinee!$G$2:$G$426=1),32)+1)),""))</f>
        <v/>
      </c>
      <c r="E34" s="105">
        <f t="shared" si="0"/>
        <v>0</v>
      </c>
      <c r="F34" s="104" t="str">
        <f>IFERROR(INDEX(Catalogue!$K:$K,MATCH(A34,Catalogue!$A:$A,0)),"")</f>
        <v/>
      </c>
      <c r="G34" s="102"/>
      <c r="H34" s="7"/>
      <c r="I34" s="7"/>
    </row>
    <row r="35" spans="1:9" x14ac:dyDescent="0.25">
      <c r="A35" s="103" t="str">
        <f>IFERROR(INDEX(Liste_Materiel_Combinee!$B:$B,(_xlfn.AGGREGATE(15,6,(ROW(Liste_Materiel_Combinee!$G$2:$G$426)-1)/(Liste_Materiel_Combinee!$G$2:$G$426=1),33)+1)),"")</f>
        <v/>
      </c>
      <c r="B35" s="104" t="str">
        <f>IFERROR(INDEX(Liste_Materiel_Combinee!$C:$C,(_xlfn.AGGREGATE(15,6,(ROW(Liste_Materiel_Combinee!$G$2:$G$426)-1)/(Liste_Materiel_Combinee!$G$2:$G$426=1),33)+1)),"")</f>
        <v/>
      </c>
      <c r="C35" s="104" t="str">
        <f>IF(IFERROR(INDEX(Liste_Materiel_Combinee!$F:$F,(_xlfn.AGGREGATE(15,6,(ROW(Liste_Materiel_Combinee!$G$2:$G$426)-1)/(Liste_Materiel_Combinee!$G$2:$G$426=1),33)+1)),"")="","",ROUNDUP(IFERROR(INDEX(Liste_Materiel_Combinee!$F:$F,(_xlfn.AGGREGATE(15,6,(ROW(Liste_Materiel_Combinee!$G$2:$G$426)-1)/(Liste_Materiel_Combinee!$G$2:$G$426=1),33)+1)),""),0))</f>
        <v/>
      </c>
      <c r="D35" s="104" t="str">
        <f>IF($H$5="EFFACER","",IFERROR(INDEX(Liste_Materiel_Combinee!$E:$E,(_xlfn.AGGREGATE(15,6,(ROW(Liste_Materiel_Combinee!$G$2:$G$426)-1)/(Liste_Materiel_Combinee!$G$2:$G$426=1),33)+1)),""))</f>
        <v/>
      </c>
      <c r="E35" s="105">
        <f t="shared" si="0"/>
        <v>0</v>
      </c>
      <c r="F35" s="104" t="str">
        <f>IFERROR(INDEX(Catalogue!$K:$K,MATCH(A35,Catalogue!$A:$A,0)),"")</f>
        <v/>
      </c>
      <c r="G35" s="102"/>
      <c r="H35" s="7"/>
      <c r="I35" s="7"/>
    </row>
    <row r="36" spans="1:9" x14ac:dyDescent="0.25">
      <c r="A36" s="103" t="str">
        <f>IFERROR(INDEX(Liste_Materiel_Combinee!$B:$B,(_xlfn.AGGREGATE(15,6,(ROW(Liste_Materiel_Combinee!$G$2:$G$426)-1)/(Liste_Materiel_Combinee!$G$2:$G$426=1),34)+1)),"")</f>
        <v/>
      </c>
      <c r="B36" s="104" t="str">
        <f>IFERROR(INDEX(Liste_Materiel_Combinee!$C:$C,(_xlfn.AGGREGATE(15,6,(ROW(Liste_Materiel_Combinee!$G$2:$G$426)-1)/(Liste_Materiel_Combinee!$G$2:$G$426=1),34)+1)),"")</f>
        <v/>
      </c>
      <c r="C36" s="104" t="str">
        <f>IF(IFERROR(INDEX(Liste_Materiel_Combinee!$F:$F,(_xlfn.AGGREGATE(15,6,(ROW(Liste_Materiel_Combinee!$G$2:$G$426)-1)/(Liste_Materiel_Combinee!$G$2:$G$426=1),34)+1)),"")="","",ROUNDUP(IFERROR(INDEX(Liste_Materiel_Combinee!$F:$F,(_xlfn.AGGREGATE(15,6,(ROW(Liste_Materiel_Combinee!$G$2:$G$426)-1)/(Liste_Materiel_Combinee!$G$2:$G$426=1),34)+1)),""),0))</f>
        <v/>
      </c>
      <c r="D36" s="104" t="str">
        <f>IF($H$5="EFFACER","",IFERROR(INDEX(Liste_Materiel_Combinee!$E:$E,(_xlfn.AGGREGATE(15,6,(ROW(Liste_Materiel_Combinee!$G$2:$G$426)-1)/(Liste_Materiel_Combinee!$G$2:$G$426=1),34)+1)),""))</f>
        <v/>
      </c>
      <c r="E36" s="105">
        <f t="shared" si="0"/>
        <v>0</v>
      </c>
      <c r="F36" s="104" t="str">
        <f>IFERROR(INDEX(Catalogue!$K:$K,MATCH(A36,Catalogue!$A:$A,0)),"")</f>
        <v/>
      </c>
      <c r="G36" s="102"/>
      <c r="H36" s="7"/>
      <c r="I36" s="7"/>
    </row>
    <row r="37" spans="1:9" x14ac:dyDescent="0.25">
      <c r="A37" s="103" t="str">
        <f>IFERROR(INDEX(Liste_Materiel_Combinee!$B:$B,(_xlfn.AGGREGATE(15,6,(ROW(Liste_Materiel_Combinee!$G$2:$G$426)-1)/(Liste_Materiel_Combinee!$G$2:$G$426=1),35)+1)),"")</f>
        <v/>
      </c>
      <c r="B37" s="104" t="str">
        <f>IFERROR(INDEX(Liste_Materiel_Combinee!$C:$C,(_xlfn.AGGREGATE(15,6,(ROW(Liste_Materiel_Combinee!$G$2:$G$426)-1)/(Liste_Materiel_Combinee!$G$2:$G$426=1),35)+1)),"")</f>
        <v/>
      </c>
      <c r="C37" s="104" t="str">
        <f>IF(IFERROR(INDEX(Liste_Materiel_Combinee!$F:$F,(_xlfn.AGGREGATE(15,6,(ROW(Liste_Materiel_Combinee!$G$2:$G$426)-1)/(Liste_Materiel_Combinee!$G$2:$G$426=1),35)+1)),"")="","",ROUNDUP(IFERROR(INDEX(Liste_Materiel_Combinee!$F:$F,(_xlfn.AGGREGATE(15,6,(ROW(Liste_Materiel_Combinee!$G$2:$G$426)-1)/(Liste_Materiel_Combinee!$G$2:$G$426=1),35)+1)),""),0))</f>
        <v/>
      </c>
      <c r="D37" s="104" t="str">
        <f>IF($H$5="EFFACER","",IFERROR(INDEX(Liste_Materiel_Combinee!$E:$E,(_xlfn.AGGREGATE(15,6,(ROW(Liste_Materiel_Combinee!$G$2:$G$426)-1)/(Liste_Materiel_Combinee!$G$2:$G$426=1),35)+1)),""))</f>
        <v/>
      </c>
      <c r="E37" s="105">
        <f t="shared" si="0"/>
        <v>0</v>
      </c>
      <c r="F37" s="104" t="str">
        <f>IFERROR(INDEX(Catalogue!$K:$K,MATCH(A37,Catalogue!$A:$A,0)),"")</f>
        <v/>
      </c>
      <c r="G37" s="102"/>
      <c r="H37" s="7"/>
      <c r="I37" s="7"/>
    </row>
    <row r="38" spans="1:9" x14ac:dyDescent="0.25">
      <c r="A38" s="103" t="str">
        <f>IFERROR(INDEX(Liste_Materiel_Combinee!$B:$B,(_xlfn.AGGREGATE(15,6,(ROW(Liste_Materiel_Combinee!$G$2:$G$426)-1)/(Liste_Materiel_Combinee!$G$2:$G$426=1),36)+1)),"")</f>
        <v/>
      </c>
      <c r="B38" s="104" t="str">
        <f>IFERROR(INDEX(Liste_Materiel_Combinee!$C:$C,(_xlfn.AGGREGATE(15,6,(ROW(Liste_Materiel_Combinee!$G$2:$G$426)-1)/(Liste_Materiel_Combinee!$G$2:$G$426=1),36)+1)),"")</f>
        <v/>
      </c>
      <c r="C38" s="104" t="str">
        <f>IF(IFERROR(INDEX(Liste_Materiel_Combinee!$F:$F,(_xlfn.AGGREGATE(15,6,(ROW(Liste_Materiel_Combinee!$G$2:$G$426)-1)/(Liste_Materiel_Combinee!$G$2:$G$426=1),36)+1)),"")="","",ROUNDUP(IFERROR(INDEX(Liste_Materiel_Combinee!$F:$F,(_xlfn.AGGREGATE(15,6,(ROW(Liste_Materiel_Combinee!$G$2:$G$426)-1)/(Liste_Materiel_Combinee!$G$2:$G$426=1),36)+1)),""),0))</f>
        <v/>
      </c>
      <c r="D38" s="104" t="str">
        <f>IF($H$5="EFFACER","",IFERROR(INDEX(Liste_Materiel_Combinee!$E:$E,(_xlfn.AGGREGATE(15,6,(ROW(Liste_Materiel_Combinee!$G$2:$G$426)-1)/(Liste_Materiel_Combinee!$G$2:$G$426=1),36)+1)),""))</f>
        <v/>
      </c>
      <c r="E38" s="105">
        <f t="shared" si="0"/>
        <v>0</v>
      </c>
      <c r="F38" s="104" t="str">
        <f>IFERROR(INDEX(Catalogue!$K:$K,MATCH(A38,Catalogue!$A:$A,0)),"")</f>
        <v/>
      </c>
      <c r="G38" s="102"/>
      <c r="H38" s="7"/>
      <c r="I38" s="7"/>
    </row>
    <row r="39" spans="1:9" x14ac:dyDescent="0.25">
      <c r="A39" s="103" t="str">
        <f>IFERROR(INDEX(Liste_Materiel_Combinee!$B:$B,(_xlfn.AGGREGATE(15,6,(ROW(Liste_Materiel_Combinee!$G$2:$G$426)-1)/(Liste_Materiel_Combinee!$G$2:$G$426=1),37)+1)),"")</f>
        <v/>
      </c>
      <c r="B39" s="104" t="str">
        <f>IFERROR(INDEX(Liste_Materiel_Combinee!$C:$C,(_xlfn.AGGREGATE(15,6,(ROW(Liste_Materiel_Combinee!$G$2:$G$426)-1)/(Liste_Materiel_Combinee!$G$2:$G$426=1),37)+1)),"")</f>
        <v/>
      </c>
      <c r="C39" s="104" t="str">
        <f>IF(IFERROR(INDEX(Liste_Materiel_Combinee!$F:$F,(_xlfn.AGGREGATE(15,6,(ROW(Liste_Materiel_Combinee!$G$2:$G$426)-1)/(Liste_Materiel_Combinee!$G$2:$G$426=1),37)+1)),"")="","",ROUNDUP(IFERROR(INDEX(Liste_Materiel_Combinee!$F:$F,(_xlfn.AGGREGATE(15,6,(ROW(Liste_Materiel_Combinee!$G$2:$G$426)-1)/(Liste_Materiel_Combinee!$G$2:$G$426=1),37)+1)),""),0))</f>
        <v/>
      </c>
      <c r="D39" s="104" t="str">
        <f>IF($H$5="EFFACER","",IFERROR(INDEX(Liste_Materiel_Combinee!$E:$E,(_xlfn.AGGREGATE(15,6,(ROW(Liste_Materiel_Combinee!$G$2:$G$426)-1)/(Liste_Materiel_Combinee!$G$2:$G$426=1),37)+1)),""))</f>
        <v/>
      </c>
      <c r="E39" s="105">
        <f t="shared" si="0"/>
        <v>0</v>
      </c>
      <c r="F39" s="104" t="str">
        <f>IFERROR(INDEX(Catalogue!$K:$K,MATCH(A39,Catalogue!$A:$A,0)),"")</f>
        <v/>
      </c>
      <c r="G39" s="102"/>
      <c r="H39" s="7"/>
      <c r="I39" s="7"/>
    </row>
    <row r="40" spans="1:9" x14ac:dyDescent="0.25">
      <c r="A40" s="103" t="str">
        <f>IFERROR(INDEX(Liste_Materiel_Combinee!$B:$B,(_xlfn.AGGREGATE(15,6,(ROW(Liste_Materiel_Combinee!$G$2:$G$426)-1)/(Liste_Materiel_Combinee!$G$2:$G$426=1),38)+1)),"")</f>
        <v/>
      </c>
      <c r="B40" s="104" t="str">
        <f>IFERROR(INDEX(Liste_Materiel_Combinee!$C:$C,(_xlfn.AGGREGATE(15,6,(ROW(Liste_Materiel_Combinee!$G$2:$G$426)-1)/(Liste_Materiel_Combinee!$G$2:$G$426=1),38)+1)),"")</f>
        <v/>
      </c>
      <c r="C40" s="104" t="str">
        <f>IF(IFERROR(INDEX(Liste_Materiel_Combinee!$F:$F,(_xlfn.AGGREGATE(15,6,(ROW(Liste_Materiel_Combinee!$G$2:$G$426)-1)/(Liste_Materiel_Combinee!$G$2:$G$426=1),38)+1)),"")="","",ROUNDUP(IFERROR(INDEX(Liste_Materiel_Combinee!$F:$F,(_xlfn.AGGREGATE(15,6,(ROW(Liste_Materiel_Combinee!$G$2:$G$426)-1)/(Liste_Materiel_Combinee!$G$2:$G$426=1),38)+1)),""),0))</f>
        <v/>
      </c>
      <c r="D40" s="104" t="str">
        <f>IF($H$5="EFFACER","",IFERROR(INDEX(Liste_Materiel_Combinee!$E:$E,(_xlfn.AGGREGATE(15,6,(ROW(Liste_Materiel_Combinee!$G$2:$G$426)-1)/(Liste_Materiel_Combinee!$G$2:$G$426=1),38)+1)),""))</f>
        <v/>
      </c>
      <c r="E40" s="105">
        <f t="shared" si="0"/>
        <v>0</v>
      </c>
      <c r="F40" s="104" t="str">
        <f>IFERROR(INDEX(Catalogue!$K:$K,MATCH(A40,Catalogue!$A:$A,0)),"")</f>
        <v/>
      </c>
      <c r="G40" s="102"/>
      <c r="H40" s="7"/>
      <c r="I40" s="7"/>
    </row>
    <row r="41" spans="1:9" x14ac:dyDescent="0.25">
      <c r="A41" s="103" t="str">
        <f>IFERROR(INDEX(Liste_Materiel_Combinee!$B:$B,(_xlfn.AGGREGATE(15,6,(ROW(Liste_Materiel_Combinee!$G$2:$G$426)-1)/(Liste_Materiel_Combinee!$G$2:$G$426=1),39)+1)),"")</f>
        <v/>
      </c>
      <c r="B41" s="104" t="str">
        <f>IFERROR(INDEX(Liste_Materiel_Combinee!$C:$C,(_xlfn.AGGREGATE(15,6,(ROW(Liste_Materiel_Combinee!$G$2:$G$426)-1)/(Liste_Materiel_Combinee!$G$2:$G$426=1),39)+1)),"")</f>
        <v/>
      </c>
      <c r="C41" s="104" t="str">
        <f>IF(IFERROR(INDEX(Liste_Materiel_Combinee!$F:$F,(_xlfn.AGGREGATE(15,6,(ROW(Liste_Materiel_Combinee!$G$2:$G$426)-1)/(Liste_Materiel_Combinee!$G$2:$G$426=1),39)+1)),"")="","",ROUNDUP(IFERROR(INDEX(Liste_Materiel_Combinee!$F:$F,(_xlfn.AGGREGATE(15,6,(ROW(Liste_Materiel_Combinee!$G$2:$G$426)-1)/(Liste_Materiel_Combinee!$G$2:$G$426=1),39)+1)),""),0))</f>
        <v/>
      </c>
      <c r="D41" s="104" t="str">
        <f>IF($H$5="EFFACER","",IFERROR(INDEX(Liste_Materiel_Combinee!$E:$E,(_xlfn.AGGREGATE(15,6,(ROW(Liste_Materiel_Combinee!$G$2:$G$426)-1)/(Liste_Materiel_Combinee!$G$2:$G$426=1),39)+1)),""))</f>
        <v/>
      </c>
      <c r="E41" s="105">
        <f t="shared" si="0"/>
        <v>0</v>
      </c>
      <c r="F41" s="104" t="str">
        <f>IFERROR(INDEX(Catalogue!$K:$K,MATCH(A41,Catalogue!$A:$A,0)),"")</f>
        <v/>
      </c>
      <c r="G41" s="102"/>
      <c r="H41" s="7"/>
      <c r="I41" s="7"/>
    </row>
    <row r="42" spans="1:9" x14ac:dyDescent="0.25">
      <c r="A42" s="103" t="str">
        <f>IFERROR(INDEX(Liste_Materiel_Combinee!$B:$B,(_xlfn.AGGREGATE(15,6,(ROW(Liste_Materiel_Combinee!$G$2:$G$426)-1)/(Liste_Materiel_Combinee!$G$2:$G$426=1),40)+1)),"")</f>
        <v/>
      </c>
      <c r="B42" s="104" t="str">
        <f>IFERROR(INDEX(Liste_Materiel_Combinee!$C:$C,(_xlfn.AGGREGATE(15,6,(ROW(Liste_Materiel_Combinee!$G$2:$G$426)-1)/(Liste_Materiel_Combinee!$G$2:$G$426=1),40)+1)),"")</f>
        <v/>
      </c>
      <c r="C42" s="104" t="str">
        <f>IF(IFERROR(INDEX(Liste_Materiel_Combinee!$F:$F,(_xlfn.AGGREGATE(15,6,(ROW(Liste_Materiel_Combinee!$G$2:$G$426)-1)/(Liste_Materiel_Combinee!$G$2:$G$426=1),40)+1)),"")="","",ROUNDUP(IFERROR(INDEX(Liste_Materiel_Combinee!$F:$F,(_xlfn.AGGREGATE(15,6,(ROW(Liste_Materiel_Combinee!$G$2:$G$426)-1)/(Liste_Materiel_Combinee!$G$2:$G$426=1),40)+1)),""),0))</f>
        <v/>
      </c>
      <c r="D42" s="104" t="str">
        <f>IF($H$5="EFFACER","",IFERROR(INDEX(Liste_Materiel_Combinee!$E:$E,(_xlfn.AGGREGATE(15,6,(ROW(Liste_Materiel_Combinee!$G$2:$G$426)-1)/(Liste_Materiel_Combinee!$G$2:$G$426=1),40)+1)),""))</f>
        <v/>
      </c>
      <c r="E42" s="105">
        <f t="shared" si="0"/>
        <v>0</v>
      </c>
      <c r="F42" s="104" t="str">
        <f>IFERROR(INDEX(Catalogue!$K:$K,MATCH(A42,Catalogue!$A:$A,0)),"")</f>
        <v/>
      </c>
      <c r="G42" s="102"/>
      <c r="H42" s="7"/>
      <c r="I42" s="7"/>
    </row>
    <row r="43" spans="1:9" x14ac:dyDescent="0.25">
      <c r="A43" s="103" t="str">
        <f>IFERROR(INDEX(Liste_Materiel_Combinee!$B:$B,(_xlfn.AGGREGATE(15,6,(ROW(Liste_Materiel_Combinee!$G$2:$G$426)-1)/(Liste_Materiel_Combinee!$G$2:$G$426=1),41)+1)),"")</f>
        <v/>
      </c>
      <c r="B43" s="104" t="str">
        <f>IFERROR(INDEX(Liste_Materiel_Combinee!$C:$C,(_xlfn.AGGREGATE(15,6,(ROW(Liste_Materiel_Combinee!$G$2:$G$426)-1)/(Liste_Materiel_Combinee!$G$2:$G$426=1),41)+1)),"")</f>
        <v/>
      </c>
      <c r="C43" s="104" t="str">
        <f>IF(IFERROR(INDEX(Liste_Materiel_Combinee!$F:$F,(_xlfn.AGGREGATE(15,6,(ROW(Liste_Materiel_Combinee!$G$2:$G$426)-1)/(Liste_Materiel_Combinee!$G$2:$G$426=1),41)+1)),"")="","",ROUNDUP(IFERROR(INDEX(Liste_Materiel_Combinee!$F:$F,(_xlfn.AGGREGATE(15,6,(ROW(Liste_Materiel_Combinee!$G$2:$G$426)-1)/(Liste_Materiel_Combinee!$G$2:$G$426=1),41)+1)),""),0))</f>
        <v/>
      </c>
      <c r="D43" s="104" t="str">
        <f>IF($H$5="EFFACER","",IFERROR(INDEX(Liste_Materiel_Combinee!$E:$E,(_xlfn.AGGREGATE(15,6,(ROW(Liste_Materiel_Combinee!$G$2:$G$426)-1)/(Liste_Materiel_Combinee!$G$2:$G$426=1),41)+1)),""))</f>
        <v/>
      </c>
      <c r="E43" s="105">
        <f t="shared" si="0"/>
        <v>0</v>
      </c>
      <c r="F43" s="104" t="str">
        <f>IFERROR(INDEX(Catalogue!$K:$K,MATCH(A43,Catalogue!$A:$A,0)),"")</f>
        <v/>
      </c>
      <c r="G43" s="102"/>
      <c r="H43" s="7"/>
      <c r="I43" s="7"/>
    </row>
    <row r="44" spans="1:9" x14ac:dyDescent="0.25">
      <c r="A44" s="103" t="str">
        <f>IFERROR(INDEX(Liste_Materiel_Combinee!$B:$B,(_xlfn.AGGREGATE(15,6,(ROW(Liste_Materiel_Combinee!$G$2:$G$426)-1)/(Liste_Materiel_Combinee!$G$2:$G$426=1),42)+1)),"")</f>
        <v/>
      </c>
      <c r="B44" s="104" t="str">
        <f>IFERROR(INDEX(Liste_Materiel_Combinee!$C:$C,(_xlfn.AGGREGATE(15,6,(ROW(Liste_Materiel_Combinee!$G$2:$G$426)-1)/(Liste_Materiel_Combinee!$G$2:$G$426=1),42)+1)),"")</f>
        <v/>
      </c>
      <c r="C44" s="104" t="str">
        <f>IF(IFERROR(INDEX(Liste_Materiel_Combinee!$F:$F,(_xlfn.AGGREGATE(15,6,(ROW(Liste_Materiel_Combinee!$G$2:$G$426)-1)/(Liste_Materiel_Combinee!$G$2:$G$426=1),42)+1)),"")="","",ROUNDUP(IFERROR(INDEX(Liste_Materiel_Combinee!$F:$F,(_xlfn.AGGREGATE(15,6,(ROW(Liste_Materiel_Combinee!$G$2:$G$426)-1)/(Liste_Materiel_Combinee!$G$2:$G$426=1),42)+1)),""),0))</f>
        <v/>
      </c>
      <c r="D44" s="104" t="str">
        <f>IF($H$5="EFFACER","",IFERROR(INDEX(Liste_Materiel_Combinee!$E:$E,(_xlfn.AGGREGATE(15,6,(ROW(Liste_Materiel_Combinee!$G$2:$G$426)-1)/(Liste_Materiel_Combinee!$G$2:$G$426=1),42)+1)),""))</f>
        <v/>
      </c>
      <c r="E44" s="105">
        <f t="shared" si="0"/>
        <v>0</v>
      </c>
      <c r="F44" s="104" t="str">
        <f>IFERROR(INDEX(Catalogue!$K:$K,MATCH(A44,Catalogue!$A:$A,0)),"")</f>
        <v/>
      </c>
      <c r="G44" s="102"/>
      <c r="H44" s="7"/>
      <c r="I44" s="7"/>
    </row>
    <row r="45" spans="1:9" x14ac:dyDescent="0.25">
      <c r="A45" s="103" t="str">
        <f>IFERROR(INDEX(Liste_Materiel_Combinee!$B:$B,(_xlfn.AGGREGATE(15,6,(ROW(Liste_Materiel_Combinee!$G$2:$G$426)-1)/(Liste_Materiel_Combinee!$G$2:$G$426=1),43)+1)),"")</f>
        <v/>
      </c>
      <c r="B45" s="104" t="str">
        <f>IFERROR(INDEX(Liste_Materiel_Combinee!$C:$C,(_xlfn.AGGREGATE(15,6,(ROW(Liste_Materiel_Combinee!$G$2:$G$426)-1)/(Liste_Materiel_Combinee!$G$2:$G$426=1),43)+1)),"")</f>
        <v/>
      </c>
      <c r="C45" s="104" t="str">
        <f>IF(IFERROR(INDEX(Liste_Materiel_Combinee!$F:$F,(_xlfn.AGGREGATE(15,6,(ROW(Liste_Materiel_Combinee!$G$2:$G$426)-1)/(Liste_Materiel_Combinee!$G$2:$G$426=1),43)+1)),"")="","",ROUNDUP(IFERROR(INDEX(Liste_Materiel_Combinee!$F:$F,(_xlfn.AGGREGATE(15,6,(ROW(Liste_Materiel_Combinee!$G$2:$G$426)-1)/(Liste_Materiel_Combinee!$G$2:$G$426=1),43)+1)),""),0))</f>
        <v/>
      </c>
      <c r="D45" s="104" t="str">
        <f>IF($H$5="EFFACER","",IFERROR(INDEX(Liste_Materiel_Combinee!$E:$E,(_xlfn.AGGREGATE(15,6,(ROW(Liste_Materiel_Combinee!$G$2:$G$426)-1)/(Liste_Materiel_Combinee!$G$2:$G$426=1),43)+1)),""))</f>
        <v/>
      </c>
      <c r="E45" s="105">
        <f t="shared" si="0"/>
        <v>0</v>
      </c>
      <c r="F45" s="104" t="str">
        <f>IFERROR(INDEX(Catalogue!$K:$K,MATCH(A45,Catalogue!$A:$A,0)),"")</f>
        <v/>
      </c>
      <c r="G45" s="102"/>
      <c r="H45" s="7"/>
      <c r="I45" s="7"/>
    </row>
    <row r="46" spans="1:9" x14ac:dyDescent="0.25">
      <c r="A46" s="103" t="str">
        <f>IFERROR(INDEX(Liste_Materiel_Combinee!$B:$B,(_xlfn.AGGREGATE(15,6,(ROW(Liste_Materiel_Combinee!$G$2:$G$426)-1)/(Liste_Materiel_Combinee!$G$2:$G$426=1),44)+1)),"")</f>
        <v/>
      </c>
      <c r="B46" s="104" t="str">
        <f>IFERROR(INDEX(Liste_Materiel_Combinee!$C:$C,(_xlfn.AGGREGATE(15,6,(ROW(Liste_Materiel_Combinee!$G$2:$G$426)-1)/(Liste_Materiel_Combinee!$G$2:$G$426=1),44)+1)),"")</f>
        <v/>
      </c>
      <c r="C46" s="104" t="str">
        <f>IF(IFERROR(INDEX(Liste_Materiel_Combinee!$F:$F,(_xlfn.AGGREGATE(15,6,(ROW(Liste_Materiel_Combinee!$G$2:$G$426)-1)/(Liste_Materiel_Combinee!$G$2:$G$426=1),44)+1)),"")="","",ROUNDUP(IFERROR(INDEX(Liste_Materiel_Combinee!$F:$F,(_xlfn.AGGREGATE(15,6,(ROW(Liste_Materiel_Combinee!$G$2:$G$426)-1)/(Liste_Materiel_Combinee!$G$2:$G$426=1),44)+1)),""),0))</f>
        <v/>
      </c>
      <c r="D46" s="104" t="str">
        <f>IF($H$5="EFFACER","",IFERROR(INDEX(Liste_Materiel_Combinee!$E:$E,(_xlfn.AGGREGATE(15,6,(ROW(Liste_Materiel_Combinee!$G$2:$G$426)-1)/(Liste_Materiel_Combinee!$G$2:$G$426=1),44)+1)),""))</f>
        <v/>
      </c>
      <c r="E46" s="105">
        <f t="shared" si="0"/>
        <v>0</v>
      </c>
      <c r="F46" s="104" t="str">
        <f>IFERROR(INDEX(Catalogue!$K:$K,MATCH(A46,Catalogue!$A:$A,0)),"")</f>
        <v/>
      </c>
      <c r="G46" s="102"/>
      <c r="H46" s="7"/>
      <c r="I46" s="7"/>
    </row>
    <row r="47" spans="1:9" x14ac:dyDescent="0.25">
      <c r="A47" s="103" t="str">
        <f>IFERROR(INDEX(Liste_Materiel_Combinee!$B:$B,(_xlfn.AGGREGATE(15,6,(ROW(Liste_Materiel_Combinee!$G$2:$G$426)-1)/(Liste_Materiel_Combinee!$G$2:$G$426=1),45)+1)),"")</f>
        <v/>
      </c>
      <c r="B47" s="104" t="str">
        <f>IFERROR(INDEX(Liste_Materiel_Combinee!$C:$C,(_xlfn.AGGREGATE(15,6,(ROW(Liste_Materiel_Combinee!$G$2:$G$426)-1)/(Liste_Materiel_Combinee!$G$2:$G$426=1),45)+1)),"")</f>
        <v/>
      </c>
      <c r="C47" s="104" t="str">
        <f>IF(IFERROR(INDEX(Liste_Materiel_Combinee!$F:$F,(_xlfn.AGGREGATE(15,6,(ROW(Liste_Materiel_Combinee!$G$2:$G$426)-1)/(Liste_Materiel_Combinee!$G$2:$G$426=1),45)+1)),"")="","",ROUNDUP(IFERROR(INDEX(Liste_Materiel_Combinee!$F:$F,(_xlfn.AGGREGATE(15,6,(ROW(Liste_Materiel_Combinee!$G$2:$G$426)-1)/(Liste_Materiel_Combinee!$G$2:$G$426=1),45)+1)),""),0))</f>
        <v/>
      </c>
      <c r="D47" s="104" t="str">
        <f>IF($H$5="EFFACER","",IFERROR(INDEX(Liste_Materiel_Combinee!$E:$E,(_xlfn.AGGREGATE(15,6,(ROW(Liste_Materiel_Combinee!$G$2:$G$426)-1)/(Liste_Materiel_Combinee!$G$2:$G$426=1),45)+1)),""))</f>
        <v/>
      </c>
      <c r="E47" s="105">
        <f t="shared" si="0"/>
        <v>0</v>
      </c>
      <c r="F47" s="104" t="str">
        <f>IFERROR(INDEX(Catalogue!$K:$K,MATCH(A47,Catalogue!$A:$A,0)),"")</f>
        <v/>
      </c>
      <c r="G47" s="102"/>
      <c r="H47" s="7"/>
      <c r="I47" s="7"/>
    </row>
    <row r="48" spans="1:9" x14ac:dyDescent="0.25">
      <c r="A48" s="103" t="str">
        <f>IFERROR(INDEX(Liste_Materiel_Combinee!$B:$B,(_xlfn.AGGREGATE(15,6,(ROW(Liste_Materiel_Combinee!$G$2:$G$426)-1)/(Liste_Materiel_Combinee!$G$2:$G$426=1),46)+1)),"")</f>
        <v/>
      </c>
      <c r="B48" s="104" t="str">
        <f>IFERROR(INDEX(Liste_Materiel_Combinee!$C:$C,(_xlfn.AGGREGATE(15,6,(ROW(Liste_Materiel_Combinee!$G$2:$G$426)-1)/(Liste_Materiel_Combinee!$G$2:$G$426=1),46)+1)),"")</f>
        <v/>
      </c>
      <c r="C48" s="104" t="str">
        <f>IF(IFERROR(INDEX(Liste_Materiel_Combinee!$F:$F,(_xlfn.AGGREGATE(15,6,(ROW(Liste_Materiel_Combinee!$G$2:$G$426)-1)/(Liste_Materiel_Combinee!$G$2:$G$426=1),46)+1)),"")="","",ROUNDUP(IFERROR(INDEX(Liste_Materiel_Combinee!$F:$F,(_xlfn.AGGREGATE(15,6,(ROW(Liste_Materiel_Combinee!$G$2:$G$426)-1)/(Liste_Materiel_Combinee!$G$2:$G$426=1),46)+1)),""),0))</f>
        <v/>
      </c>
      <c r="D48" s="104" t="str">
        <f>IF($H$5="EFFACER","",IFERROR(INDEX(Liste_Materiel_Combinee!$E:$E,(_xlfn.AGGREGATE(15,6,(ROW(Liste_Materiel_Combinee!$G$2:$G$426)-1)/(Liste_Materiel_Combinee!$G$2:$G$426=1),46)+1)),""))</f>
        <v/>
      </c>
      <c r="E48" s="105">
        <f t="shared" si="0"/>
        <v>0</v>
      </c>
      <c r="F48" s="104" t="str">
        <f>IFERROR(INDEX(Catalogue!$K:$K,MATCH(A48,Catalogue!$A:$A,0)),"")</f>
        <v/>
      </c>
      <c r="G48" s="102"/>
      <c r="H48" s="7"/>
      <c r="I48" s="7"/>
    </row>
    <row r="49" spans="1:9" x14ac:dyDescent="0.25">
      <c r="A49" s="103" t="str">
        <f>IFERROR(INDEX(Liste_Materiel_Combinee!$B:$B,(_xlfn.AGGREGATE(15,6,(ROW(Liste_Materiel_Combinee!$G$2:$G$426)-1)/(Liste_Materiel_Combinee!$G$2:$G$426=1),47)+1)),"")</f>
        <v/>
      </c>
      <c r="B49" s="104" t="str">
        <f>IFERROR(INDEX(Liste_Materiel_Combinee!$C:$C,(_xlfn.AGGREGATE(15,6,(ROW(Liste_Materiel_Combinee!$G$2:$G$426)-1)/(Liste_Materiel_Combinee!$G$2:$G$426=1),47)+1)),"")</f>
        <v/>
      </c>
      <c r="C49" s="104" t="str">
        <f>IF(IFERROR(INDEX(Liste_Materiel_Combinee!$F:$F,(_xlfn.AGGREGATE(15,6,(ROW(Liste_Materiel_Combinee!$G$2:$G$426)-1)/(Liste_Materiel_Combinee!$G$2:$G$426=1),47)+1)),"")="","",ROUNDUP(IFERROR(INDEX(Liste_Materiel_Combinee!$F:$F,(_xlfn.AGGREGATE(15,6,(ROW(Liste_Materiel_Combinee!$G$2:$G$426)-1)/(Liste_Materiel_Combinee!$G$2:$G$426=1),47)+1)),""),0))</f>
        <v/>
      </c>
      <c r="D49" s="104" t="str">
        <f>IF($H$5="EFFACER","",IFERROR(INDEX(Liste_Materiel_Combinee!$E:$E,(_xlfn.AGGREGATE(15,6,(ROW(Liste_Materiel_Combinee!$G$2:$G$426)-1)/(Liste_Materiel_Combinee!$G$2:$G$426=1),47)+1)),""))</f>
        <v/>
      </c>
      <c r="E49" s="105">
        <f t="shared" si="0"/>
        <v>0</v>
      </c>
      <c r="F49" s="104" t="str">
        <f>IFERROR(INDEX(Catalogue!$K:$K,MATCH(A49,Catalogue!$A:$A,0)),"")</f>
        <v/>
      </c>
      <c r="G49" s="102"/>
      <c r="H49" s="7"/>
      <c r="I49" s="7"/>
    </row>
    <row r="50" spans="1:9" x14ac:dyDescent="0.25">
      <c r="A50" s="103" t="str">
        <f>IFERROR(INDEX(Liste_Materiel_Combinee!$B:$B,(_xlfn.AGGREGATE(15,6,(ROW(Liste_Materiel_Combinee!$G$2:$G$426)-1)/(Liste_Materiel_Combinee!$G$2:$G$426=1),48)+1)),"")</f>
        <v/>
      </c>
      <c r="B50" s="104" t="str">
        <f>IFERROR(INDEX(Liste_Materiel_Combinee!$C:$C,(_xlfn.AGGREGATE(15,6,(ROW(Liste_Materiel_Combinee!$G$2:$G$426)-1)/(Liste_Materiel_Combinee!$G$2:$G$426=1),48)+1)),"")</f>
        <v/>
      </c>
      <c r="C50" s="104" t="str">
        <f>IF(IFERROR(INDEX(Liste_Materiel_Combinee!$F:$F,(_xlfn.AGGREGATE(15,6,(ROW(Liste_Materiel_Combinee!$G$2:$G$426)-1)/(Liste_Materiel_Combinee!$G$2:$G$426=1),48)+1)),"")="","",ROUNDUP(IFERROR(INDEX(Liste_Materiel_Combinee!$F:$F,(_xlfn.AGGREGATE(15,6,(ROW(Liste_Materiel_Combinee!$G$2:$G$426)-1)/(Liste_Materiel_Combinee!$G$2:$G$426=1),48)+1)),""),0))</f>
        <v/>
      </c>
      <c r="D50" s="104" t="str">
        <f>IF($H$5="EFFACER","",IFERROR(INDEX(Liste_Materiel_Combinee!$E:$E,(_xlfn.AGGREGATE(15,6,(ROW(Liste_Materiel_Combinee!$G$2:$G$426)-1)/(Liste_Materiel_Combinee!$G$2:$G$426=1),48)+1)),""))</f>
        <v/>
      </c>
      <c r="E50" s="105">
        <f t="shared" si="0"/>
        <v>0</v>
      </c>
      <c r="F50" s="104" t="str">
        <f>IFERROR(INDEX(Catalogue!$K:$K,MATCH(A50,Catalogue!$A:$A,0)),"")</f>
        <v/>
      </c>
      <c r="G50" s="102"/>
      <c r="H50" s="7"/>
      <c r="I50" s="7"/>
    </row>
    <row r="51" spans="1:9" x14ac:dyDescent="0.25">
      <c r="A51" s="103" t="str">
        <f>IFERROR(INDEX(Liste_Materiel_Combinee!$B:$B,(_xlfn.AGGREGATE(15,6,(ROW(Liste_Materiel_Combinee!$G$2:$G$426)-1)/(Liste_Materiel_Combinee!$G$2:$G$426=1),49)+1)),"")</f>
        <v/>
      </c>
      <c r="B51" s="104" t="str">
        <f>IFERROR(INDEX(Liste_Materiel_Combinee!$C:$C,(_xlfn.AGGREGATE(15,6,(ROW(Liste_Materiel_Combinee!$G$2:$G$426)-1)/(Liste_Materiel_Combinee!$G$2:$G$426=1),49)+1)),"")</f>
        <v/>
      </c>
      <c r="C51" s="104" t="str">
        <f>IF(IFERROR(INDEX(Liste_Materiel_Combinee!$F:$F,(_xlfn.AGGREGATE(15,6,(ROW(Liste_Materiel_Combinee!$G$2:$G$426)-1)/(Liste_Materiel_Combinee!$G$2:$G$426=1),49)+1)),"")="","",ROUNDUP(IFERROR(INDEX(Liste_Materiel_Combinee!$F:$F,(_xlfn.AGGREGATE(15,6,(ROW(Liste_Materiel_Combinee!$G$2:$G$426)-1)/(Liste_Materiel_Combinee!$G$2:$G$426=1),49)+1)),""),0))</f>
        <v/>
      </c>
      <c r="D51" s="104" t="str">
        <f>IF($H$5="EFFACER","",IFERROR(INDEX(Liste_Materiel_Combinee!$E:$E,(_xlfn.AGGREGATE(15,6,(ROW(Liste_Materiel_Combinee!$G$2:$G$426)-1)/(Liste_Materiel_Combinee!$G$2:$G$426=1),49)+1)),""))</f>
        <v/>
      </c>
      <c r="E51" s="105">
        <f t="shared" si="0"/>
        <v>0</v>
      </c>
      <c r="F51" s="104" t="str">
        <f>IFERROR(INDEX(Catalogue!$K:$K,MATCH(A51,Catalogue!$A:$A,0)),"")</f>
        <v/>
      </c>
      <c r="G51" s="102"/>
      <c r="H51" s="7"/>
      <c r="I51" s="7"/>
    </row>
    <row r="52" spans="1:9" x14ac:dyDescent="0.25">
      <c r="A52" s="103" t="str">
        <f>IFERROR(INDEX(Liste_Materiel_Combinee!$B:$B,(_xlfn.AGGREGATE(15,6,(ROW(Liste_Materiel_Combinee!$G$2:$G$426)-1)/(Liste_Materiel_Combinee!$G$2:$G$426=1),50)+1)),"")</f>
        <v/>
      </c>
      <c r="B52" s="104" t="str">
        <f>IFERROR(INDEX(Liste_Materiel_Combinee!$C:$C,(_xlfn.AGGREGATE(15,6,(ROW(Liste_Materiel_Combinee!$G$2:$G$426)-1)/(Liste_Materiel_Combinee!$G$2:$G$426=1),50)+1)),"")</f>
        <v/>
      </c>
      <c r="C52" s="104" t="str">
        <f>IF(IFERROR(INDEX(Liste_Materiel_Combinee!$F:$F,(_xlfn.AGGREGATE(15,6,(ROW(Liste_Materiel_Combinee!$G$2:$G$426)-1)/(Liste_Materiel_Combinee!$G$2:$G$426=1),50)+1)),"")="","",ROUNDUP(IFERROR(INDEX(Liste_Materiel_Combinee!$F:$F,(_xlfn.AGGREGATE(15,6,(ROW(Liste_Materiel_Combinee!$G$2:$G$426)-1)/(Liste_Materiel_Combinee!$G$2:$G$426=1),50)+1)),""),0))</f>
        <v/>
      </c>
      <c r="D52" s="104" t="str">
        <f>IF($H$5="EFFACER","",IFERROR(INDEX(Liste_Materiel_Combinee!$E:$E,(_xlfn.AGGREGATE(15,6,(ROW(Liste_Materiel_Combinee!$G$2:$G$426)-1)/(Liste_Materiel_Combinee!$G$2:$G$426=1),50)+1)),""))</f>
        <v/>
      </c>
      <c r="E52" s="105">
        <f t="shared" si="0"/>
        <v>0</v>
      </c>
      <c r="F52" s="104" t="str">
        <f>IFERROR(INDEX(Catalogue!$K:$K,MATCH(A52,Catalogue!$A:$A,0)),"")</f>
        <v/>
      </c>
      <c r="G52" s="102"/>
      <c r="H52" s="7"/>
      <c r="I52" s="7"/>
    </row>
    <row r="53" spans="1:9" x14ac:dyDescent="0.25">
      <c r="A53" s="103" t="str">
        <f>IFERROR(INDEX(Liste_Materiel_Combinee!$B:$B,(_xlfn.AGGREGATE(15,6,(ROW(Liste_Materiel_Combinee!$G$2:$G$426)-1)/(Liste_Materiel_Combinee!$G$2:$G$426=1),51)+1)),"")</f>
        <v/>
      </c>
      <c r="B53" s="104" t="str">
        <f>IFERROR(INDEX(Liste_Materiel_Combinee!$C:$C,(_xlfn.AGGREGATE(15,6,(ROW(Liste_Materiel_Combinee!$G$2:$G$426)-1)/(Liste_Materiel_Combinee!$G$2:$G$426=1),51)+1)),"")</f>
        <v/>
      </c>
      <c r="C53" s="104" t="str">
        <f>IF(IFERROR(INDEX(Liste_Materiel_Combinee!$F:$F,(_xlfn.AGGREGATE(15,6,(ROW(Liste_Materiel_Combinee!$G$2:$G$426)-1)/(Liste_Materiel_Combinee!$G$2:$G$426=1),51)+1)),"")="","",ROUNDUP(IFERROR(INDEX(Liste_Materiel_Combinee!$F:$F,(_xlfn.AGGREGATE(15,6,(ROW(Liste_Materiel_Combinee!$G$2:$G$426)-1)/(Liste_Materiel_Combinee!$G$2:$G$426=1),51)+1)),""),0))</f>
        <v/>
      </c>
      <c r="D53" s="104" t="str">
        <f>IF($H$5="EFFACER","",IFERROR(INDEX(Liste_Materiel_Combinee!$E:$E,(_xlfn.AGGREGATE(15,6,(ROW(Liste_Materiel_Combinee!$G$2:$G$426)-1)/(Liste_Materiel_Combinee!$G$2:$G$426=1),51)+1)),""))</f>
        <v/>
      </c>
      <c r="E53" s="105">
        <f t="shared" si="0"/>
        <v>0</v>
      </c>
      <c r="F53" s="104" t="str">
        <f>IFERROR(INDEX(Catalogue!$K:$K,MATCH(A53,Catalogue!$A:$A,0)),"")</f>
        <v/>
      </c>
      <c r="G53" s="102"/>
      <c r="H53" s="7"/>
      <c r="I53" s="7"/>
    </row>
    <row r="54" spans="1:9" x14ac:dyDescent="0.25">
      <c r="A54" s="103" t="str">
        <f>IFERROR(INDEX(Liste_Materiel_Combinee!$B:$B,(_xlfn.AGGREGATE(15,6,(ROW(Liste_Materiel_Combinee!$G$2:$G$426)-1)/(Liste_Materiel_Combinee!$G$2:$G$426=1),52)+1)),"")</f>
        <v/>
      </c>
      <c r="B54" s="104" t="str">
        <f>IFERROR(INDEX(Liste_Materiel_Combinee!$C:$C,(_xlfn.AGGREGATE(15,6,(ROW(Liste_Materiel_Combinee!$G$2:$G$426)-1)/(Liste_Materiel_Combinee!$G$2:$G$426=1),52)+1)),"")</f>
        <v/>
      </c>
      <c r="C54" s="104" t="str">
        <f>IF(IFERROR(INDEX(Liste_Materiel_Combinee!$F:$F,(_xlfn.AGGREGATE(15,6,(ROW(Liste_Materiel_Combinee!$G$2:$G$426)-1)/(Liste_Materiel_Combinee!$G$2:$G$426=1),52)+1)),"")="","",ROUNDUP(IFERROR(INDEX(Liste_Materiel_Combinee!$F:$F,(_xlfn.AGGREGATE(15,6,(ROW(Liste_Materiel_Combinee!$G$2:$G$426)-1)/(Liste_Materiel_Combinee!$G$2:$G$426=1),52)+1)),""),0))</f>
        <v/>
      </c>
      <c r="D54" s="104" t="str">
        <f>IF($H$5="EFFACER","",IFERROR(INDEX(Liste_Materiel_Combinee!$E:$E,(_xlfn.AGGREGATE(15,6,(ROW(Liste_Materiel_Combinee!$G$2:$G$426)-1)/(Liste_Materiel_Combinee!$G$2:$G$426=1),52)+1)),""))</f>
        <v/>
      </c>
      <c r="E54" s="105">
        <f t="shared" si="0"/>
        <v>0</v>
      </c>
      <c r="F54" s="104" t="str">
        <f>IFERROR(INDEX(Catalogue!$K:$K,MATCH(A54,Catalogue!$A:$A,0)),"")</f>
        <v/>
      </c>
      <c r="G54" s="102"/>
      <c r="H54" s="7"/>
      <c r="I54" s="7"/>
    </row>
    <row r="55" spans="1:9" x14ac:dyDescent="0.25">
      <c r="A55" s="103" t="str">
        <f>IFERROR(INDEX(Liste_Materiel_Combinee!$B:$B,(_xlfn.AGGREGATE(15,6,(ROW(Liste_Materiel_Combinee!$G$2:$G$426)-1)/(Liste_Materiel_Combinee!$G$2:$G$426=1),53)+1)),"")</f>
        <v/>
      </c>
      <c r="B55" s="104" t="str">
        <f>IFERROR(INDEX(Liste_Materiel_Combinee!$C:$C,(_xlfn.AGGREGATE(15,6,(ROW(Liste_Materiel_Combinee!$G$2:$G$426)-1)/(Liste_Materiel_Combinee!$G$2:$G$426=1),53)+1)),"")</f>
        <v/>
      </c>
      <c r="C55" s="104" t="str">
        <f>IF(IFERROR(INDEX(Liste_Materiel_Combinee!$F:$F,(_xlfn.AGGREGATE(15,6,(ROW(Liste_Materiel_Combinee!$G$2:$G$426)-1)/(Liste_Materiel_Combinee!$G$2:$G$426=1),53)+1)),"")="","",ROUNDUP(IFERROR(INDEX(Liste_Materiel_Combinee!$F:$F,(_xlfn.AGGREGATE(15,6,(ROW(Liste_Materiel_Combinee!$G$2:$G$426)-1)/(Liste_Materiel_Combinee!$G$2:$G$426=1),53)+1)),""),0))</f>
        <v/>
      </c>
      <c r="D55" s="104" t="str">
        <f>IF($H$5="EFFACER","",IFERROR(INDEX(Liste_Materiel_Combinee!$E:$E,(_xlfn.AGGREGATE(15,6,(ROW(Liste_Materiel_Combinee!$G$2:$G$426)-1)/(Liste_Materiel_Combinee!$G$2:$G$426=1),53)+1)),""))</f>
        <v/>
      </c>
      <c r="E55" s="105">
        <f t="shared" si="0"/>
        <v>0</v>
      </c>
      <c r="F55" s="104" t="str">
        <f>IFERROR(INDEX(Catalogue!$K:$K,MATCH(A55,Catalogue!$A:$A,0)),"")</f>
        <v/>
      </c>
      <c r="G55" s="102"/>
      <c r="H55" s="7"/>
      <c r="I55" s="7"/>
    </row>
    <row r="56" spans="1:9" x14ac:dyDescent="0.25">
      <c r="A56" s="103" t="str">
        <f>IFERROR(INDEX(Liste_Materiel_Combinee!$B:$B,(_xlfn.AGGREGATE(15,6,(ROW(Liste_Materiel_Combinee!$G$2:$G$426)-1)/(Liste_Materiel_Combinee!$G$2:$G$426=1),54)+1)),"")</f>
        <v/>
      </c>
      <c r="B56" s="104" t="str">
        <f>IFERROR(INDEX(Liste_Materiel_Combinee!$C:$C,(_xlfn.AGGREGATE(15,6,(ROW(Liste_Materiel_Combinee!$G$2:$G$426)-1)/(Liste_Materiel_Combinee!$G$2:$G$426=1),54)+1)),"")</f>
        <v/>
      </c>
      <c r="C56" s="104" t="str">
        <f>IF(IFERROR(INDEX(Liste_Materiel_Combinee!$F:$F,(_xlfn.AGGREGATE(15,6,(ROW(Liste_Materiel_Combinee!$G$2:$G$426)-1)/(Liste_Materiel_Combinee!$G$2:$G$426=1),54)+1)),"")="","",ROUNDUP(IFERROR(INDEX(Liste_Materiel_Combinee!$F:$F,(_xlfn.AGGREGATE(15,6,(ROW(Liste_Materiel_Combinee!$G$2:$G$426)-1)/(Liste_Materiel_Combinee!$G$2:$G$426=1),54)+1)),""),0))</f>
        <v/>
      </c>
      <c r="D56" s="104" t="str">
        <f>IF($H$5="EFFACER","",IFERROR(INDEX(Liste_Materiel_Combinee!$E:$E,(_xlfn.AGGREGATE(15,6,(ROW(Liste_Materiel_Combinee!$G$2:$G$426)-1)/(Liste_Materiel_Combinee!$G$2:$G$426=1),54)+1)),""))</f>
        <v/>
      </c>
      <c r="E56" s="105">
        <f t="shared" si="0"/>
        <v>0</v>
      </c>
      <c r="F56" s="104" t="str">
        <f>IFERROR(INDEX(Catalogue!$K:$K,MATCH(A56,Catalogue!$A:$A,0)),"")</f>
        <v/>
      </c>
      <c r="G56" s="102"/>
      <c r="H56" s="7"/>
      <c r="I56" s="7"/>
    </row>
    <row r="57" spans="1:9" x14ac:dyDescent="0.25">
      <c r="A57" s="103" t="str">
        <f>IFERROR(INDEX(Liste_Materiel_Combinee!$B:$B,(_xlfn.AGGREGATE(15,6,(ROW(Liste_Materiel_Combinee!$G$2:$G$426)-1)/(Liste_Materiel_Combinee!$G$2:$G$426=1),55)+1)),"")</f>
        <v/>
      </c>
      <c r="B57" s="104" t="str">
        <f>IFERROR(INDEX(Liste_Materiel_Combinee!$C:$C,(_xlfn.AGGREGATE(15,6,(ROW(Liste_Materiel_Combinee!$G$2:$G$426)-1)/(Liste_Materiel_Combinee!$G$2:$G$426=1),55)+1)),"")</f>
        <v/>
      </c>
      <c r="C57" s="104" t="str">
        <f>IF(IFERROR(INDEX(Liste_Materiel_Combinee!$F:$F,(_xlfn.AGGREGATE(15,6,(ROW(Liste_Materiel_Combinee!$G$2:$G$426)-1)/(Liste_Materiel_Combinee!$G$2:$G$426=1),55)+1)),"")="","",ROUNDUP(IFERROR(INDEX(Liste_Materiel_Combinee!$F:$F,(_xlfn.AGGREGATE(15,6,(ROW(Liste_Materiel_Combinee!$G$2:$G$426)-1)/(Liste_Materiel_Combinee!$G$2:$G$426=1),55)+1)),""),0))</f>
        <v/>
      </c>
      <c r="D57" s="104" t="str">
        <f>IF($H$5="EFFACER","",IFERROR(INDEX(Liste_Materiel_Combinee!$E:$E,(_xlfn.AGGREGATE(15,6,(ROW(Liste_Materiel_Combinee!$G$2:$G$426)-1)/(Liste_Materiel_Combinee!$G$2:$G$426=1),55)+1)),""))</f>
        <v/>
      </c>
      <c r="E57" s="105">
        <f t="shared" si="0"/>
        <v>0</v>
      </c>
      <c r="F57" s="104" t="str">
        <f>IFERROR(INDEX(Catalogue!$K:$K,MATCH(A57,Catalogue!$A:$A,0)),"")</f>
        <v/>
      </c>
      <c r="G57" s="102"/>
      <c r="H57" s="7"/>
      <c r="I57" s="7"/>
    </row>
    <row r="58" spans="1:9" x14ac:dyDescent="0.25">
      <c r="A58" s="103" t="str">
        <f>IFERROR(INDEX(Liste_Materiel_Combinee!$B:$B,(_xlfn.AGGREGATE(15,6,(ROW(Liste_Materiel_Combinee!$G$2:$G$426)-1)/(Liste_Materiel_Combinee!$G$2:$G$426=1),56)+1)),"")</f>
        <v/>
      </c>
      <c r="B58" s="104" t="str">
        <f>IFERROR(INDEX(Liste_Materiel_Combinee!$C:$C,(_xlfn.AGGREGATE(15,6,(ROW(Liste_Materiel_Combinee!$G$2:$G$426)-1)/(Liste_Materiel_Combinee!$G$2:$G$426=1),56)+1)),"")</f>
        <v/>
      </c>
      <c r="C58" s="104" t="str">
        <f>IF(IFERROR(INDEX(Liste_Materiel_Combinee!$F:$F,(_xlfn.AGGREGATE(15,6,(ROW(Liste_Materiel_Combinee!$G$2:$G$426)-1)/(Liste_Materiel_Combinee!$G$2:$G$426=1),56)+1)),"")="","",ROUNDUP(IFERROR(INDEX(Liste_Materiel_Combinee!$F:$F,(_xlfn.AGGREGATE(15,6,(ROW(Liste_Materiel_Combinee!$G$2:$G$426)-1)/(Liste_Materiel_Combinee!$G$2:$G$426=1),56)+1)),""),0))</f>
        <v/>
      </c>
      <c r="D58" s="104" t="str">
        <f>IF($H$5="EFFACER","",IFERROR(INDEX(Liste_Materiel_Combinee!$E:$E,(_xlfn.AGGREGATE(15,6,(ROW(Liste_Materiel_Combinee!$G$2:$G$426)-1)/(Liste_Materiel_Combinee!$G$2:$G$426=1),56)+1)),""))</f>
        <v/>
      </c>
      <c r="E58" s="105">
        <f t="shared" si="0"/>
        <v>0</v>
      </c>
      <c r="F58" s="104" t="str">
        <f>IFERROR(INDEX(Catalogue!$K:$K,MATCH(A58,Catalogue!$A:$A,0)),"")</f>
        <v/>
      </c>
      <c r="G58" s="102"/>
      <c r="H58" s="7"/>
      <c r="I58" s="7"/>
    </row>
    <row r="59" spans="1:9" x14ac:dyDescent="0.25">
      <c r="A59" s="103" t="str">
        <f>IFERROR(INDEX(Liste_Materiel_Combinee!$B:$B,(_xlfn.AGGREGATE(15,6,(ROW(Liste_Materiel_Combinee!$G$2:$G$426)-1)/(Liste_Materiel_Combinee!$G$2:$G$426=1),57)+1)),"")</f>
        <v/>
      </c>
      <c r="B59" s="104" t="str">
        <f>IFERROR(INDEX(Liste_Materiel_Combinee!$C:$C,(_xlfn.AGGREGATE(15,6,(ROW(Liste_Materiel_Combinee!$G$2:$G$426)-1)/(Liste_Materiel_Combinee!$G$2:$G$426=1),57)+1)),"")</f>
        <v/>
      </c>
      <c r="C59" s="104" t="str">
        <f>IF(IFERROR(INDEX(Liste_Materiel_Combinee!$F:$F,(_xlfn.AGGREGATE(15,6,(ROW(Liste_Materiel_Combinee!$G$2:$G$426)-1)/(Liste_Materiel_Combinee!$G$2:$G$426=1),57)+1)),"")="","",ROUNDUP(IFERROR(INDEX(Liste_Materiel_Combinee!$F:$F,(_xlfn.AGGREGATE(15,6,(ROW(Liste_Materiel_Combinee!$G$2:$G$426)-1)/(Liste_Materiel_Combinee!$G$2:$G$426=1),57)+1)),""),0))</f>
        <v/>
      </c>
      <c r="D59" s="104" t="str">
        <f>IF($H$5="EFFACER","",IFERROR(INDEX(Liste_Materiel_Combinee!$E:$E,(_xlfn.AGGREGATE(15,6,(ROW(Liste_Materiel_Combinee!$G$2:$G$426)-1)/(Liste_Materiel_Combinee!$G$2:$G$426=1),57)+1)),""))</f>
        <v/>
      </c>
      <c r="E59" s="105">
        <f t="shared" si="0"/>
        <v>0</v>
      </c>
      <c r="F59" s="104" t="str">
        <f>IFERROR(INDEX(Catalogue!$K:$K,MATCH(A59,Catalogue!$A:$A,0)),"")</f>
        <v/>
      </c>
      <c r="G59" s="102"/>
      <c r="H59" s="7"/>
      <c r="I59" s="7"/>
    </row>
    <row r="60" spans="1:9" x14ac:dyDescent="0.25">
      <c r="A60" s="103" t="str">
        <f>IFERROR(INDEX(Liste_Materiel_Combinee!$B:$B,(_xlfn.AGGREGATE(15,6,(ROW(Liste_Materiel_Combinee!$G$2:$G$426)-1)/(Liste_Materiel_Combinee!$G$2:$G$426=1),58)+1)),"")</f>
        <v/>
      </c>
      <c r="B60" s="104" t="str">
        <f>IFERROR(INDEX(Liste_Materiel_Combinee!$C:$C,(_xlfn.AGGREGATE(15,6,(ROW(Liste_Materiel_Combinee!$G$2:$G$426)-1)/(Liste_Materiel_Combinee!$G$2:$G$426=1),58)+1)),"")</f>
        <v/>
      </c>
      <c r="C60" s="104" t="str">
        <f>IF(IFERROR(INDEX(Liste_Materiel_Combinee!$F:$F,(_xlfn.AGGREGATE(15,6,(ROW(Liste_Materiel_Combinee!$G$2:$G$426)-1)/(Liste_Materiel_Combinee!$G$2:$G$426=1),58)+1)),"")="","",ROUNDUP(IFERROR(INDEX(Liste_Materiel_Combinee!$F:$F,(_xlfn.AGGREGATE(15,6,(ROW(Liste_Materiel_Combinee!$G$2:$G$426)-1)/(Liste_Materiel_Combinee!$G$2:$G$426=1),58)+1)),""),0))</f>
        <v/>
      </c>
      <c r="D60" s="104" t="str">
        <f>IF($H$5="EFFACER","",IFERROR(INDEX(Liste_Materiel_Combinee!$E:$E,(_xlfn.AGGREGATE(15,6,(ROW(Liste_Materiel_Combinee!$G$2:$G$426)-1)/(Liste_Materiel_Combinee!$G$2:$G$426=1),58)+1)),""))</f>
        <v/>
      </c>
      <c r="E60" s="105">
        <f t="shared" si="0"/>
        <v>0</v>
      </c>
      <c r="F60" s="104" t="str">
        <f>IFERROR(INDEX(Catalogue!$K:$K,MATCH(A60,Catalogue!$A:$A,0)),"")</f>
        <v/>
      </c>
      <c r="G60" s="102"/>
      <c r="H60" s="7"/>
      <c r="I60" s="7"/>
    </row>
    <row r="61" spans="1:9" x14ac:dyDescent="0.25">
      <c r="A61" s="103" t="str">
        <f>IFERROR(INDEX(Liste_Materiel_Combinee!$B:$B,(_xlfn.AGGREGATE(15,6,(ROW(Liste_Materiel_Combinee!$G$2:$G$426)-1)/(Liste_Materiel_Combinee!$G$2:$G$426=1),59)+1)),"")</f>
        <v/>
      </c>
      <c r="B61" s="104" t="str">
        <f>IFERROR(INDEX(Liste_Materiel_Combinee!$C:$C,(_xlfn.AGGREGATE(15,6,(ROW(Liste_Materiel_Combinee!$G$2:$G$426)-1)/(Liste_Materiel_Combinee!$G$2:$G$426=1),59)+1)),"")</f>
        <v/>
      </c>
      <c r="C61" s="104" t="str">
        <f>IF(IFERROR(INDEX(Liste_Materiel_Combinee!$F:$F,(_xlfn.AGGREGATE(15,6,(ROW(Liste_Materiel_Combinee!$G$2:$G$426)-1)/(Liste_Materiel_Combinee!$G$2:$G$426=1),59)+1)),"")="","",ROUNDUP(IFERROR(INDEX(Liste_Materiel_Combinee!$F:$F,(_xlfn.AGGREGATE(15,6,(ROW(Liste_Materiel_Combinee!$G$2:$G$426)-1)/(Liste_Materiel_Combinee!$G$2:$G$426=1),59)+1)),""),0))</f>
        <v/>
      </c>
      <c r="D61" s="104" t="str">
        <f>IF($H$5="EFFACER","",IFERROR(INDEX(Liste_Materiel_Combinee!$E:$E,(_xlfn.AGGREGATE(15,6,(ROW(Liste_Materiel_Combinee!$G$2:$G$426)-1)/(Liste_Materiel_Combinee!$G$2:$G$426=1),59)+1)),""))</f>
        <v/>
      </c>
      <c r="E61" s="105">
        <f t="shared" si="0"/>
        <v>0</v>
      </c>
      <c r="F61" s="104" t="str">
        <f>IFERROR(INDEX(Catalogue!$K:$K,MATCH(A61,Catalogue!$A:$A,0)),"")</f>
        <v/>
      </c>
      <c r="G61" s="102"/>
      <c r="H61" s="7"/>
      <c r="I61" s="7"/>
    </row>
    <row r="62" spans="1:9" x14ac:dyDescent="0.25">
      <c r="A62" s="103" t="str">
        <f>IFERROR(INDEX(Liste_Materiel_Combinee!$B:$B,(_xlfn.AGGREGATE(15,6,(ROW(Liste_Materiel_Combinee!$G$2:$G$426)-1)/(Liste_Materiel_Combinee!$G$2:$G$426=1),60)+1)),"")</f>
        <v/>
      </c>
      <c r="B62" s="104" t="str">
        <f>IFERROR(INDEX(Liste_Materiel_Combinee!$C:$C,(_xlfn.AGGREGATE(15,6,(ROW(Liste_Materiel_Combinee!$G$2:$G$426)-1)/(Liste_Materiel_Combinee!$G$2:$G$426=1),60)+1)),"")</f>
        <v/>
      </c>
      <c r="C62" s="104" t="str">
        <f>IF(IFERROR(INDEX(Liste_Materiel_Combinee!$F:$F,(_xlfn.AGGREGATE(15,6,(ROW(Liste_Materiel_Combinee!$G$2:$G$426)-1)/(Liste_Materiel_Combinee!$G$2:$G$426=1),60)+1)),"")="","",ROUNDUP(IFERROR(INDEX(Liste_Materiel_Combinee!$F:$F,(_xlfn.AGGREGATE(15,6,(ROW(Liste_Materiel_Combinee!$G$2:$G$426)-1)/(Liste_Materiel_Combinee!$G$2:$G$426=1),60)+1)),""),0))</f>
        <v/>
      </c>
      <c r="D62" s="104" t="str">
        <f>IF($H$5="EFFACER","",IFERROR(INDEX(Liste_Materiel_Combinee!$E:$E,(_xlfn.AGGREGATE(15,6,(ROW(Liste_Materiel_Combinee!$G$2:$G$426)-1)/(Liste_Materiel_Combinee!$G$2:$G$426=1),60)+1)),""))</f>
        <v/>
      </c>
      <c r="E62" s="105">
        <f t="shared" si="0"/>
        <v>0</v>
      </c>
      <c r="F62" s="104" t="str">
        <f>IFERROR(INDEX(Catalogue!$K:$K,MATCH(A62,Catalogue!$A:$A,0)),"")</f>
        <v/>
      </c>
      <c r="G62" s="102"/>
      <c r="H62" s="7"/>
      <c r="I62" s="7"/>
    </row>
    <row r="63" spans="1:9" x14ac:dyDescent="0.25">
      <c r="A63" s="103" t="str">
        <f>IFERROR(INDEX(Liste_Materiel_Combinee!$B:$B,(_xlfn.AGGREGATE(15,6,(ROW(Liste_Materiel_Combinee!$G$2:$G$426)-1)/(Liste_Materiel_Combinee!$G$2:$G$426=1),61)+1)),"")</f>
        <v/>
      </c>
      <c r="B63" s="104" t="str">
        <f>IFERROR(INDEX(Liste_Materiel_Combinee!$C:$C,(_xlfn.AGGREGATE(15,6,(ROW(Liste_Materiel_Combinee!$G$2:$G$426)-1)/(Liste_Materiel_Combinee!$G$2:$G$426=1),61)+1)),"")</f>
        <v/>
      </c>
      <c r="C63" s="104" t="str">
        <f>IF(IFERROR(INDEX(Liste_Materiel_Combinee!$F:$F,(_xlfn.AGGREGATE(15,6,(ROW(Liste_Materiel_Combinee!$G$2:$G$426)-1)/(Liste_Materiel_Combinee!$G$2:$G$426=1),61)+1)),"")="","",ROUNDUP(IFERROR(INDEX(Liste_Materiel_Combinee!$F:$F,(_xlfn.AGGREGATE(15,6,(ROW(Liste_Materiel_Combinee!$G$2:$G$426)-1)/(Liste_Materiel_Combinee!$G$2:$G$426=1),61)+1)),""),0))</f>
        <v/>
      </c>
      <c r="D63" s="104" t="str">
        <f>IF($H$5="EFFACER","",IFERROR(INDEX(Liste_Materiel_Combinee!$E:$E,(_xlfn.AGGREGATE(15,6,(ROW(Liste_Materiel_Combinee!$G$2:$G$426)-1)/(Liste_Materiel_Combinee!$G$2:$G$426=1),61)+1)),""))</f>
        <v/>
      </c>
      <c r="E63" s="105">
        <f t="shared" si="0"/>
        <v>0</v>
      </c>
      <c r="F63" s="104" t="str">
        <f>IFERROR(INDEX(Catalogue!$K:$K,MATCH(A63,Catalogue!$A:$A,0)),"")</f>
        <v/>
      </c>
      <c r="G63" s="102"/>
      <c r="H63" s="7"/>
      <c r="I63" s="7"/>
    </row>
    <row r="64" spans="1:9" x14ac:dyDescent="0.25">
      <c r="A64" s="103" t="str">
        <f>IFERROR(INDEX(Liste_Materiel_Combinee!$B:$B,(_xlfn.AGGREGATE(15,6,(ROW(Liste_Materiel_Combinee!$G$2:$G$426)-1)/(Liste_Materiel_Combinee!$G$2:$G$426=1),62)+1)),"")</f>
        <v/>
      </c>
      <c r="B64" s="104" t="str">
        <f>IFERROR(INDEX(Liste_Materiel_Combinee!$C:$C,(_xlfn.AGGREGATE(15,6,(ROW(Liste_Materiel_Combinee!$G$2:$G$426)-1)/(Liste_Materiel_Combinee!$G$2:$G$426=1),62)+1)),"")</f>
        <v/>
      </c>
      <c r="C64" s="104" t="str">
        <f>IF(IFERROR(INDEX(Liste_Materiel_Combinee!$F:$F,(_xlfn.AGGREGATE(15,6,(ROW(Liste_Materiel_Combinee!$G$2:$G$426)-1)/(Liste_Materiel_Combinee!$G$2:$G$426=1),62)+1)),"")="","",ROUNDUP(IFERROR(INDEX(Liste_Materiel_Combinee!$F:$F,(_xlfn.AGGREGATE(15,6,(ROW(Liste_Materiel_Combinee!$G$2:$G$426)-1)/(Liste_Materiel_Combinee!$G$2:$G$426=1),62)+1)),""),0))</f>
        <v/>
      </c>
      <c r="D64" s="104" t="str">
        <f>IF($H$5="EFFACER","",IFERROR(INDEX(Liste_Materiel_Combinee!$E:$E,(_xlfn.AGGREGATE(15,6,(ROW(Liste_Materiel_Combinee!$G$2:$G$426)-1)/(Liste_Materiel_Combinee!$G$2:$G$426=1),62)+1)),""))</f>
        <v/>
      </c>
      <c r="E64" s="105">
        <f t="shared" si="0"/>
        <v>0</v>
      </c>
      <c r="F64" s="104" t="str">
        <f>IFERROR(INDEX(Catalogue!$K:$K,MATCH(A64,Catalogue!$A:$A,0)),"")</f>
        <v/>
      </c>
      <c r="G64" s="102"/>
      <c r="H64" s="7"/>
      <c r="I64" s="7"/>
    </row>
    <row r="65" spans="1:9" x14ac:dyDescent="0.25">
      <c r="A65" s="103" t="str">
        <f>IFERROR(INDEX(Liste_Materiel_Combinee!$B:$B,(_xlfn.AGGREGATE(15,6,(ROW(Liste_Materiel_Combinee!$G$2:$G$426)-1)/(Liste_Materiel_Combinee!$G$2:$G$426=1),63)+1)),"")</f>
        <v/>
      </c>
      <c r="B65" s="104" t="str">
        <f>IFERROR(INDEX(Liste_Materiel_Combinee!$C:$C,(_xlfn.AGGREGATE(15,6,(ROW(Liste_Materiel_Combinee!$G$2:$G$426)-1)/(Liste_Materiel_Combinee!$G$2:$G$426=1),63)+1)),"")</f>
        <v/>
      </c>
      <c r="C65" s="104" t="str">
        <f>IF(IFERROR(INDEX(Liste_Materiel_Combinee!$F:$F,(_xlfn.AGGREGATE(15,6,(ROW(Liste_Materiel_Combinee!$G$2:$G$426)-1)/(Liste_Materiel_Combinee!$G$2:$G$426=1),63)+1)),"")="","",ROUNDUP(IFERROR(INDEX(Liste_Materiel_Combinee!$F:$F,(_xlfn.AGGREGATE(15,6,(ROW(Liste_Materiel_Combinee!$G$2:$G$426)-1)/(Liste_Materiel_Combinee!$G$2:$G$426=1),63)+1)),""),0))</f>
        <v/>
      </c>
      <c r="D65" s="104" t="str">
        <f>IF($H$5="EFFACER","",IFERROR(INDEX(Liste_Materiel_Combinee!$E:$E,(_xlfn.AGGREGATE(15,6,(ROW(Liste_Materiel_Combinee!$G$2:$G$426)-1)/(Liste_Materiel_Combinee!$G$2:$G$426=1),63)+1)),""))</f>
        <v/>
      </c>
      <c r="E65" s="105">
        <f t="shared" si="0"/>
        <v>0</v>
      </c>
      <c r="F65" s="104" t="str">
        <f>IFERROR(INDEX(Catalogue!$K:$K,MATCH(A65,Catalogue!$A:$A,0)),"")</f>
        <v/>
      </c>
      <c r="G65" s="102"/>
      <c r="H65" s="7"/>
      <c r="I65" s="7"/>
    </row>
    <row r="66" spans="1:9" x14ac:dyDescent="0.25">
      <c r="A66" s="103" t="str">
        <f>IFERROR(INDEX(Liste_Materiel_Combinee!$B:$B,(_xlfn.AGGREGATE(15,6,(ROW(Liste_Materiel_Combinee!$G$2:$G$426)-1)/(Liste_Materiel_Combinee!$G$2:$G$426=1),64)+1)),"")</f>
        <v/>
      </c>
      <c r="B66" s="104" t="str">
        <f>IFERROR(INDEX(Liste_Materiel_Combinee!$C:$C,(_xlfn.AGGREGATE(15,6,(ROW(Liste_Materiel_Combinee!$G$2:$G$426)-1)/(Liste_Materiel_Combinee!$G$2:$G$426=1),64)+1)),"")</f>
        <v/>
      </c>
      <c r="C66" s="104" t="str">
        <f>IF(IFERROR(INDEX(Liste_Materiel_Combinee!$F:$F,(_xlfn.AGGREGATE(15,6,(ROW(Liste_Materiel_Combinee!$G$2:$G$426)-1)/(Liste_Materiel_Combinee!$G$2:$G$426=1),64)+1)),"")="","",ROUNDUP(IFERROR(INDEX(Liste_Materiel_Combinee!$F:$F,(_xlfn.AGGREGATE(15,6,(ROW(Liste_Materiel_Combinee!$G$2:$G$426)-1)/(Liste_Materiel_Combinee!$G$2:$G$426=1),64)+1)),""),0))</f>
        <v/>
      </c>
      <c r="D66" s="104" t="str">
        <f>IF($H$5="EFFACER","",IFERROR(INDEX(Liste_Materiel_Combinee!$E:$E,(_xlfn.AGGREGATE(15,6,(ROW(Liste_Materiel_Combinee!$G$2:$G$426)-1)/(Liste_Materiel_Combinee!$G$2:$G$426=1),64)+1)),""))</f>
        <v/>
      </c>
      <c r="E66" s="105">
        <f t="shared" si="0"/>
        <v>0</v>
      </c>
      <c r="F66" s="104" t="str">
        <f>IFERROR(INDEX(Catalogue!$K:$K,MATCH(A66,Catalogue!$A:$A,0)),"")</f>
        <v/>
      </c>
      <c r="G66" s="102"/>
      <c r="H66" s="7"/>
      <c r="I66" s="7"/>
    </row>
    <row r="67" spans="1:9" x14ac:dyDescent="0.25">
      <c r="A67" s="103" t="str">
        <f>IFERROR(INDEX(Liste_Materiel_Combinee!$B:$B,(_xlfn.AGGREGATE(15,6,(ROW(Liste_Materiel_Combinee!$G$2:$G$426)-1)/(Liste_Materiel_Combinee!$G$2:$G$426=1),65)+1)),"")</f>
        <v/>
      </c>
      <c r="B67" s="104" t="str">
        <f>IFERROR(INDEX(Liste_Materiel_Combinee!$C:$C,(_xlfn.AGGREGATE(15,6,(ROW(Liste_Materiel_Combinee!$G$2:$G$426)-1)/(Liste_Materiel_Combinee!$G$2:$G$426=1),65)+1)),"")</f>
        <v/>
      </c>
      <c r="C67" s="104" t="str">
        <f>IF(IFERROR(INDEX(Liste_Materiel_Combinee!$F:$F,(_xlfn.AGGREGATE(15,6,(ROW(Liste_Materiel_Combinee!$G$2:$G$426)-1)/(Liste_Materiel_Combinee!$G$2:$G$426=1),65)+1)),"")="","",ROUNDUP(IFERROR(INDEX(Liste_Materiel_Combinee!$F:$F,(_xlfn.AGGREGATE(15,6,(ROW(Liste_Materiel_Combinee!$G$2:$G$426)-1)/(Liste_Materiel_Combinee!$G$2:$G$426=1),65)+1)),""),0))</f>
        <v/>
      </c>
      <c r="D67" s="104" t="str">
        <f>IF($H$5="EFFACER","",IFERROR(INDEX(Liste_Materiel_Combinee!$E:$E,(_xlfn.AGGREGATE(15,6,(ROW(Liste_Materiel_Combinee!$G$2:$G$426)-1)/(Liste_Materiel_Combinee!$G$2:$G$426=1),65)+1)),""))</f>
        <v/>
      </c>
      <c r="E67" s="105">
        <f t="shared" ref="E67:E130" si="1">$H$2</f>
        <v>0</v>
      </c>
      <c r="F67" s="104" t="str">
        <f>IFERROR(INDEX(Catalogue!$K:$K,MATCH(A67,Catalogue!$A:$A,0)),"")</f>
        <v/>
      </c>
      <c r="G67" s="102"/>
      <c r="H67" s="7"/>
      <c r="I67" s="7"/>
    </row>
    <row r="68" spans="1:9" x14ac:dyDescent="0.25">
      <c r="A68" s="103" t="str">
        <f>IFERROR(INDEX(Liste_Materiel_Combinee!$B:$B,(_xlfn.AGGREGATE(15,6,(ROW(Liste_Materiel_Combinee!$G$2:$G$426)-1)/(Liste_Materiel_Combinee!$G$2:$G$426=1),66)+1)),"")</f>
        <v/>
      </c>
      <c r="B68" s="104" t="str">
        <f>IFERROR(INDEX(Liste_Materiel_Combinee!$C:$C,(_xlfn.AGGREGATE(15,6,(ROW(Liste_Materiel_Combinee!$G$2:$G$426)-1)/(Liste_Materiel_Combinee!$G$2:$G$426=1),66)+1)),"")</f>
        <v/>
      </c>
      <c r="C68" s="104" t="str">
        <f>IF(IFERROR(INDEX(Liste_Materiel_Combinee!$F:$F,(_xlfn.AGGREGATE(15,6,(ROW(Liste_Materiel_Combinee!$G$2:$G$426)-1)/(Liste_Materiel_Combinee!$G$2:$G$426=1),66)+1)),"")="","",ROUNDUP(IFERROR(INDEX(Liste_Materiel_Combinee!$F:$F,(_xlfn.AGGREGATE(15,6,(ROW(Liste_Materiel_Combinee!$G$2:$G$426)-1)/(Liste_Materiel_Combinee!$G$2:$G$426=1),66)+1)),""),0))</f>
        <v/>
      </c>
      <c r="D68" s="104" t="str">
        <f>IF($H$5="EFFACER","",IFERROR(INDEX(Liste_Materiel_Combinee!$E:$E,(_xlfn.AGGREGATE(15,6,(ROW(Liste_Materiel_Combinee!$G$2:$G$426)-1)/(Liste_Materiel_Combinee!$G$2:$G$426=1),66)+1)),""))</f>
        <v/>
      </c>
      <c r="E68" s="105">
        <f t="shared" si="1"/>
        <v>0</v>
      </c>
      <c r="F68" s="104" t="str">
        <f>IFERROR(INDEX(Catalogue!$K:$K,MATCH(A68,Catalogue!$A:$A,0)),"")</f>
        <v/>
      </c>
      <c r="G68" s="102"/>
      <c r="H68" s="7"/>
      <c r="I68" s="7"/>
    </row>
    <row r="69" spans="1:9" x14ac:dyDescent="0.25">
      <c r="A69" s="103" t="str">
        <f>IFERROR(INDEX(Liste_Materiel_Combinee!$B:$B,(_xlfn.AGGREGATE(15,6,(ROW(Liste_Materiel_Combinee!$G$2:$G$426)-1)/(Liste_Materiel_Combinee!$G$2:$G$426=1),67)+1)),"")</f>
        <v/>
      </c>
      <c r="B69" s="104" t="str">
        <f>IFERROR(INDEX(Liste_Materiel_Combinee!$C:$C,(_xlfn.AGGREGATE(15,6,(ROW(Liste_Materiel_Combinee!$G$2:$G$426)-1)/(Liste_Materiel_Combinee!$G$2:$G$426=1),67)+1)),"")</f>
        <v/>
      </c>
      <c r="C69" s="104" t="str">
        <f>IF(IFERROR(INDEX(Liste_Materiel_Combinee!$F:$F,(_xlfn.AGGREGATE(15,6,(ROW(Liste_Materiel_Combinee!$G$2:$G$426)-1)/(Liste_Materiel_Combinee!$G$2:$G$426=1),67)+1)),"")="","",ROUNDUP(IFERROR(INDEX(Liste_Materiel_Combinee!$F:$F,(_xlfn.AGGREGATE(15,6,(ROW(Liste_Materiel_Combinee!$G$2:$G$426)-1)/(Liste_Materiel_Combinee!$G$2:$G$426=1),67)+1)),""),0))</f>
        <v/>
      </c>
      <c r="D69" s="104" t="str">
        <f>IF($H$5="EFFACER","",IFERROR(INDEX(Liste_Materiel_Combinee!$E:$E,(_xlfn.AGGREGATE(15,6,(ROW(Liste_Materiel_Combinee!$G$2:$G$426)-1)/(Liste_Materiel_Combinee!$G$2:$G$426=1),67)+1)),""))</f>
        <v/>
      </c>
      <c r="E69" s="105">
        <f t="shared" si="1"/>
        <v>0</v>
      </c>
      <c r="F69" s="104" t="str">
        <f>IFERROR(INDEX(Catalogue!$K:$K,MATCH(A69,Catalogue!$A:$A,0)),"")</f>
        <v/>
      </c>
      <c r="G69" s="102"/>
      <c r="H69" s="7"/>
      <c r="I69" s="7"/>
    </row>
    <row r="70" spans="1:9" x14ac:dyDescent="0.25">
      <c r="A70" s="103" t="str">
        <f>IFERROR(INDEX(Liste_Materiel_Combinee!$B:$B,(_xlfn.AGGREGATE(15,6,(ROW(Liste_Materiel_Combinee!$G$2:$G$426)-1)/(Liste_Materiel_Combinee!$G$2:$G$426=1),68)+1)),"")</f>
        <v/>
      </c>
      <c r="B70" s="104" t="str">
        <f>IFERROR(INDEX(Liste_Materiel_Combinee!$C:$C,(_xlfn.AGGREGATE(15,6,(ROW(Liste_Materiel_Combinee!$G$2:$G$426)-1)/(Liste_Materiel_Combinee!$G$2:$G$426=1),68)+1)),"")</f>
        <v/>
      </c>
      <c r="C70" s="104" t="str">
        <f>IF(IFERROR(INDEX(Liste_Materiel_Combinee!$F:$F,(_xlfn.AGGREGATE(15,6,(ROW(Liste_Materiel_Combinee!$G$2:$G$426)-1)/(Liste_Materiel_Combinee!$G$2:$G$426=1),68)+1)),"")="","",ROUNDUP(IFERROR(INDEX(Liste_Materiel_Combinee!$F:$F,(_xlfn.AGGREGATE(15,6,(ROW(Liste_Materiel_Combinee!$G$2:$G$426)-1)/(Liste_Materiel_Combinee!$G$2:$G$426=1),68)+1)),""),0))</f>
        <v/>
      </c>
      <c r="D70" s="104" t="str">
        <f>IF($H$5="EFFACER","",IFERROR(INDEX(Liste_Materiel_Combinee!$E:$E,(_xlfn.AGGREGATE(15,6,(ROW(Liste_Materiel_Combinee!$G$2:$G$426)-1)/(Liste_Materiel_Combinee!$G$2:$G$426=1),68)+1)),""))</f>
        <v/>
      </c>
      <c r="E70" s="105">
        <f t="shared" si="1"/>
        <v>0</v>
      </c>
      <c r="F70" s="104" t="str">
        <f>IFERROR(INDEX(Catalogue!$K:$K,MATCH(A70,Catalogue!$A:$A,0)),"")</f>
        <v/>
      </c>
      <c r="G70" s="102"/>
      <c r="H70" s="7"/>
      <c r="I70" s="7"/>
    </row>
    <row r="71" spans="1:9" x14ac:dyDescent="0.25">
      <c r="A71" s="103" t="str">
        <f>IFERROR(INDEX(Liste_Materiel_Combinee!$B:$B,(_xlfn.AGGREGATE(15,6,(ROW(Liste_Materiel_Combinee!$G$2:$G$426)-1)/(Liste_Materiel_Combinee!$G$2:$G$426=1),69)+1)),"")</f>
        <v/>
      </c>
      <c r="B71" s="104" t="str">
        <f>IFERROR(INDEX(Liste_Materiel_Combinee!$C:$C,(_xlfn.AGGREGATE(15,6,(ROW(Liste_Materiel_Combinee!$G$2:$G$426)-1)/(Liste_Materiel_Combinee!$G$2:$G$426=1),69)+1)),"")</f>
        <v/>
      </c>
      <c r="C71" s="104" t="str">
        <f>IF(IFERROR(INDEX(Liste_Materiel_Combinee!$F:$F,(_xlfn.AGGREGATE(15,6,(ROW(Liste_Materiel_Combinee!$G$2:$G$426)-1)/(Liste_Materiel_Combinee!$G$2:$G$426=1),69)+1)),"")="","",ROUNDUP(IFERROR(INDEX(Liste_Materiel_Combinee!$F:$F,(_xlfn.AGGREGATE(15,6,(ROW(Liste_Materiel_Combinee!$G$2:$G$426)-1)/(Liste_Materiel_Combinee!$G$2:$G$426=1),69)+1)),""),0))</f>
        <v/>
      </c>
      <c r="D71" s="104" t="str">
        <f>IF($H$5="EFFACER","",IFERROR(INDEX(Liste_Materiel_Combinee!$E:$E,(_xlfn.AGGREGATE(15,6,(ROW(Liste_Materiel_Combinee!$G$2:$G$426)-1)/(Liste_Materiel_Combinee!$G$2:$G$426=1),69)+1)),""))</f>
        <v/>
      </c>
      <c r="E71" s="105">
        <f t="shared" si="1"/>
        <v>0</v>
      </c>
      <c r="F71" s="104" t="str">
        <f>IFERROR(INDEX(Catalogue!$K:$K,MATCH(A71,Catalogue!$A:$A,0)),"")</f>
        <v/>
      </c>
      <c r="G71" s="102"/>
      <c r="H71" s="7"/>
      <c r="I71" s="7"/>
    </row>
    <row r="72" spans="1:9" x14ac:dyDescent="0.25">
      <c r="A72" s="103" t="str">
        <f>IFERROR(INDEX(Liste_Materiel_Combinee!$B:$B,(_xlfn.AGGREGATE(15,6,(ROW(Liste_Materiel_Combinee!$G$2:$G$426)-1)/(Liste_Materiel_Combinee!$G$2:$G$426=1),70)+1)),"")</f>
        <v/>
      </c>
      <c r="B72" s="104" t="str">
        <f>IFERROR(INDEX(Liste_Materiel_Combinee!$C:$C,(_xlfn.AGGREGATE(15,6,(ROW(Liste_Materiel_Combinee!$G$2:$G$426)-1)/(Liste_Materiel_Combinee!$G$2:$G$426=1),70)+1)),"")</f>
        <v/>
      </c>
      <c r="C72" s="104" t="str">
        <f>IF(IFERROR(INDEX(Liste_Materiel_Combinee!$F:$F,(_xlfn.AGGREGATE(15,6,(ROW(Liste_Materiel_Combinee!$G$2:$G$426)-1)/(Liste_Materiel_Combinee!$G$2:$G$426=1),70)+1)),"")="","",ROUNDUP(IFERROR(INDEX(Liste_Materiel_Combinee!$F:$F,(_xlfn.AGGREGATE(15,6,(ROW(Liste_Materiel_Combinee!$G$2:$G$426)-1)/(Liste_Materiel_Combinee!$G$2:$G$426=1),70)+1)),""),0))</f>
        <v/>
      </c>
      <c r="D72" s="104" t="str">
        <f>IF($H$5="EFFACER","",IFERROR(INDEX(Liste_Materiel_Combinee!$E:$E,(_xlfn.AGGREGATE(15,6,(ROW(Liste_Materiel_Combinee!$G$2:$G$426)-1)/(Liste_Materiel_Combinee!$G$2:$G$426=1),70)+1)),""))</f>
        <v/>
      </c>
      <c r="E72" s="105">
        <f t="shared" si="1"/>
        <v>0</v>
      </c>
      <c r="F72" s="104" t="str">
        <f>IFERROR(INDEX(Catalogue!$K:$K,MATCH(A72,Catalogue!$A:$A,0)),"")</f>
        <v/>
      </c>
      <c r="G72" s="102"/>
      <c r="H72" s="7"/>
      <c r="I72" s="7"/>
    </row>
    <row r="73" spans="1:9" x14ac:dyDescent="0.25">
      <c r="A73" s="103" t="str">
        <f>IFERROR(INDEX(Liste_Materiel_Combinee!$B:$B,(_xlfn.AGGREGATE(15,6,(ROW(Liste_Materiel_Combinee!$G$2:$G$426)-1)/(Liste_Materiel_Combinee!$G$2:$G$426=1),71)+1)),"")</f>
        <v/>
      </c>
      <c r="B73" s="104" t="str">
        <f>IFERROR(INDEX(Liste_Materiel_Combinee!$C:$C,(_xlfn.AGGREGATE(15,6,(ROW(Liste_Materiel_Combinee!$G$2:$G$426)-1)/(Liste_Materiel_Combinee!$G$2:$G$426=1),71)+1)),"")</f>
        <v/>
      </c>
      <c r="C73" s="104" t="str">
        <f>IF(IFERROR(INDEX(Liste_Materiel_Combinee!$F:$F,(_xlfn.AGGREGATE(15,6,(ROW(Liste_Materiel_Combinee!$G$2:$G$426)-1)/(Liste_Materiel_Combinee!$G$2:$G$426=1),71)+1)),"")="","",ROUNDUP(IFERROR(INDEX(Liste_Materiel_Combinee!$F:$F,(_xlfn.AGGREGATE(15,6,(ROW(Liste_Materiel_Combinee!$G$2:$G$426)-1)/(Liste_Materiel_Combinee!$G$2:$G$426=1),71)+1)),""),0))</f>
        <v/>
      </c>
      <c r="D73" s="104" t="str">
        <f>IF($H$5="EFFACER","",IFERROR(INDEX(Liste_Materiel_Combinee!$E:$E,(_xlfn.AGGREGATE(15,6,(ROW(Liste_Materiel_Combinee!$G$2:$G$426)-1)/(Liste_Materiel_Combinee!$G$2:$G$426=1),71)+1)),""))</f>
        <v/>
      </c>
      <c r="E73" s="105">
        <f t="shared" si="1"/>
        <v>0</v>
      </c>
      <c r="F73" s="104" t="str">
        <f>IFERROR(INDEX(Catalogue!$K:$K,MATCH(A73,Catalogue!$A:$A,0)),"")</f>
        <v/>
      </c>
      <c r="G73" s="102"/>
      <c r="H73" s="7"/>
      <c r="I73" s="7"/>
    </row>
    <row r="74" spans="1:9" x14ac:dyDescent="0.25">
      <c r="A74" s="103" t="str">
        <f>IFERROR(INDEX(Liste_Materiel_Combinee!$B:$B,(_xlfn.AGGREGATE(15,6,(ROW(Liste_Materiel_Combinee!$G$2:$G$426)-1)/(Liste_Materiel_Combinee!$G$2:$G$426=1),72)+1)),"")</f>
        <v/>
      </c>
      <c r="B74" s="104" t="str">
        <f>IFERROR(INDEX(Liste_Materiel_Combinee!$C:$C,(_xlfn.AGGREGATE(15,6,(ROW(Liste_Materiel_Combinee!$G$2:$G$426)-1)/(Liste_Materiel_Combinee!$G$2:$G$426=1),72)+1)),"")</f>
        <v/>
      </c>
      <c r="C74" s="104" t="str">
        <f>IF(IFERROR(INDEX(Liste_Materiel_Combinee!$F:$F,(_xlfn.AGGREGATE(15,6,(ROW(Liste_Materiel_Combinee!$G$2:$G$426)-1)/(Liste_Materiel_Combinee!$G$2:$G$426=1),72)+1)),"")="","",ROUNDUP(IFERROR(INDEX(Liste_Materiel_Combinee!$F:$F,(_xlfn.AGGREGATE(15,6,(ROW(Liste_Materiel_Combinee!$G$2:$G$426)-1)/(Liste_Materiel_Combinee!$G$2:$G$426=1),72)+1)),""),0))</f>
        <v/>
      </c>
      <c r="D74" s="104" t="str">
        <f>IF($H$5="EFFACER","",IFERROR(INDEX(Liste_Materiel_Combinee!$E:$E,(_xlfn.AGGREGATE(15,6,(ROW(Liste_Materiel_Combinee!$G$2:$G$426)-1)/(Liste_Materiel_Combinee!$G$2:$G$426=1),72)+1)),""))</f>
        <v/>
      </c>
      <c r="E74" s="105">
        <f t="shared" si="1"/>
        <v>0</v>
      </c>
      <c r="F74" s="104" t="str">
        <f>IFERROR(INDEX(Catalogue!$K:$K,MATCH(A74,Catalogue!$A:$A,0)),"")</f>
        <v/>
      </c>
      <c r="G74" s="102"/>
      <c r="H74" s="7"/>
      <c r="I74" s="7"/>
    </row>
    <row r="75" spans="1:9" x14ac:dyDescent="0.25">
      <c r="A75" s="103" t="str">
        <f>IFERROR(INDEX(Liste_Materiel_Combinee!$B:$B,(_xlfn.AGGREGATE(15,6,(ROW(Liste_Materiel_Combinee!$G$2:$G$426)-1)/(Liste_Materiel_Combinee!$G$2:$G$426=1),73)+1)),"")</f>
        <v/>
      </c>
      <c r="B75" s="104" t="str">
        <f>IFERROR(INDEX(Liste_Materiel_Combinee!$C:$C,(_xlfn.AGGREGATE(15,6,(ROW(Liste_Materiel_Combinee!$G$2:$G$426)-1)/(Liste_Materiel_Combinee!$G$2:$G$426=1),73)+1)),"")</f>
        <v/>
      </c>
      <c r="C75" s="104" t="str">
        <f>IF(IFERROR(INDEX(Liste_Materiel_Combinee!$F:$F,(_xlfn.AGGREGATE(15,6,(ROW(Liste_Materiel_Combinee!$G$2:$G$426)-1)/(Liste_Materiel_Combinee!$G$2:$G$426=1),73)+1)),"")="","",ROUNDUP(IFERROR(INDEX(Liste_Materiel_Combinee!$F:$F,(_xlfn.AGGREGATE(15,6,(ROW(Liste_Materiel_Combinee!$G$2:$G$426)-1)/(Liste_Materiel_Combinee!$G$2:$G$426=1),73)+1)),""),0))</f>
        <v/>
      </c>
      <c r="D75" s="104" t="str">
        <f>IF($H$5="EFFACER","",IFERROR(INDEX(Liste_Materiel_Combinee!$E:$E,(_xlfn.AGGREGATE(15,6,(ROW(Liste_Materiel_Combinee!$G$2:$G$426)-1)/(Liste_Materiel_Combinee!$G$2:$G$426=1),73)+1)),""))</f>
        <v/>
      </c>
      <c r="E75" s="105">
        <f t="shared" si="1"/>
        <v>0</v>
      </c>
      <c r="F75" s="104" t="str">
        <f>IFERROR(INDEX(Catalogue!$K:$K,MATCH(A75,Catalogue!$A:$A,0)),"")</f>
        <v/>
      </c>
      <c r="G75" s="102"/>
      <c r="H75" s="7"/>
      <c r="I75" s="7"/>
    </row>
    <row r="76" spans="1:9" x14ac:dyDescent="0.25">
      <c r="A76" s="103" t="str">
        <f>IFERROR(INDEX(Liste_Materiel_Combinee!$B:$B,(_xlfn.AGGREGATE(15,6,(ROW(Liste_Materiel_Combinee!$G$2:$G$426)-1)/(Liste_Materiel_Combinee!$G$2:$G$426=1),74)+1)),"")</f>
        <v/>
      </c>
      <c r="B76" s="104" t="str">
        <f>IFERROR(INDEX(Liste_Materiel_Combinee!$C:$C,(_xlfn.AGGREGATE(15,6,(ROW(Liste_Materiel_Combinee!$G$2:$G$426)-1)/(Liste_Materiel_Combinee!$G$2:$G$426=1),74)+1)),"")</f>
        <v/>
      </c>
      <c r="C76" s="104" t="str">
        <f>IF(IFERROR(INDEX(Liste_Materiel_Combinee!$F:$F,(_xlfn.AGGREGATE(15,6,(ROW(Liste_Materiel_Combinee!$G$2:$G$426)-1)/(Liste_Materiel_Combinee!$G$2:$G$426=1),74)+1)),"")="","",ROUNDUP(IFERROR(INDEX(Liste_Materiel_Combinee!$F:$F,(_xlfn.AGGREGATE(15,6,(ROW(Liste_Materiel_Combinee!$G$2:$G$426)-1)/(Liste_Materiel_Combinee!$G$2:$G$426=1),74)+1)),""),0))</f>
        <v/>
      </c>
      <c r="D76" s="104" t="str">
        <f>IF($H$5="EFFACER","",IFERROR(INDEX(Liste_Materiel_Combinee!$E:$E,(_xlfn.AGGREGATE(15,6,(ROW(Liste_Materiel_Combinee!$G$2:$G$426)-1)/(Liste_Materiel_Combinee!$G$2:$G$426=1),74)+1)),""))</f>
        <v/>
      </c>
      <c r="E76" s="105">
        <f t="shared" si="1"/>
        <v>0</v>
      </c>
      <c r="F76" s="104" t="str">
        <f>IFERROR(INDEX(Catalogue!$K:$K,MATCH(A76,Catalogue!$A:$A,0)),"")</f>
        <v/>
      </c>
      <c r="G76" s="102"/>
      <c r="H76" s="7"/>
      <c r="I76" s="7"/>
    </row>
    <row r="77" spans="1:9" x14ac:dyDescent="0.25">
      <c r="A77" s="103" t="str">
        <f>IFERROR(INDEX(Liste_Materiel_Combinee!$B:$B,(_xlfn.AGGREGATE(15,6,(ROW(Liste_Materiel_Combinee!$G$2:$G$426)-1)/(Liste_Materiel_Combinee!$G$2:$G$426=1),75)+1)),"")</f>
        <v/>
      </c>
      <c r="B77" s="104" t="str">
        <f>IFERROR(INDEX(Liste_Materiel_Combinee!$C:$C,(_xlfn.AGGREGATE(15,6,(ROW(Liste_Materiel_Combinee!$G$2:$G$426)-1)/(Liste_Materiel_Combinee!$G$2:$G$426=1),75)+1)),"")</f>
        <v/>
      </c>
      <c r="C77" s="104" t="str">
        <f>IF(IFERROR(INDEX(Liste_Materiel_Combinee!$F:$F,(_xlfn.AGGREGATE(15,6,(ROW(Liste_Materiel_Combinee!$G$2:$G$426)-1)/(Liste_Materiel_Combinee!$G$2:$G$426=1),75)+1)),"")="","",ROUNDUP(IFERROR(INDEX(Liste_Materiel_Combinee!$F:$F,(_xlfn.AGGREGATE(15,6,(ROW(Liste_Materiel_Combinee!$G$2:$G$426)-1)/(Liste_Materiel_Combinee!$G$2:$G$426=1),75)+1)),""),0))</f>
        <v/>
      </c>
      <c r="D77" s="104" t="str">
        <f>IF($H$5="EFFACER","",IFERROR(INDEX(Liste_Materiel_Combinee!$E:$E,(_xlfn.AGGREGATE(15,6,(ROW(Liste_Materiel_Combinee!$G$2:$G$426)-1)/(Liste_Materiel_Combinee!$G$2:$G$426=1),75)+1)),""))</f>
        <v/>
      </c>
      <c r="E77" s="105">
        <f t="shared" si="1"/>
        <v>0</v>
      </c>
      <c r="F77" s="104" t="str">
        <f>IFERROR(INDEX(Catalogue!$K:$K,MATCH(A77,Catalogue!$A:$A,0)),"")</f>
        <v/>
      </c>
      <c r="G77" s="102"/>
      <c r="H77" s="7"/>
      <c r="I77" s="7"/>
    </row>
    <row r="78" spans="1:9" x14ac:dyDescent="0.25">
      <c r="A78" s="103" t="str">
        <f>IFERROR(INDEX(Liste_Materiel_Combinee!$B:$B,(_xlfn.AGGREGATE(15,6,(ROW(Liste_Materiel_Combinee!$G$2:$G$426)-1)/(Liste_Materiel_Combinee!$G$2:$G$426=1),76)+1)),"")</f>
        <v/>
      </c>
      <c r="B78" s="104" t="str">
        <f>IFERROR(INDEX(Liste_Materiel_Combinee!$C:$C,(_xlfn.AGGREGATE(15,6,(ROW(Liste_Materiel_Combinee!$G$2:$G$426)-1)/(Liste_Materiel_Combinee!$G$2:$G$426=1),76)+1)),"")</f>
        <v/>
      </c>
      <c r="C78" s="104" t="str">
        <f>IF(IFERROR(INDEX(Liste_Materiel_Combinee!$F:$F,(_xlfn.AGGREGATE(15,6,(ROW(Liste_Materiel_Combinee!$G$2:$G$426)-1)/(Liste_Materiel_Combinee!$G$2:$G$426=1),76)+1)),"")="","",ROUNDUP(IFERROR(INDEX(Liste_Materiel_Combinee!$F:$F,(_xlfn.AGGREGATE(15,6,(ROW(Liste_Materiel_Combinee!$G$2:$G$426)-1)/(Liste_Materiel_Combinee!$G$2:$G$426=1),76)+1)),""),0))</f>
        <v/>
      </c>
      <c r="D78" s="104" t="str">
        <f>IF($H$5="EFFACER","",IFERROR(INDEX(Liste_Materiel_Combinee!$E:$E,(_xlfn.AGGREGATE(15,6,(ROW(Liste_Materiel_Combinee!$G$2:$G$426)-1)/(Liste_Materiel_Combinee!$G$2:$G$426=1),76)+1)),""))</f>
        <v/>
      </c>
      <c r="E78" s="105">
        <f t="shared" si="1"/>
        <v>0</v>
      </c>
      <c r="F78" s="104" t="str">
        <f>IFERROR(INDEX(Catalogue!$K:$K,MATCH(A78,Catalogue!$A:$A,0)),"")</f>
        <v/>
      </c>
      <c r="G78" s="102"/>
      <c r="H78" s="7"/>
      <c r="I78" s="7"/>
    </row>
    <row r="79" spans="1:9" x14ac:dyDescent="0.25">
      <c r="A79" s="103" t="str">
        <f>IFERROR(INDEX(Liste_Materiel_Combinee!$B:$B,(_xlfn.AGGREGATE(15,6,(ROW(Liste_Materiel_Combinee!$G$2:$G$426)-1)/(Liste_Materiel_Combinee!$G$2:$G$426=1),77)+1)),"")</f>
        <v/>
      </c>
      <c r="B79" s="104" t="str">
        <f>IFERROR(INDEX(Liste_Materiel_Combinee!$C:$C,(_xlfn.AGGREGATE(15,6,(ROW(Liste_Materiel_Combinee!$G$2:$G$426)-1)/(Liste_Materiel_Combinee!$G$2:$G$426=1),77)+1)),"")</f>
        <v/>
      </c>
      <c r="C79" s="104" t="str">
        <f>IF(IFERROR(INDEX(Liste_Materiel_Combinee!$F:$F,(_xlfn.AGGREGATE(15,6,(ROW(Liste_Materiel_Combinee!$G$2:$G$426)-1)/(Liste_Materiel_Combinee!$G$2:$G$426=1),77)+1)),"")="","",ROUNDUP(IFERROR(INDEX(Liste_Materiel_Combinee!$F:$F,(_xlfn.AGGREGATE(15,6,(ROW(Liste_Materiel_Combinee!$G$2:$G$426)-1)/(Liste_Materiel_Combinee!$G$2:$G$426=1),77)+1)),""),0))</f>
        <v/>
      </c>
      <c r="D79" s="104" t="str">
        <f>IF($H$5="EFFACER","",IFERROR(INDEX(Liste_Materiel_Combinee!$E:$E,(_xlfn.AGGREGATE(15,6,(ROW(Liste_Materiel_Combinee!$G$2:$G$426)-1)/(Liste_Materiel_Combinee!$G$2:$G$426=1),77)+1)),""))</f>
        <v/>
      </c>
      <c r="E79" s="105">
        <f t="shared" si="1"/>
        <v>0</v>
      </c>
      <c r="F79" s="104" t="str">
        <f>IFERROR(INDEX(Catalogue!$K:$K,MATCH(A79,Catalogue!$A:$A,0)),"")</f>
        <v/>
      </c>
      <c r="G79" s="102"/>
      <c r="H79" s="7"/>
      <c r="I79" s="7"/>
    </row>
    <row r="80" spans="1:9" x14ac:dyDescent="0.25">
      <c r="A80" s="103" t="str">
        <f>IFERROR(INDEX(Liste_Materiel_Combinee!$B:$B,(_xlfn.AGGREGATE(15,6,(ROW(Liste_Materiel_Combinee!$G$2:$G$426)-1)/(Liste_Materiel_Combinee!$G$2:$G$426=1),78)+1)),"")</f>
        <v/>
      </c>
      <c r="B80" s="104" t="str">
        <f>IFERROR(INDEX(Liste_Materiel_Combinee!$C:$C,(_xlfn.AGGREGATE(15,6,(ROW(Liste_Materiel_Combinee!$G$2:$G$426)-1)/(Liste_Materiel_Combinee!$G$2:$G$426=1),78)+1)),"")</f>
        <v/>
      </c>
      <c r="C80" s="104" t="str">
        <f>IF(IFERROR(INDEX(Liste_Materiel_Combinee!$F:$F,(_xlfn.AGGREGATE(15,6,(ROW(Liste_Materiel_Combinee!$G$2:$G$426)-1)/(Liste_Materiel_Combinee!$G$2:$G$426=1),78)+1)),"")="","",ROUNDUP(IFERROR(INDEX(Liste_Materiel_Combinee!$F:$F,(_xlfn.AGGREGATE(15,6,(ROW(Liste_Materiel_Combinee!$G$2:$G$426)-1)/(Liste_Materiel_Combinee!$G$2:$G$426=1),78)+1)),""),0))</f>
        <v/>
      </c>
      <c r="D80" s="104" t="str">
        <f>IF($H$5="EFFACER","",IFERROR(INDEX(Liste_Materiel_Combinee!$E:$E,(_xlfn.AGGREGATE(15,6,(ROW(Liste_Materiel_Combinee!$G$2:$G$426)-1)/(Liste_Materiel_Combinee!$G$2:$G$426=1),78)+1)),""))</f>
        <v/>
      </c>
      <c r="E80" s="105">
        <f t="shared" si="1"/>
        <v>0</v>
      </c>
      <c r="F80" s="104" t="str">
        <f>IFERROR(INDEX(Catalogue!$K:$K,MATCH(A80,Catalogue!$A:$A,0)),"")</f>
        <v/>
      </c>
      <c r="G80" s="102"/>
      <c r="H80" s="7"/>
      <c r="I80" s="7"/>
    </row>
    <row r="81" spans="1:9" x14ac:dyDescent="0.25">
      <c r="A81" s="103" t="str">
        <f>IFERROR(INDEX(Liste_Materiel_Combinee!$B:$B,(_xlfn.AGGREGATE(15,6,(ROW(Liste_Materiel_Combinee!$G$2:$G$426)-1)/(Liste_Materiel_Combinee!$G$2:$G$426=1),79)+1)),"")</f>
        <v/>
      </c>
      <c r="B81" s="104" t="str">
        <f>IFERROR(INDEX(Liste_Materiel_Combinee!$C:$C,(_xlfn.AGGREGATE(15,6,(ROW(Liste_Materiel_Combinee!$G$2:$G$426)-1)/(Liste_Materiel_Combinee!$G$2:$G$426=1),79)+1)),"")</f>
        <v/>
      </c>
      <c r="C81" s="104" t="str">
        <f>IF(IFERROR(INDEX(Liste_Materiel_Combinee!$F:$F,(_xlfn.AGGREGATE(15,6,(ROW(Liste_Materiel_Combinee!$G$2:$G$426)-1)/(Liste_Materiel_Combinee!$G$2:$G$426=1),79)+1)),"")="","",ROUNDUP(IFERROR(INDEX(Liste_Materiel_Combinee!$F:$F,(_xlfn.AGGREGATE(15,6,(ROW(Liste_Materiel_Combinee!$G$2:$G$426)-1)/(Liste_Materiel_Combinee!$G$2:$G$426=1),79)+1)),""),0))</f>
        <v/>
      </c>
      <c r="D81" s="104" t="str">
        <f>IF($H$5="EFFACER","",IFERROR(INDEX(Liste_Materiel_Combinee!$E:$E,(_xlfn.AGGREGATE(15,6,(ROW(Liste_Materiel_Combinee!$G$2:$G$426)-1)/(Liste_Materiel_Combinee!$G$2:$G$426=1),79)+1)),""))</f>
        <v/>
      </c>
      <c r="E81" s="105">
        <f t="shared" si="1"/>
        <v>0</v>
      </c>
      <c r="F81" s="104" t="str">
        <f>IFERROR(INDEX(Catalogue!$K:$K,MATCH(A81,Catalogue!$A:$A,0)),"")</f>
        <v/>
      </c>
      <c r="G81" s="102"/>
      <c r="H81" s="7"/>
      <c r="I81" s="7"/>
    </row>
    <row r="82" spans="1:9" x14ac:dyDescent="0.25">
      <c r="A82" s="103" t="str">
        <f>IFERROR(INDEX(Liste_Materiel_Combinee!$B:$B,(_xlfn.AGGREGATE(15,6,(ROW(Liste_Materiel_Combinee!$G$2:$G$426)-1)/(Liste_Materiel_Combinee!$G$2:$G$426=1),80)+1)),"")</f>
        <v/>
      </c>
      <c r="B82" s="104" t="str">
        <f>IFERROR(INDEX(Liste_Materiel_Combinee!$C:$C,(_xlfn.AGGREGATE(15,6,(ROW(Liste_Materiel_Combinee!$G$2:$G$426)-1)/(Liste_Materiel_Combinee!$G$2:$G$426=1),80)+1)),"")</f>
        <v/>
      </c>
      <c r="C82" s="104" t="str">
        <f>IF(IFERROR(INDEX(Liste_Materiel_Combinee!$F:$F,(_xlfn.AGGREGATE(15,6,(ROW(Liste_Materiel_Combinee!$G$2:$G$426)-1)/(Liste_Materiel_Combinee!$G$2:$G$426=1),80)+1)),"")="","",ROUNDUP(IFERROR(INDEX(Liste_Materiel_Combinee!$F:$F,(_xlfn.AGGREGATE(15,6,(ROW(Liste_Materiel_Combinee!$G$2:$G$426)-1)/(Liste_Materiel_Combinee!$G$2:$G$426=1),80)+1)),""),0))</f>
        <v/>
      </c>
      <c r="D82" s="104" t="str">
        <f>IF($H$5="EFFACER","",IFERROR(INDEX(Liste_Materiel_Combinee!$E:$E,(_xlfn.AGGREGATE(15,6,(ROW(Liste_Materiel_Combinee!$G$2:$G$426)-1)/(Liste_Materiel_Combinee!$G$2:$G$426=1),80)+1)),""))</f>
        <v/>
      </c>
      <c r="E82" s="105">
        <f t="shared" si="1"/>
        <v>0</v>
      </c>
      <c r="F82" s="104" t="str">
        <f>IFERROR(INDEX(Catalogue!$K:$K,MATCH(A82,Catalogue!$A:$A,0)),"")</f>
        <v/>
      </c>
      <c r="G82" s="102"/>
      <c r="H82" s="7"/>
      <c r="I82" s="7"/>
    </row>
    <row r="83" spans="1:9" x14ac:dyDescent="0.25">
      <c r="A83" s="103" t="str">
        <f>IFERROR(INDEX(Liste_Materiel_Combinee!$B:$B,(_xlfn.AGGREGATE(15,6,(ROW(Liste_Materiel_Combinee!$G$2:$G$426)-1)/(Liste_Materiel_Combinee!$G$2:$G$426=1),81)+1)),"")</f>
        <v/>
      </c>
      <c r="B83" s="104" t="str">
        <f>IFERROR(INDEX(Liste_Materiel_Combinee!$C:$C,(_xlfn.AGGREGATE(15,6,(ROW(Liste_Materiel_Combinee!$G$2:$G$426)-1)/(Liste_Materiel_Combinee!$G$2:$G$426=1),81)+1)),"")</f>
        <v/>
      </c>
      <c r="C83" s="104" t="str">
        <f>IF(IFERROR(INDEX(Liste_Materiel_Combinee!$F:$F,(_xlfn.AGGREGATE(15,6,(ROW(Liste_Materiel_Combinee!$G$2:$G$426)-1)/(Liste_Materiel_Combinee!$G$2:$G$426=1),81)+1)),"")="","",ROUNDUP(IFERROR(INDEX(Liste_Materiel_Combinee!$F:$F,(_xlfn.AGGREGATE(15,6,(ROW(Liste_Materiel_Combinee!$G$2:$G$426)-1)/(Liste_Materiel_Combinee!$G$2:$G$426=1),81)+1)),""),0))</f>
        <v/>
      </c>
      <c r="D83" s="104" t="str">
        <f>IF($H$5="EFFACER","",IFERROR(INDEX(Liste_Materiel_Combinee!$E:$E,(_xlfn.AGGREGATE(15,6,(ROW(Liste_Materiel_Combinee!$G$2:$G$426)-1)/(Liste_Materiel_Combinee!$G$2:$G$426=1),81)+1)),""))</f>
        <v/>
      </c>
      <c r="E83" s="105">
        <f t="shared" si="1"/>
        <v>0</v>
      </c>
      <c r="F83" s="104" t="str">
        <f>IFERROR(INDEX(Catalogue!$K:$K,MATCH(A83,Catalogue!$A:$A,0)),"")</f>
        <v/>
      </c>
      <c r="G83" s="102"/>
      <c r="H83" s="7"/>
      <c r="I83" s="7"/>
    </row>
    <row r="84" spans="1:9" x14ac:dyDescent="0.25">
      <c r="A84" s="103" t="str">
        <f>IFERROR(INDEX(Liste_Materiel_Combinee!$B:$B,(_xlfn.AGGREGATE(15,6,(ROW(Liste_Materiel_Combinee!$G$2:$G$426)-1)/(Liste_Materiel_Combinee!$G$2:$G$426=1),82)+1)),"")</f>
        <v/>
      </c>
      <c r="B84" s="104" t="str">
        <f>IFERROR(INDEX(Liste_Materiel_Combinee!$C:$C,(_xlfn.AGGREGATE(15,6,(ROW(Liste_Materiel_Combinee!$G$2:$G$426)-1)/(Liste_Materiel_Combinee!$G$2:$G$426=1),82)+1)),"")</f>
        <v/>
      </c>
      <c r="C84" s="104" t="str">
        <f>IF(IFERROR(INDEX(Liste_Materiel_Combinee!$F:$F,(_xlfn.AGGREGATE(15,6,(ROW(Liste_Materiel_Combinee!$G$2:$G$426)-1)/(Liste_Materiel_Combinee!$G$2:$G$426=1),82)+1)),"")="","",ROUNDUP(IFERROR(INDEX(Liste_Materiel_Combinee!$F:$F,(_xlfn.AGGREGATE(15,6,(ROW(Liste_Materiel_Combinee!$G$2:$G$426)-1)/(Liste_Materiel_Combinee!$G$2:$G$426=1),82)+1)),""),0))</f>
        <v/>
      </c>
      <c r="D84" s="104" t="str">
        <f>IF($H$5="EFFACER","",IFERROR(INDEX(Liste_Materiel_Combinee!$E:$E,(_xlfn.AGGREGATE(15,6,(ROW(Liste_Materiel_Combinee!$G$2:$G$426)-1)/(Liste_Materiel_Combinee!$G$2:$G$426=1),82)+1)),""))</f>
        <v/>
      </c>
      <c r="E84" s="105">
        <f t="shared" si="1"/>
        <v>0</v>
      </c>
      <c r="F84" s="104" t="str">
        <f>IFERROR(INDEX(Catalogue!$K:$K,MATCH(A84,Catalogue!$A:$A,0)),"")</f>
        <v/>
      </c>
      <c r="G84" s="102"/>
      <c r="H84" s="7"/>
      <c r="I84" s="7"/>
    </row>
    <row r="85" spans="1:9" x14ac:dyDescent="0.25">
      <c r="A85" s="103" t="str">
        <f>IFERROR(INDEX(Liste_Materiel_Combinee!$B:$B,(_xlfn.AGGREGATE(15,6,(ROW(Liste_Materiel_Combinee!$G$2:$G$426)-1)/(Liste_Materiel_Combinee!$G$2:$G$426=1),83)+1)),"")</f>
        <v/>
      </c>
      <c r="B85" s="104" t="str">
        <f>IFERROR(INDEX(Liste_Materiel_Combinee!$C:$C,(_xlfn.AGGREGATE(15,6,(ROW(Liste_Materiel_Combinee!$G$2:$G$426)-1)/(Liste_Materiel_Combinee!$G$2:$G$426=1),83)+1)),"")</f>
        <v/>
      </c>
      <c r="C85" s="104" t="str">
        <f>IF(IFERROR(INDEX(Liste_Materiel_Combinee!$F:$F,(_xlfn.AGGREGATE(15,6,(ROW(Liste_Materiel_Combinee!$G$2:$G$426)-1)/(Liste_Materiel_Combinee!$G$2:$G$426=1),83)+1)),"")="","",ROUNDUP(IFERROR(INDEX(Liste_Materiel_Combinee!$F:$F,(_xlfn.AGGREGATE(15,6,(ROW(Liste_Materiel_Combinee!$G$2:$G$426)-1)/(Liste_Materiel_Combinee!$G$2:$G$426=1),83)+1)),""),0))</f>
        <v/>
      </c>
      <c r="D85" s="104" t="str">
        <f>IF($H$5="EFFACER","",IFERROR(INDEX(Liste_Materiel_Combinee!$E:$E,(_xlfn.AGGREGATE(15,6,(ROW(Liste_Materiel_Combinee!$G$2:$G$426)-1)/(Liste_Materiel_Combinee!$G$2:$G$426=1),83)+1)),""))</f>
        <v/>
      </c>
      <c r="E85" s="105">
        <f t="shared" si="1"/>
        <v>0</v>
      </c>
      <c r="F85" s="104" t="str">
        <f>IFERROR(INDEX(Catalogue!$K:$K,MATCH(A85,Catalogue!$A:$A,0)),"")</f>
        <v/>
      </c>
      <c r="G85" s="102"/>
      <c r="H85" s="7"/>
      <c r="I85" s="7"/>
    </row>
    <row r="86" spans="1:9" x14ac:dyDescent="0.25">
      <c r="A86" s="103" t="str">
        <f>IFERROR(INDEX(Liste_Materiel_Combinee!$B:$B,(_xlfn.AGGREGATE(15,6,(ROW(Liste_Materiel_Combinee!$G$2:$G$426)-1)/(Liste_Materiel_Combinee!$G$2:$G$426=1),84)+1)),"")</f>
        <v/>
      </c>
      <c r="B86" s="104" t="str">
        <f>IFERROR(INDEX(Liste_Materiel_Combinee!$C:$C,(_xlfn.AGGREGATE(15,6,(ROW(Liste_Materiel_Combinee!$G$2:$G$426)-1)/(Liste_Materiel_Combinee!$G$2:$G$426=1),84)+1)),"")</f>
        <v/>
      </c>
      <c r="C86" s="104" t="str">
        <f>IF(IFERROR(INDEX(Liste_Materiel_Combinee!$F:$F,(_xlfn.AGGREGATE(15,6,(ROW(Liste_Materiel_Combinee!$G$2:$G$426)-1)/(Liste_Materiel_Combinee!$G$2:$G$426=1),84)+1)),"")="","",ROUNDUP(IFERROR(INDEX(Liste_Materiel_Combinee!$F:$F,(_xlfn.AGGREGATE(15,6,(ROW(Liste_Materiel_Combinee!$G$2:$G$426)-1)/(Liste_Materiel_Combinee!$G$2:$G$426=1),84)+1)),""),0))</f>
        <v/>
      </c>
      <c r="D86" s="104" t="str">
        <f>IF($H$5="EFFACER","",IFERROR(INDEX(Liste_Materiel_Combinee!$E:$E,(_xlfn.AGGREGATE(15,6,(ROW(Liste_Materiel_Combinee!$G$2:$G$426)-1)/(Liste_Materiel_Combinee!$G$2:$G$426=1),84)+1)),""))</f>
        <v/>
      </c>
      <c r="E86" s="105">
        <f t="shared" si="1"/>
        <v>0</v>
      </c>
      <c r="F86" s="104" t="str">
        <f>IFERROR(INDEX(Catalogue!$K:$K,MATCH(A86,Catalogue!$A:$A,0)),"")</f>
        <v/>
      </c>
      <c r="G86" s="102"/>
      <c r="H86" s="7"/>
      <c r="I86" s="7"/>
    </row>
    <row r="87" spans="1:9" x14ac:dyDescent="0.25">
      <c r="A87" s="103" t="str">
        <f>IFERROR(INDEX(Liste_Materiel_Combinee!$B:$B,(_xlfn.AGGREGATE(15,6,(ROW(Liste_Materiel_Combinee!$G$2:$G$426)-1)/(Liste_Materiel_Combinee!$G$2:$G$426=1),85)+1)),"")</f>
        <v/>
      </c>
      <c r="B87" s="104" t="str">
        <f>IFERROR(INDEX(Liste_Materiel_Combinee!$C:$C,(_xlfn.AGGREGATE(15,6,(ROW(Liste_Materiel_Combinee!$G$2:$G$426)-1)/(Liste_Materiel_Combinee!$G$2:$G$426=1),85)+1)),"")</f>
        <v/>
      </c>
      <c r="C87" s="104" t="str">
        <f>IF(IFERROR(INDEX(Liste_Materiel_Combinee!$F:$F,(_xlfn.AGGREGATE(15,6,(ROW(Liste_Materiel_Combinee!$G$2:$G$426)-1)/(Liste_Materiel_Combinee!$G$2:$G$426=1),85)+1)),"")="","",ROUNDUP(IFERROR(INDEX(Liste_Materiel_Combinee!$F:$F,(_xlfn.AGGREGATE(15,6,(ROW(Liste_Materiel_Combinee!$G$2:$G$426)-1)/(Liste_Materiel_Combinee!$G$2:$G$426=1),85)+1)),""),0))</f>
        <v/>
      </c>
      <c r="D87" s="104" t="str">
        <f>IF($H$5="EFFACER","",IFERROR(INDEX(Liste_Materiel_Combinee!$E:$E,(_xlfn.AGGREGATE(15,6,(ROW(Liste_Materiel_Combinee!$G$2:$G$426)-1)/(Liste_Materiel_Combinee!$G$2:$G$426=1),85)+1)),""))</f>
        <v/>
      </c>
      <c r="E87" s="105">
        <f t="shared" si="1"/>
        <v>0</v>
      </c>
      <c r="F87" s="104" t="str">
        <f>IFERROR(INDEX(Catalogue!$K:$K,MATCH(A87,Catalogue!$A:$A,0)),"")</f>
        <v/>
      </c>
      <c r="G87" s="102"/>
      <c r="H87" s="7"/>
      <c r="I87" s="7"/>
    </row>
    <row r="88" spans="1:9" x14ac:dyDescent="0.25">
      <c r="A88" s="103" t="str">
        <f>IFERROR(INDEX(Liste_Materiel_Combinee!$B:$B,(_xlfn.AGGREGATE(15,6,(ROW(Liste_Materiel_Combinee!$G$2:$G$426)-1)/(Liste_Materiel_Combinee!$G$2:$G$426=1),86)+1)),"")</f>
        <v/>
      </c>
      <c r="B88" s="104" t="str">
        <f>IFERROR(INDEX(Liste_Materiel_Combinee!$C:$C,(_xlfn.AGGREGATE(15,6,(ROW(Liste_Materiel_Combinee!$G$2:$G$426)-1)/(Liste_Materiel_Combinee!$G$2:$G$426=1),86)+1)),"")</f>
        <v/>
      </c>
      <c r="C88" s="104" t="str">
        <f>IF(IFERROR(INDEX(Liste_Materiel_Combinee!$F:$F,(_xlfn.AGGREGATE(15,6,(ROW(Liste_Materiel_Combinee!$G$2:$G$426)-1)/(Liste_Materiel_Combinee!$G$2:$G$426=1),86)+1)),"")="","",ROUNDUP(IFERROR(INDEX(Liste_Materiel_Combinee!$F:$F,(_xlfn.AGGREGATE(15,6,(ROW(Liste_Materiel_Combinee!$G$2:$G$426)-1)/(Liste_Materiel_Combinee!$G$2:$G$426=1),86)+1)),""),0))</f>
        <v/>
      </c>
      <c r="D88" s="104" t="str">
        <f>IF($H$5="EFFACER","",IFERROR(INDEX(Liste_Materiel_Combinee!$E:$E,(_xlfn.AGGREGATE(15,6,(ROW(Liste_Materiel_Combinee!$G$2:$G$426)-1)/(Liste_Materiel_Combinee!$G$2:$G$426=1),86)+1)),""))</f>
        <v/>
      </c>
      <c r="E88" s="105">
        <f t="shared" si="1"/>
        <v>0</v>
      </c>
      <c r="F88" s="104" t="str">
        <f>IFERROR(INDEX(Catalogue!$K:$K,MATCH(A88,Catalogue!$A:$A,0)),"")</f>
        <v/>
      </c>
      <c r="G88" s="102"/>
      <c r="H88" s="7"/>
      <c r="I88" s="7"/>
    </row>
    <row r="89" spans="1:9" x14ac:dyDescent="0.25">
      <c r="A89" s="103" t="str">
        <f>IFERROR(INDEX(Liste_Materiel_Combinee!$B:$B,(_xlfn.AGGREGATE(15,6,(ROW(Liste_Materiel_Combinee!$G$2:$G$426)-1)/(Liste_Materiel_Combinee!$G$2:$G$426=1),87)+1)),"")</f>
        <v/>
      </c>
      <c r="B89" s="104" t="str">
        <f>IFERROR(INDEX(Liste_Materiel_Combinee!$C:$C,(_xlfn.AGGREGATE(15,6,(ROW(Liste_Materiel_Combinee!$G$2:$G$426)-1)/(Liste_Materiel_Combinee!$G$2:$G$426=1),87)+1)),"")</f>
        <v/>
      </c>
      <c r="C89" s="104" t="str">
        <f>IF(IFERROR(INDEX(Liste_Materiel_Combinee!$F:$F,(_xlfn.AGGREGATE(15,6,(ROW(Liste_Materiel_Combinee!$G$2:$G$426)-1)/(Liste_Materiel_Combinee!$G$2:$G$426=1),87)+1)),"")="","",ROUNDUP(IFERROR(INDEX(Liste_Materiel_Combinee!$F:$F,(_xlfn.AGGREGATE(15,6,(ROW(Liste_Materiel_Combinee!$G$2:$G$426)-1)/(Liste_Materiel_Combinee!$G$2:$G$426=1),87)+1)),""),0))</f>
        <v/>
      </c>
      <c r="D89" s="104" t="str">
        <f>IF($H$5="EFFACER","",IFERROR(INDEX(Liste_Materiel_Combinee!$E:$E,(_xlfn.AGGREGATE(15,6,(ROW(Liste_Materiel_Combinee!$G$2:$G$426)-1)/(Liste_Materiel_Combinee!$G$2:$G$426=1),87)+1)),""))</f>
        <v/>
      </c>
      <c r="E89" s="105">
        <f t="shared" si="1"/>
        <v>0</v>
      </c>
      <c r="F89" s="104" t="str">
        <f>IFERROR(INDEX(Catalogue!$K:$K,MATCH(A89,Catalogue!$A:$A,0)),"")</f>
        <v/>
      </c>
      <c r="G89" s="102"/>
      <c r="H89" s="7"/>
      <c r="I89" s="7"/>
    </row>
    <row r="90" spans="1:9" x14ac:dyDescent="0.25">
      <c r="A90" s="103" t="str">
        <f>IFERROR(INDEX(Liste_Materiel_Combinee!$B:$B,(_xlfn.AGGREGATE(15,6,(ROW(Liste_Materiel_Combinee!$G$2:$G$426)-1)/(Liste_Materiel_Combinee!$G$2:$G$426=1),88)+1)),"")</f>
        <v/>
      </c>
      <c r="B90" s="104" t="str">
        <f>IFERROR(INDEX(Liste_Materiel_Combinee!$C:$C,(_xlfn.AGGREGATE(15,6,(ROW(Liste_Materiel_Combinee!$G$2:$G$426)-1)/(Liste_Materiel_Combinee!$G$2:$G$426=1),88)+1)),"")</f>
        <v/>
      </c>
      <c r="C90" s="104" t="str">
        <f>IF(IFERROR(INDEX(Liste_Materiel_Combinee!$F:$F,(_xlfn.AGGREGATE(15,6,(ROW(Liste_Materiel_Combinee!$G$2:$G$426)-1)/(Liste_Materiel_Combinee!$G$2:$G$426=1),88)+1)),"")="","",ROUNDUP(IFERROR(INDEX(Liste_Materiel_Combinee!$F:$F,(_xlfn.AGGREGATE(15,6,(ROW(Liste_Materiel_Combinee!$G$2:$G$426)-1)/(Liste_Materiel_Combinee!$G$2:$G$426=1),88)+1)),""),0))</f>
        <v/>
      </c>
      <c r="D90" s="104" t="str">
        <f>IF($H$5="EFFACER","",IFERROR(INDEX(Liste_Materiel_Combinee!$E:$E,(_xlfn.AGGREGATE(15,6,(ROW(Liste_Materiel_Combinee!$G$2:$G$426)-1)/(Liste_Materiel_Combinee!$G$2:$G$426=1),88)+1)),""))</f>
        <v/>
      </c>
      <c r="E90" s="105">
        <f t="shared" si="1"/>
        <v>0</v>
      </c>
      <c r="F90" s="104" t="str">
        <f>IFERROR(INDEX(Catalogue!$K:$K,MATCH(A90,Catalogue!$A:$A,0)),"")</f>
        <v/>
      </c>
      <c r="G90" s="102"/>
      <c r="H90" s="7"/>
      <c r="I90" s="7"/>
    </row>
    <row r="91" spans="1:9" x14ac:dyDescent="0.25">
      <c r="A91" s="103" t="str">
        <f>IFERROR(INDEX(Liste_Materiel_Combinee!$B:$B,(_xlfn.AGGREGATE(15,6,(ROW(Liste_Materiel_Combinee!$G$2:$G$426)-1)/(Liste_Materiel_Combinee!$G$2:$G$426=1),89)+1)),"")</f>
        <v/>
      </c>
      <c r="B91" s="104" t="str">
        <f>IFERROR(INDEX(Liste_Materiel_Combinee!$C:$C,(_xlfn.AGGREGATE(15,6,(ROW(Liste_Materiel_Combinee!$G$2:$G$426)-1)/(Liste_Materiel_Combinee!$G$2:$G$426=1),89)+1)),"")</f>
        <v/>
      </c>
      <c r="C91" s="104" t="str">
        <f>IF(IFERROR(INDEX(Liste_Materiel_Combinee!$F:$F,(_xlfn.AGGREGATE(15,6,(ROW(Liste_Materiel_Combinee!$G$2:$G$426)-1)/(Liste_Materiel_Combinee!$G$2:$G$426=1),89)+1)),"")="","",ROUNDUP(IFERROR(INDEX(Liste_Materiel_Combinee!$F:$F,(_xlfn.AGGREGATE(15,6,(ROW(Liste_Materiel_Combinee!$G$2:$G$426)-1)/(Liste_Materiel_Combinee!$G$2:$G$426=1),89)+1)),""),0))</f>
        <v/>
      </c>
      <c r="D91" s="104" t="str">
        <f>IF($H$5="EFFACER","",IFERROR(INDEX(Liste_Materiel_Combinee!$E:$E,(_xlfn.AGGREGATE(15,6,(ROW(Liste_Materiel_Combinee!$G$2:$G$426)-1)/(Liste_Materiel_Combinee!$G$2:$G$426=1),89)+1)),""))</f>
        <v/>
      </c>
      <c r="E91" s="105">
        <f t="shared" si="1"/>
        <v>0</v>
      </c>
      <c r="F91" s="104" t="str">
        <f>IFERROR(INDEX(Catalogue!$K:$K,MATCH(A91,Catalogue!$A:$A,0)),"")</f>
        <v/>
      </c>
      <c r="G91" s="102"/>
      <c r="H91" s="7"/>
      <c r="I91" s="7"/>
    </row>
    <row r="92" spans="1:9" x14ac:dyDescent="0.25">
      <c r="A92" s="103" t="str">
        <f>IFERROR(INDEX(Liste_Materiel_Combinee!$B:$B,(_xlfn.AGGREGATE(15,6,(ROW(Liste_Materiel_Combinee!$G$2:$G$426)-1)/(Liste_Materiel_Combinee!$G$2:$G$426=1),90)+1)),"")</f>
        <v/>
      </c>
      <c r="B92" s="104" t="str">
        <f>IFERROR(INDEX(Liste_Materiel_Combinee!$C:$C,(_xlfn.AGGREGATE(15,6,(ROW(Liste_Materiel_Combinee!$G$2:$G$426)-1)/(Liste_Materiel_Combinee!$G$2:$G$426=1),90)+1)),"")</f>
        <v/>
      </c>
      <c r="C92" s="104" t="str">
        <f>IF(IFERROR(INDEX(Liste_Materiel_Combinee!$F:$F,(_xlfn.AGGREGATE(15,6,(ROW(Liste_Materiel_Combinee!$G$2:$G$426)-1)/(Liste_Materiel_Combinee!$G$2:$G$426=1),90)+1)),"")="","",ROUNDUP(IFERROR(INDEX(Liste_Materiel_Combinee!$F:$F,(_xlfn.AGGREGATE(15,6,(ROW(Liste_Materiel_Combinee!$G$2:$G$426)-1)/(Liste_Materiel_Combinee!$G$2:$G$426=1),90)+1)),""),0))</f>
        <v/>
      </c>
      <c r="D92" s="104" t="str">
        <f>IF($H$5="EFFACER","",IFERROR(INDEX(Liste_Materiel_Combinee!$E:$E,(_xlfn.AGGREGATE(15,6,(ROW(Liste_Materiel_Combinee!$G$2:$G$426)-1)/(Liste_Materiel_Combinee!$G$2:$G$426=1),90)+1)),""))</f>
        <v/>
      </c>
      <c r="E92" s="105">
        <f t="shared" si="1"/>
        <v>0</v>
      </c>
      <c r="F92" s="104" t="str">
        <f>IFERROR(INDEX(Catalogue!$K:$K,MATCH(A92,Catalogue!$A:$A,0)),"")</f>
        <v/>
      </c>
      <c r="G92" s="102"/>
      <c r="H92" s="7"/>
      <c r="I92" s="7"/>
    </row>
    <row r="93" spans="1:9" x14ac:dyDescent="0.25">
      <c r="A93" s="103" t="str">
        <f>IFERROR(INDEX(Liste_Materiel_Combinee!$B:$B,(_xlfn.AGGREGATE(15,6,(ROW(Liste_Materiel_Combinee!$G$2:$G$426)-1)/(Liste_Materiel_Combinee!$G$2:$G$426=1),91)+1)),"")</f>
        <v/>
      </c>
      <c r="B93" s="104" t="str">
        <f>IFERROR(INDEX(Liste_Materiel_Combinee!$C:$C,(_xlfn.AGGREGATE(15,6,(ROW(Liste_Materiel_Combinee!$G$2:$G$426)-1)/(Liste_Materiel_Combinee!$G$2:$G$426=1),91)+1)),"")</f>
        <v/>
      </c>
      <c r="C93" s="104" t="str">
        <f>IF(IFERROR(INDEX(Liste_Materiel_Combinee!$F:$F,(_xlfn.AGGREGATE(15,6,(ROW(Liste_Materiel_Combinee!$G$2:$G$426)-1)/(Liste_Materiel_Combinee!$G$2:$G$426=1),91)+1)),"")="","",ROUNDUP(IFERROR(INDEX(Liste_Materiel_Combinee!$F:$F,(_xlfn.AGGREGATE(15,6,(ROW(Liste_Materiel_Combinee!$G$2:$G$426)-1)/(Liste_Materiel_Combinee!$G$2:$G$426=1),91)+1)),""),0))</f>
        <v/>
      </c>
      <c r="D93" s="104" t="str">
        <f>IF($H$5="EFFACER","",IFERROR(INDEX(Liste_Materiel_Combinee!$E:$E,(_xlfn.AGGREGATE(15,6,(ROW(Liste_Materiel_Combinee!$G$2:$G$426)-1)/(Liste_Materiel_Combinee!$G$2:$G$426=1),91)+1)),""))</f>
        <v/>
      </c>
      <c r="E93" s="105">
        <f t="shared" si="1"/>
        <v>0</v>
      </c>
      <c r="F93" s="104" t="str">
        <f>IFERROR(INDEX(Catalogue!$K:$K,MATCH(A93,Catalogue!$A:$A,0)),"")</f>
        <v/>
      </c>
      <c r="G93" s="102"/>
      <c r="H93" s="7"/>
      <c r="I93" s="7"/>
    </row>
    <row r="94" spans="1:9" x14ac:dyDescent="0.25">
      <c r="A94" s="103" t="str">
        <f>IFERROR(INDEX(Liste_Materiel_Combinee!$B:$B,(_xlfn.AGGREGATE(15,6,(ROW(Liste_Materiel_Combinee!$G$2:$G$426)-1)/(Liste_Materiel_Combinee!$G$2:$G$426=1),92)+1)),"")</f>
        <v/>
      </c>
      <c r="B94" s="104" t="str">
        <f>IFERROR(INDEX(Liste_Materiel_Combinee!$C:$C,(_xlfn.AGGREGATE(15,6,(ROW(Liste_Materiel_Combinee!$G$2:$G$426)-1)/(Liste_Materiel_Combinee!$G$2:$G$426=1),92)+1)),"")</f>
        <v/>
      </c>
      <c r="C94" s="104" t="str">
        <f>IF(IFERROR(INDEX(Liste_Materiel_Combinee!$F:$F,(_xlfn.AGGREGATE(15,6,(ROW(Liste_Materiel_Combinee!$G$2:$G$426)-1)/(Liste_Materiel_Combinee!$G$2:$G$426=1),92)+1)),"")="","",ROUNDUP(IFERROR(INDEX(Liste_Materiel_Combinee!$F:$F,(_xlfn.AGGREGATE(15,6,(ROW(Liste_Materiel_Combinee!$G$2:$G$426)-1)/(Liste_Materiel_Combinee!$G$2:$G$426=1),92)+1)),""),0))</f>
        <v/>
      </c>
      <c r="D94" s="104" t="str">
        <f>IF($H$5="EFFACER","",IFERROR(INDEX(Liste_Materiel_Combinee!$E:$E,(_xlfn.AGGREGATE(15,6,(ROW(Liste_Materiel_Combinee!$G$2:$G$426)-1)/(Liste_Materiel_Combinee!$G$2:$G$426=1),92)+1)),""))</f>
        <v/>
      </c>
      <c r="E94" s="105">
        <f t="shared" si="1"/>
        <v>0</v>
      </c>
      <c r="F94" s="104" t="str">
        <f>IFERROR(INDEX(Catalogue!$K:$K,MATCH(A94,Catalogue!$A:$A,0)),"")</f>
        <v/>
      </c>
      <c r="G94" s="102"/>
      <c r="H94" s="7"/>
      <c r="I94" s="7"/>
    </row>
    <row r="95" spans="1:9" x14ac:dyDescent="0.25">
      <c r="A95" s="103" t="str">
        <f>IFERROR(INDEX(Liste_Materiel_Combinee!$B:$B,(_xlfn.AGGREGATE(15,6,(ROW(Liste_Materiel_Combinee!$G$2:$G$426)-1)/(Liste_Materiel_Combinee!$G$2:$G$426=1),93)+1)),"")</f>
        <v/>
      </c>
      <c r="B95" s="104" t="str">
        <f>IFERROR(INDEX(Liste_Materiel_Combinee!$C:$C,(_xlfn.AGGREGATE(15,6,(ROW(Liste_Materiel_Combinee!$G$2:$G$426)-1)/(Liste_Materiel_Combinee!$G$2:$G$426=1),93)+1)),"")</f>
        <v/>
      </c>
      <c r="C95" s="104" t="str">
        <f>IF(IFERROR(INDEX(Liste_Materiel_Combinee!$F:$F,(_xlfn.AGGREGATE(15,6,(ROW(Liste_Materiel_Combinee!$G$2:$G$426)-1)/(Liste_Materiel_Combinee!$G$2:$G$426=1),93)+1)),"")="","",ROUNDUP(IFERROR(INDEX(Liste_Materiel_Combinee!$F:$F,(_xlfn.AGGREGATE(15,6,(ROW(Liste_Materiel_Combinee!$G$2:$G$426)-1)/(Liste_Materiel_Combinee!$G$2:$G$426=1),93)+1)),""),0))</f>
        <v/>
      </c>
      <c r="D95" s="104" t="str">
        <f>IF($H$5="EFFACER","",IFERROR(INDEX(Liste_Materiel_Combinee!$E:$E,(_xlfn.AGGREGATE(15,6,(ROW(Liste_Materiel_Combinee!$G$2:$G$426)-1)/(Liste_Materiel_Combinee!$G$2:$G$426=1),93)+1)),""))</f>
        <v/>
      </c>
      <c r="E95" s="105">
        <f t="shared" si="1"/>
        <v>0</v>
      </c>
      <c r="F95" s="104" t="str">
        <f>IFERROR(INDEX(Catalogue!$K:$K,MATCH(A95,Catalogue!$A:$A,0)),"")</f>
        <v/>
      </c>
      <c r="G95" s="102"/>
      <c r="H95" s="7"/>
      <c r="I95" s="7"/>
    </row>
    <row r="96" spans="1:9" x14ac:dyDescent="0.25">
      <c r="A96" s="103" t="str">
        <f>IFERROR(INDEX(Liste_Materiel_Combinee!$B:$B,(_xlfn.AGGREGATE(15,6,(ROW(Liste_Materiel_Combinee!$G$2:$G$426)-1)/(Liste_Materiel_Combinee!$G$2:$G$426=1),94)+1)),"")</f>
        <v/>
      </c>
      <c r="B96" s="104" t="str">
        <f>IFERROR(INDEX(Liste_Materiel_Combinee!$C:$C,(_xlfn.AGGREGATE(15,6,(ROW(Liste_Materiel_Combinee!$G$2:$G$426)-1)/(Liste_Materiel_Combinee!$G$2:$G$426=1),94)+1)),"")</f>
        <v/>
      </c>
      <c r="C96" s="104" t="str">
        <f>IF(IFERROR(INDEX(Liste_Materiel_Combinee!$F:$F,(_xlfn.AGGREGATE(15,6,(ROW(Liste_Materiel_Combinee!$G$2:$G$426)-1)/(Liste_Materiel_Combinee!$G$2:$G$426=1),94)+1)),"")="","",ROUNDUP(IFERROR(INDEX(Liste_Materiel_Combinee!$F:$F,(_xlfn.AGGREGATE(15,6,(ROW(Liste_Materiel_Combinee!$G$2:$G$426)-1)/(Liste_Materiel_Combinee!$G$2:$G$426=1),94)+1)),""),0))</f>
        <v/>
      </c>
      <c r="D96" s="104" t="str">
        <f>IF($H$5="EFFACER","",IFERROR(INDEX(Liste_Materiel_Combinee!$E:$E,(_xlfn.AGGREGATE(15,6,(ROW(Liste_Materiel_Combinee!$G$2:$G$426)-1)/(Liste_Materiel_Combinee!$G$2:$G$426=1),94)+1)),""))</f>
        <v/>
      </c>
      <c r="E96" s="105">
        <f t="shared" si="1"/>
        <v>0</v>
      </c>
      <c r="F96" s="104" t="str">
        <f>IFERROR(INDEX(Catalogue!$K:$K,MATCH(A96,Catalogue!$A:$A,0)),"")</f>
        <v/>
      </c>
      <c r="G96" s="102"/>
      <c r="H96" s="7"/>
      <c r="I96" s="7"/>
    </row>
    <row r="97" spans="1:9" x14ac:dyDescent="0.25">
      <c r="A97" s="103" t="str">
        <f>IFERROR(INDEX(Liste_Materiel_Combinee!$B:$B,(_xlfn.AGGREGATE(15,6,(ROW(Liste_Materiel_Combinee!$G$2:$G$426)-1)/(Liste_Materiel_Combinee!$G$2:$G$426=1),95)+1)),"")</f>
        <v/>
      </c>
      <c r="B97" s="104" t="str">
        <f>IFERROR(INDEX(Liste_Materiel_Combinee!$C:$C,(_xlfn.AGGREGATE(15,6,(ROW(Liste_Materiel_Combinee!$G$2:$G$426)-1)/(Liste_Materiel_Combinee!$G$2:$G$426=1),95)+1)),"")</f>
        <v/>
      </c>
      <c r="C97" s="104" t="str">
        <f>IF(IFERROR(INDEX(Liste_Materiel_Combinee!$F:$F,(_xlfn.AGGREGATE(15,6,(ROW(Liste_Materiel_Combinee!$G$2:$G$426)-1)/(Liste_Materiel_Combinee!$G$2:$G$426=1),95)+1)),"")="","",ROUNDUP(IFERROR(INDEX(Liste_Materiel_Combinee!$F:$F,(_xlfn.AGGREGATE(15,6,(ROW(Liste_Materiel_Combinee!$G$2:$G$426)-1)/(Liste_Materiel_Combinee!$G$2:$G$426=1),95)+1)),""),0))</f>
        <v/>
      </c>
      <c r="D97" s="104" t="str">
        <f>IF($H$5="EFFACER","",IFERROR(INDEX(Liste_Materiel_Combinee!$E:$E,(_xlfn.AGGREGATE(15,6,(ROW(Liste_Materiel_Combinee!$G$2:$G$426)-1)/(Liste_Materiel_Combinee!$G$2:$G$426=1),95)+1)),""))</f>
        <v/>
      </c>
      <c r="E97" s="105">
        <f t="shared" si="1"/>
        <v>0</v>
      </c>
      <c r="F97" s="104" t="str">
        <f>IFERROR(INDEX(Catalogue!$K:$K,MATCH(A97,Catalogue!$A:$A,0)),"")</f>
        <v/>
      </c>
      <c r="G97" s="102"/>
      <c r="H97" s="7"/>
      <c r="I97" s="7"/>
    </row>
    <row r="98" spans="1:9" x14ac:dyDescent="0.25">
      <c r="A98" s="103" t="str">
        <f>IFERROR(INDEX(Liste_Materiel_Combinee!$B:$B,(_xlfn.AGGREGATE(15,6,(ROW(Liste_Materiel_Combinee!$G$2:$G$426)-1)/(Liste_Materiel_Combinee!$G$2:$G$426=1),96)+1)),"")</f>
        <v/>
      </c>
      <c r="B98" s="104" t="str">
        <f>IFERROR(INDEX(Liste_Materiel_Combinee!$C:$C,(_xlfn.AGGREGATE(15,6,(ROW(Liste_Materiel_Combinee!$G$2:$G$426)-1)/(Liste_Materiel_Combinee!$G$2:$G$426=1),96)+1)),"")</f>
        <v/>
      </c>
      <c r="C98" s="104" t="str">
        <f>IF(IFERROR(INDEX(Liste_Materiel_Combinee!$F:$F,(_xlfn.AGGREGATE(15,6,(ROW(Liste_Materiel_Combinee!$G$2:$G$426)-1)/(Liste_Materiel_Combinee!$G$2:$G$426=1),96)+1)),"")="","",ROUNDUP(IFERROR(INDEX(Liste_Materiel_Combinee!$F:$F,(_xlfn.AGGREGATE(15,6,(ROW(Liste_Materiel_Combinee!$G$2:$G$426)-1)/(Liste_Materiel_Combinee!$G$2:$G$426=1),96)+1)),""),0))</f>
        <v/>
      </c>
      <c r="D98" s="104" t="str">
        <f>IF($H$5="EFFACER","",IFERROR(INDEX(Liste_Materiel_Combinee!$E:$E,(_xlfn.AGGREGATE(15,6,(ROW(Liste_Materiel_Combinee!$G$2:$G$426)-1)/(Liste_Materiel_Combinee!$G$2:$G$426=1),96)+1)),""))</f>
        <v/>
      </c>
      <c r="E98" s="105">
        <f t="shared" si="1"/>
        <v>0</v>
      </c>
      <c r="F98" s="104" t="str">
        <f>IFERROR(INDEX(Catalogue!$K:$K,MATCH(A98,Catalogue!$A:$A,0)),"")</f>
        <v/>
      </c>
      <c r="G98" s="102"/>
      <c r="H98" s="7"/>
      <c r="I98" s="7"/>
    </row>
    <row r="99" spans="1:9" x14ac:dyDescent="0.25">
      <c r="A99" s="103" t="str">
        <f>IFERROR(INDEX(Liste_Materiel_Combinee!$B:$B,(_xlfn.AGGREGATE(15,6,(ROW(Liste_Materiel_Combinee!$G$2:$G$426)-1)/(Liste_Materiel_Combinee!$G$2:$G$426=1),97)+1)),"")</f>
        <v/>
      </c>
      <c r="B99" s="104" t="str">
        <f>IFERROR(INDEX(Liste_Materiel_Combinee!$C:$C,(_xlfn.AGGREGATE(15,6,(ROW(Liste_Materiel_Combinee!$G$2:$G$426)-1)/(Liste_Materiel_Combinee!$G$2:$G$426=1),97)+1)),"")</f>
        <v/>
      </c>
      <c r="C99" s="104" t="str">
        <f>IF(IFERROR(INDEX(Liste_Materiel_Combinee!$F:$F,(_xlfn.AGGREGATE(15,6,(ROW(Liste_Materiel_Combinee!$G$2:$G$426)-1)/(Liste_Materiel_Combinee!$G$2:$G$426=1),97)+1)),"")="","",ROUNDUP(IFERROR(INDEX(Liste_Materiel_Combinee!$F:$F,(_xlfn.AGGREGATE(15,6,(ROW(Liste_Materiel_Combinee!$G$2:$G$426)-1)/(Liste_Materiel_Combinee!$G$2:$G$426=1),97)+1)),""),0))</f>
        <v/>
      </c>
      <c r="D99" s="104" t="str">
        <f>IF($H$5="EFFACER","",IFERROR(INDEX(Liste_Materiel_Combinee!$E:$E,(_xlfn.AGGREGATE(15,6,(ROW(Liste_Materiel_Combinee!$G$2:$G$426)-1)/(Liste_Materiel_Combinee!$G$2:$G$426=1),97)+1)),""))</f>
        <v/>
      </c>
      <c r="E99" s="105">
        <f t="shared" si="1"/>
        <v>0</v>
      </c>
      <c r="F99" s="104" t="str">
        <f>IFERROR(INDEX(Catalogue!$K:$K,MATCH(A99,Catalogue!$A:$A,0)),"")</f>
        <v/>
      </c>
      <c r="G99" s="102"/>
      <c r="H99" s="7"/>
      <c r="I99" s="7"/>
    </row>
    <row r="100" spans="1:9" x14ac:dyDescent="0.25">
      <c r="A100" s="103" t="str">
        <f>IFERROR(INDEX(Liste_Materiel_Combinee!$B:$B,(_xlfn.AGGREGATE(15,6,(ROW(Liste_Materiel_Combinee!$G$2:$G$426)-1)/(Liste_Materiel_Combinee!$G$2:$G$426=1),98)+1)),"")</f>
        <v/>
      </c>
      <c r="B100" s="104" t="str">
        <f>IFERROR(INDEX(Liste_Materiel_Combinee!$C:$C,(_xlfn.AGGREGATE(15,6,(ROW(Liste_Materiel_Combinee!$G$2:$G$426)-1)/(Liste_Materiel_Combinee!$G$2:$G$426=1),98)+1)),"")</f>
        <v/>
      </c>
      <c r="C100" s="104" t="str">
        <f>IF(IFERROR(INDEX(Liste_Materiel_Combinee!$F:$F,(_xlfn.AGGREGATE(15,6,(ROW(Liste_Materiel_Combinee!$G$2:$G$426)-1)/(Liste_Materiel_Combinee!$G$2:$G$426=1),98)+1)),"")="","",ROUNDUP(IFERROR(INDEX(Liste_Materiel_Combinee!$F:$F,(_xlfn.AGGREGATE(15,6,(ROW(Liste_Materiel_Combinee!$G$2:$G$426)-1)/(Liste_Materiel_Combinee!$G$2:$G$426=1),98)+1)),""),0))</f>
        <v/>
      </c>
      <c r="D100" s="104" t="str">
        <f>IF($H$5="EFFACER","",IFERROR(INDEX(Liste_Materiel_Combinee!$E:$E,(_xlfn.AGGREGATE(15,6,(ROW(Liste_Materiel_Combinee!$G$2:$G$426)-1)/(Liste_Materiel_Combinee!$G$2:$G$426=1),98)+1)),""))</f>
        <v/>
      </c>
      <c r="E100" s="105">
        <f t="shared" si="1"/>
        <v>0</v>
      </c>
      <c r="F100" s="104" t="str">
        <f>IFERROR(INDEX(Catalogue!$K:$K,MATCH(A100,Catalogue!$A:$A,0)),"")</f>
        <v/>
      </c>
      <c r="G100" s="102"/>
      <c r="H100" s="7"/>
      <c r="I100" s="7"/>
    </row>
    <row r="101" spans="1:9" x14ac:dyDescent="0.25">
      <c r="A101" s="103" t="str">
        <f>IFERROR(INDEX(Liste_Materiel_Combinee!$B:$B,(_xlfn.AGGREGATE(15,6,(ROW(Liste_Materiel_Combinee!$G$2:$G$426)-1)/(Liste_Materiel_Combinee!$G$2:$G$426=1),99)+1)),"")</f>
        <v/>
      </c>
      <c r="B101" s="104" t="str">
        <f>IFERROR(INDEX(Liste_Materiel_Combinee!$C:$C,(_xlfn.AGGREGATE(15,6,(ROW(Liste_Materiel_Combinee!$G$2:$G$426)-1)/(Liste_Materiel_Combinee!$G$2:$G$426=1),99)+1)),"")</f>
        <v/>
      </c>
      <c r="C101" s="104" t="str">
        <f>IF(IFERROR(INDEX(Liste_Materiel_Combinee!$F:$F,(_xlfn.AGGREGATE(15,6,(ROW(Liste_Materiel_Combinee!$G$2:$G$426)-1)/(Liste_Materiel_Combinee!$G$2:$G$426=1),99)+1)),"")="","",ROUNDUP(IFERROR(INDEX(Liste_Materiel_Combinee!$F:$F,(_xlfn.AGGREGATE(15,6,(ROW(Liste_Materiel_Combinee!$G$2:$G$426)-1)/(Liste_Materiel_Combinee!$G$2:$G$426=1),99)+1)),""),0))</f>
        <v/>
      </c>
      <c r="D101" s="104" t="str">
        <f>IF($H$5="EFFACER","",IFERROR(INDEX(Liste_Materiel_Combinee!$E:$E,(_xlfn.AGGREGATE(15,6,(ROW(Liste_Materiel_Combinee!$G$2:$G$426)-1)/(Liste_Materiel_Combinee!$G$2:$G$426=1),99)+1)),""))</f>
        <v/>
      </c>
      <c r="E101" s="105">
        <f t="shared" si="1"/>
        <v>0</v>
      </c>
      <c r="F101" s="104" t="str">
        <f>IFERROR(INDEX(Catalogue!$K:$K,MATCH(A101,Catalogue!$A:$A,0)),"")</f>
        <v/>
      </c>
      <c r="G101" s="102"/>
      <c r="H101" s="7"/>
      <c r="I101" s="7"/>
    </row>
    <row r="102" spans="1:9" x14ac:dyDescent="0.25">
      <c r="A102" s="103" t="str">
        <f>IFERROR(INDEX(Liste_Materiel_Combinee!$B:$B,(_xlfn.AGGREGATE(15,6,(ROW(Liste_Materiel_Combinee!$G$2:$G$426)-1)/(Liste_Materiel_Combinee!$G$2:$G$426=1),100)+1)),"")</f>
        <v/>
      </c>
      <c r="B102" s="104" t="str">
        <f>IFERROR(INDEX(Liste_Materiel_Combinee!$C:$C,(_xlfn.AGGREGATE(15,6,(ROW(Liste_Materiel_Combinee!$G$2:$G$426)-1)/(Liste_Materiel_Combinee!$G$2:$G$426=1),100)+1)),"")</f>
        <v/>
      </c>
      <c r="C102" s="104" t="str">
        <f>IF(IFERROR(INDEX(Liste_Materiel_Combinee!$F:$F,(_xlfn.AGGREGATE(15,6,(ROW(Liste_Materiel_Combinee!$G$2:$G$426)-1)/(Liste_Materiel_Combinee!$G$2:$G$426=1),100)+1)),"")="","",ROUNDUP(IFERROR(INDEX(Liste_Materiel_Combinee!$F:$F,(_xlfn.AGGREGATE(15,6,(ROW(Liste_Materiel_Combinee!$G$2:$G$426)-1)/(Liste_Materiel_Combinee!$G$2:$G$426=1),100)+1)),""),0))</f>
        <v/>
      </c>
      <c r="D102" s="104" t="str">
        <f>IF($H$5="EFFACER","",IFERROR(INDEX(Liste_Materiel_Combinee!$E:$E,(_xlfn.AGGREGATE(15,6,(ROW(Liste_Materiel_Combinee!$G$2:$G$426)-1)/(Liste_Materiel_Combinee!$G$2:$G$426=1),100)+1)),""))</f>
        <v/>
      </c>
      <c r="E102" s="105">
        <f t="shared" si="1"/>
        <v>0</v>
      </c>
      <c r="F102" s="104" t="str">
        <f>IFERROR(INDEX(Catalogue!$K:$K,MATCH(A102,Catalogue!$A:$A,0)),"")</f>
        <v/>
      </c>
      <c r="G102" s="102"/>
      <c r="H102" s="7"/>
      <c r="I102" s="7"/>
    </row>
    <row r="103" spans="1:9" x14ac:dyDescent="0.25">
      <c r="A103" s="103" t="str">
        <f>IFERROR(INDEX(Liste_Materiel_Combinee!$B:$B,(_xlfn.AGGREGATE(15,6,(ROW(Liste_Materiel_Combinee!$G$2:$G$426)-1)/(Liste_Materiel_Combinee!$G$2:$G$426=1),101)+1)),"")</f>
        <v/>
      </c>
      <c r="B103" s="104" t="str">
        <f>IFERROR(INDEX(Liste_Materiel_Combinee!$C:$C,(_xlfn.AGGREGATE(15,6,(ROW(Liste_Materiel_Combinee!$G$2:$G$426)-1)/(Liste_Materiel_Combinee!$G$2:$G$426=1),101)+1)),"")</f>
        <v/>
      </c>
      <c r="C103" s="104" t="str">
        <f>IF(IFERROR(INDEX(Liste_Materiel_Combinee!$F:$F,(_xlfn.AGGREGATE(15,6,(ROW(Liste_Materiel_Combinee!$G$2:$G$426)-1)/(Liste_Materiel_Combinee!$G$2:$G$426=1),101)+1)),"")="","",ROUNDUP(IFERROR(INDEX(Liste_Materiel_Combinee!$F:$F,(_xlfn.AGGREGATE(15,6,(ROW(Liste_Materiel_Combinee!$G$2:$G$426)-1)/(Liste_Materiel_Combinee!$G$2:$G$426=1),101)+1)),""),0))</f>
        <v/>
      </c>
      <c r="D103" s="104" t="str">
        <f>IF($H$5="EFFACER","",IFERROR(INDEX(Liste_Materiel_Combinee!$E:$E,(_xlfn.AGGREGATE(15,6,(ROW(Liste_Materiel_Combinee!$G$2:$G$426)-1)/(Liste_Materiel_Combinee!$G$2:$G$426=1),101)+1)),""))</f>
        <v/>
      </c>
      <c r="E103" s="105">
        <f t="shared" si="1"/>
        <v>0</v>
      </c>
      <c r="F103" s="104" t="str">
        <f>IFERROR(INDEX(Catalogue!$K:$K,MATCH(A103,Catalogue!$A:$A,0)),"")</f>
        <v/>
      </c>
      <c r="G103" s="102"/>
      <c r="H103" s="7"/>
      <c r="I103" s="7"/>
    </row>
    <row r="104" spans="1:9" x14ac:dyDescent="0.25">
      <c r="A104" s="103" t="str">
        <f>IFERROR(INDEX(Liste_Materiel_Combinee!$B:$B,(_xlfn.AGGREGATE(15,6,(ROW(Liste_Materiel_Combinee!$G$2:$G$426)-1)/(Liste_Materiel_Combinee!$G$2:$G$426=1),102)+1)),"")</f>
        <v/>
      </c>
      <c r="B104" s="104" t="str">
        <f>IFERROR(INDEX(Liste_Materiel_Combinee!$C:$C,(_xlfn.AGGREGATE(15,6,(ROW(Liste_Materiel_Combinee!$G$2:$G$426)-1)/(Liste_Materiel_Combinee!$G$2:$G$426=1),102)+1)),"")</f>
        <v/>
      </c>
      <c r="C104" s="104" t="str">
        <f>IF(IFERROR(INDEX(Liste_Materiel_Combinee!$F:$F,(_xlfn.AGGREGATE(15,6,(ROW(Liste_Materiel_Combinee!$G$2:$G$426)-1)/(Liste_Materiel_Combinee!$G$2:$G$426=1),102)+1)),"")="","",ROUNDUP(IFERROR(INDEX(Liste_Materiel_Combinee!$F:$F,(_xlfn.AGGREGATE(15,6,(ROW(Liste_Materiel_Combinee!$G$2:$G$426)-1)/(Liste_Materiel_Combinee!$G$2:$G$426=1),102)+1)),""),0))</f>
        <v/>
      </c>
      <c r="D104" s="104" t="str">
        <f>IF($H$5="EFFACER","",IFERROR(INDEX(Liste_Materiel_Combinee!$E:$E,(_xlfn.AGGREGATE(15,6,(ROW(Liste_Materiel_Combinee!$G$2:$G$426)-1)/(Liste_Materiel_Combinee!$G$2:$G$426=1),102)+1)),""))</f>
        <v/>
      </c>
      <c r="E104" s="105">
        <f t="shared" si="1"/>
        <v>0</v>
      </c>
      <c r="F104" s="104" t="str">
        <f>IFERROR(INDEX(Catalogue!$K:$K,MATCH(A104,Catalogue!$A:$A,0)),"")</f>
        <v/>
      </c>
      <c r="G104" s="102"/>
      <c r="H104" s="7"/>
      <c r="I104" s="7"/>
    </row>
    <row r="105" spans="1:9" x14ac:dyDescent="0.25">
      <c r="A105" s="103" t="str">
        <f>IFERROR(INDEX(Liste_Materiel_Combinee!$B:$B,(_xlfn.AGGREGATE(15,6,(ROW(Liste_Materiel_Combinee!$G$2:$G$426)-1)/(Liste_Materiel_Combinee!$G$2:$G$426=1),103)+1)),"")</f>
        <v/>
      </c>
      <c r="B105" s="104" t="str">
        <f>IFERROR(INDEX(Liste_Materiel_Combinee!$C:$C,(_xlfn.AGGREGATE(15,6,(ROW(Liste_Materiel_Combinee!$G$2:$G$426)-1)/(Liste_Materiel_Combinee!$G$2:$G$426=1),103)+1)),"")</f>
        <v/>
      </c>
      <c r="C105" s="104" t="str">
        <f>IF(IFERROR(INDEX(Liste_Materiel_Combinee!$F:$F,(_xlfn.AGGREGATE(15,6,(ROW(Liste_Materiel_Combinee!$G$2:$G$426)-1)/(Liste_Materiel_Combinee!$G$2:$G$426=1),103)+1)),"")="","",ROUNDUP(IFERROR(INDEX(Liste_Materiel_Combinee!$F:$F,(_xlfn.AGGREGATE(15,6,(ROW(Liste_Materiel_Combinee!$G$2:$G$426)-1)/(Liste_Materiel_Combinee!$G$2:$G$426=1),103)+1)),""),0))</f>
        <v/>
      </c>
      <c r="D105" s="104" t="str">
        <f>IF($H$5="EFFACER","",IFERROR(INDEX(Liste_Materiel_Combinee!$E:$E,(_xlfn.AGGREGATE(15,6,(ROW(Liste_Materiel_Combinee!$G$2:$G$426)-1)/(Liste_Materiel_Combinee!$G$2:$G$426=1),103)+1)),""))</f>
        <v/>
      </c>
      <c r="E105" s="105">
        <f t="shared" si="1"/>
        <v>0</v>
      </c>
      <c r="F105" s="104" t="str">
        <f>IFERROR(INDEX(Catalogue!$K:$K,MATCH(A105,Catalogue!$A:$A,0)),"")</f>
        <v/>
      </c>
      <c r="G105" s="102"/>
      <c r="H105" s="7"/>
      <c r="I105" s="7"/>
    </row>
    <row r="106" spans="1:9" x14ac:dyDescent="0.25">
      <c r="A106" s="103" t="str">
        <f>IFERROR(INDEX(Liste_Materiel_Combinee!$B:$B,(_xlfn.AGGREGATE(15,6,(ROW(Liste_Materiel_Combinee!$G$2:$G$426)-1)/(Liste_Materiel_Combinee!$G$2:$G$426=1),104)+1)),"")</f>
        <v/>
      </c>
      <c r="B106" s="104" t="str">
        <f>IFERROR(INDEX(Liste_Materiel_Combinee!$C:$C,(_xlfn.AGGREGATE(15,6,(ROW(Liste_Materiel_Combinee!$G$2:$G$426)-1)/(Liste_Materiel_Combinee!$G$2:$G$426=1),104)+1)),"")</f>
        <v/>
      </c>
      <c r="C106" s="104" t="str">
        <f>IF(IFERROR(INDEX(Liste_Materiel_Combinee!$F:$F,(_xlfn.AGGREGATE(15,6,(ROW(Liste_Materiel_Combinee!$G$2:$G$426)-1)/(Liste_Materiel_Combinee!$G$2:$G$426=1),104)+1)),"")="","",ROUNDUP(IFERROR(INDEX(Liste_Materiel_Combinee!$F:$F,(_xlfn.AGGREGATE(15,6,(ROW(Liste_Materiel_Combinee!$G$2:$G$426)-1)/(Liste_Materiel_Combinee!$G$2:$G$426=1),104)+1)),""),0))</f>
        <v/>
      </c>
      <c r="D106" s="104" t="str">
        <f>IF($H$5="EFFACER","",IFERROR(INDEX(Liste_Materiel_Combinee!$E:$E,(_xlfn.AGGREGATE(15,6,(ROW(Liste_Materiel_Combinee!$G$2:$G$426)-1)/(Liste_Materiel_Combinee!$G$2:$G$426=1),104)+1)),""))</f>
        <v/>
      </c>
      <c r="E106" s="105">
        <f t="shared" si="1"/>
        <v>0</v>
      </c>
      <c r="F106" s="104" t="str">
        <f>IFERROR(INDEX(Catalogue!$K:$K,MATCH(A106,Catalogue!$A:$A,0)),"")</f>
        <v/>
      </c>
      <c r="G106" s="102"/>
      <c r="H106" s="7"/>
      <c r="I106" s="7"/>
    </row>
    <row r="107" spans="1:9" x14ac:dyDescent="0.25">
      <c r="A107" s="103" t="str">
        <f>IFERROR(INDEX(Liste_Materiel_Combinee!$B:$B,(_xlfn.AGGREGATE(15,6,(ROW(Liste_Materiel_Combinee!$G$2:$G$426)-1)/(Liste_Materiel_Combinee!$G$2:$G$426=1),105)+1)),"")</f>
        <v/>
      </c>
      <c r="B107" s="104" t="str">
        <f>IFERROR(INDEX(Liste_Materiel_Combinee!$C:$C,(_xlfn.AGGREGATE(15,6,(ROW(Liste_Materiel_Combinee!$G$2:$G$426)-1)/(Liste_Materiel_Combinee!$G$2:$G$426=1),105)+1)),"")</f>
        <v/>
      </c>
      <c r="C107" s="104" t="str">
        <f>IF(IFERROR(INDEX(Liste_Materiel_Combinee!$F:$F,(_xlfn.AGGREGATE(15,6,(ROW(Liste_Materiel_Combinee!$G$2:$G$426)-1)/(Liste_Materiel_Combinee!$G$2:$G$426=1),105)+1)),"")="","",ROUNDUP(IFERROR(INDEX(Liste_Materiel_Combinee!$F:$F,(_xlfn.AGGREGATE(15,6,(ROW(Liste_Materiel_Combinee!$G$2:$G$426)-1)/(Liste_Materiel_Combinee!$G$2:$G$426=1),105)+1)),""),0))</f>
        <v/>
      </c>
      <c r="D107" s="104" t="str">
        <f>IF($H$5="EFFACER","",IFERROR(INDEX(Liste_Materiel_Combinee!$E:$E,(_xlfn.AGGREGATE(15,6,(ROW(Liste_Materiel_Combinee!$G$2:$G$426)-1)/(Liste_Materiel_Combinee!$G$2:$G$426=1),105)+1)),""))</f>
        <v/>
      </c>
      <c r="E107" s="105">
        <f t="shared" si="1"/>
        <v>0</v>
      </c>
      <c r="F107" s="104" t="str">
        <f>IFERROR(INDEX(Catalogue!$K:$K,MATCH(A107,Catalogue!$A:$A,0)),"")</f>
        <v/>
      </c>
      <c r="G107" s="102"/>
      <c r="H107" s="7"/>
      <c r="I107" s="7"/>
    </row>
    <row r="108" spans="1:9" x14ac:dyDescent="0.25">
      <c r="A108" s="103" t="str">
        <f>IFERROR(INDEX(Liste_Materiel_Combinee!$B:$B,(_xlfn.AGGREGATE(15,6,(ROW(Liste_Materiel_Combinee!$G$2:$G$426)-1)/(Liste_Materiel_Combinee!$G$2:$G$426=1),106)+1)),"")</f>
        <v/>
      </c>
      <c r="B108" s="104" t="str">
        <f>IFERROR(INDEX(Liste_Materiel_Combinee!$C:$C,(_xlfn.AGGREGATE(15,6,(ROW(Liste_Materiel_Combinee!$G$2:$G$426)-1)/(Liste_Materiel_Combinee!$G$2:$G$426=1),106)+1)),"")</f>
        <v/>
      </c>
      <c r="C108" s="104" t="str">
        <f>IF(IFERROR(INDEX(Liste_Materiel_Combinee!$F:$F,(_xlfn.AGGREGATE(15,6,(ROW(Liste_Materiel_Combinee!$G$2:$G$426)-1)/(Liste_Materiel_Combinee!$G$2:$G$426=1),106)+1)),"")="","",ROUNDUP(IFERROR(INDEX(Liste_Materiel_Combinee!$F:$F,(_xlfn.AGGREGATE(15,6,(ROW(Liste_Materiel_Combinee!$G$2:$G$426)-1)/(Liste_Materiel_Combinee!$G$2:$G$426=1),106)+1)),""),0))</f>
        <v/>
      </c>
      <c r="D108" s="104" t="str">
        <f>IF($H$5="EFFACER","",IFERROR(INDEX(Liste_Materiel_Combinee!$E:$E,(_xlfn.AGGREGATE(15,6,(ROW(Liste_Materiel_Combinee!$G$2:$G$426)-1)/(Liste_Materiel_Combinee!$G$2:$G$426=1),106)+1)),""))</f>
        <v/>
      </c>
      <c r="E108" s="105">
        <f t="shared" si="1"/>
        <v>0</v>
      </c>
      <c r="F108" s="104" t="str">
        <f>IFERROR(INDEX(Catalogue!$K:$K,MATCH(A108,Catalogue!$A:$A,0)),"")</f>
        <v/>
      </c>
      <c r="G108" s="102"/>
      <c r="H108" s="7"/>
      <c r="I108" s="7"/>
    </row>
    <row r="109" spans="1:9" x14ac:dyDescent="0.25">
      <c r="A109" s="103" t="str">
        <f>IFERROR(INDEX(Liste_Materiel_Combinee!$B:$B,(_xlfn.AGGREGATE(15,6,(ROW(Liste_Materiel_Combinee!$G$2:$G$426)-1)/(Liste_Materiel_Combinee!$G$2:$G$426=1),107)+1)),"")</f>
        <v/>
      </c>
      <c r="B109" s="104" t="str">
        <f>IFERROR(INDEX(Liste_Materiel_Combinee!$C:$C,(_xlfn.AGGREGATE(15,6,(ROW(Liste_Materiel_Combinee!$G$2:$G$426)-1)/(Liste_Materiel_Combinee!$G$2:$G$426=1),107)+1)),"")</f>
        <v/>
      </c>
      <c r="C109" s="104" t="str">
        <f>IF(IFERROR(INDEX(Liste_Materiel_Combinee!$F:$F,(_xlfn.AGGREGATE(15,6,(ROW(Liste_Materiel_Combinee!$G$2:$G$426)-1)/(Liste_Materiel_Combinee!$G$2:$G$426=1),107)+1)),"")="","",ROUNDUP(IFERROR(INDEX(Liste_Materiel_Combinee!$F:$F,(_xlfn.AGGREGATE(15,6,(ROW(Liste_Materiel_Combinee!$G$2:$G$426)-1)/(Liste_Materiel_Combinee!$G$2:$G$426=1),107)+1)),""),0))</f>
        <v/>
      </c>
      <c r="D109" s="104" t="str">
        <f>IF($H$5="EFFACER","",IFERROR(INDEX(Liste_Materiel_Combinee!$E:$E,(_xlfn.AGGREGATE(15,6,(ROW(Liste_Materiel_Combinee!$G$2:$G$426)-1)/(Liste_Materiel_Combinee!$G$2:$G$426=1),107)+1)),""))</f>
        <v/>
      </c>
      <c r="E109" s="105">
        <f t="shared" si="1"/>
        <v>0</v>
      </c>
      <c r="F109" s="104" t="str">
        <f>IFERROR(INDEX(Catalogue!$K:$K,MATCH(A109,Catalogue!$A:$A,0)),"")</f>
        <v/>
      </c>
      <c r="G109" s="102"/>
      <c r="H109" s="7"/>
      <c r="I109" s="7"/>
    </row>
    <row r="110" spans="1:9" x14ac:dyDescent="0.25">
      <c r="A110" s="103" t="str">
        <f>IFERROR(INDEX(Liste_Materiel_Combinee!$B:$B,(_xlfn.AGGREGATE(15,6,(ROW(Liste_Materiel_Combinee!$G$2:$G$426)-1)/(Liste_Materiel_Combinee!$G$2:$G$426=1),108)+1)),"")</f>
        <v/>
      </c>
      <c r="B110" s="104" t="str">
        <f>IFERROR(INDEX(Liste_Materiel_Combinee!$C:$C,(_xlfn.AGGREGATE(15,6,(ROW(Liste_Materiel_Combinee!$G$2:$G$426)-1)/(Liste_Materiel_Combinee!$G$2:$G$426=1),108)+1)),"")</f>
        <v/>
      </c>
      <c r="C110" s="104" t="str">
        <f>IF(IFERROR(INDEX(Liste_Materiel_Combinee!$F:$F,(_xlfn.AGGREGATE(15,6,(ROW(Liste_Materiel_Combinee!$G$2:$G$426)-1)/(Liste_Materiel_Combinee!$G$2:$G$426=1),108)+1)),"")="","",ROUNDUP(IFERROR(INDEX(Liste_Materiel_Combinee!$F:$F,(_xlfn.AGGREGATE(15,6,(ROW(Liste_Materiel_Combinee!$G$2:$G$426)-1)/(Liste_Materiel_Combinee!$G$2:$G$426=1),108)+1)),""),0))</f>
        <v/>
      </c>
      <c r="D110" s="104" t="str">
        <f>IF($H$5="EFFACER","",IFERROR(INDEX(Liste_Materiel_Combinee!$E:$E,(_xlfn.AGGREGATE(15,6,(ROW(Liste_Materiel_Combinee!$G$2:$G$426)-1)/(Liste_Materiel_Combinee!$G$2:$G$426=1),108)+1)),""))</f>
        <v/>
      </c>
      <c r="E110" s="105">
        <f t="shared" si="1"/>
        <v>0</v>
      </c>
      <c r="F110" s="104" t="str">
        <f>IFERROR(INDEX(Catalogue!$K:$K,MATCH(A110,Catalogue!$A:$A,0)),"")</f>
        <v/>
      </c>
      <c r="G110" s="102"/>
      <c r="H110" s="7"/>
      <c r="I110" s="7"/>
    </row>
    <row r="111" spans="1:9" x14ac:dyDescent="0.25">
      <c r="A111" s="103" t="str">
        <f>IFERROR(INDEX(Liste_Materiel_Combinee!$B:$B,(_xlfn.AGGREGATE(15,6,(ROW(Liste_Materiel_Combinee!$G$2:$G$426)-1)/(Liste_Materiel_Combinee!$G$2:$G$426=1),109)+1)),"")</f>
        <v/>
      </c>
      <c r="B111" s="104" t="str">
        <f>IFERROR(INDEX(Liste_Materiel_Combinee!$C:$C,(_xlfn.AGGREGATE(15,6,(ROW(Liste_Materiel_Combinee!$G$2:$G$426)-1)/(Liste_Materiel_Combinee!$G$2:$G$426=1),109)+1)),"")</f>
        <v/>
      </c>
      <c r="C111" s="104" t="str">
        <f>IF(IFERROR(INDEX(Liste_Materiel_Combinee!$F:$F,(_xlfn.AGGREGATE(15,6,(ROW(Liste_Materiel_Combinee!$G$2:$G$426)-1)/(Liste_Materiel_Combinee!$G$2:$G$426=1),109)+1)),"")="","",ROUNDUP(IFERROR(INDEX(Liste_Materiel_Combinee!$F:$F,(_xlfn.AGGREGATE(15,6,(ROW(Liste_Materiel_Combinee!$G$2:$G$426)-1)/(Liste_Materiel_Combinee!$G$2:$G$426=1),109)+1)),""),0))</f>
        <v/>
      </c>
      <c r="D111" s="104" t="str">
        <f>IF($H$5="EFFACER","",IFERROR(INDEX(Liste_Materiel_Combinee!$E:$E,(_xlfn.AGGREGATE(15,6,(ROW(Liste_Materiel_Combinee!$G$2:$G$426)-1)/(Liste_Materiel_Combinee!$G$2:$G$426=1),109)+1)),""))</f>
        <v/>
      </c>
      <c r="E111" s="105">
        <f t="shared" si="1"/>
        <v>0</v>
      </c>
      <c r="F111" s="104" t="str">
        <f>IFERROR(INDEX(Catalogue!$K:$K,MATCH(A111,Catalogue!$A:$A,0)),"")</f>
        <v/>
      </c>
      <c r="G111" s="102"/>
      <c r="H111" s="7"/>
      <c r="I111" s="7"/>
    </row>
    <row r="112" spans="1:9" x14ac:dyDescent="0.25">
      <c r="A112" s="103" t="str">
        <f>IFERROR(INDEX(Liste_Materiel_Combinee!$B:$B,(_xlfn.AGGREGATE(15,6,(ROW(Liste_Materiel_Combinee!$G$2:$G$426)-1)/(Liste_Materiel_Combinee!$G$2:$G$426=1),110)+1)),"")</f>
        <v/>
      </c>
      <c r="B112" s="104" t="str">
        <f>IFERROR(INDEX(Liste_Materiel_Combinee!$C:$C,(_xlfn.AGGREGATE(15,6,(ROW(Liste_Materiel_Combinee!$G$2:$G$426)-1)/(Liste_Materiel_Combinee!$G$2:$G$426=1),110)+1)),"")</f>
        <v/>
      </c>
      <c r="C112" s="104" t="str">
        <f>IF(IFERROR(INDEX(Liste_Materiel_Combinee!$F:$F,(_xlfn.AGGREGATE(15,6,(ROW(Liste_Materiel_Combinee!$G$2:$G$426)-1)/(Liste_Materiel_Combinee!$G$2:$G$426=1),110)+1)),"")="","",ROUNDUP(IFERROR(INDEX(Liste_Materiel_Combinee!$F:$F,(_xlfn.AGGREGATE(15,6,(ROW(Liste_Materiel_Combinee!$G$2:$G$426)-1)/(Liste_Materiel_Combinee!$G$2:$G$426=1),110)+1)),""),0))</f>
        <v/>
      </c>
      <c r="D112" s="104" t="str">
        <f>IF($H$5="EFFACER","",IFERROR(INDEX(Liste_Materiel_Combinee!$E:$E,(_xlfn.AGGREGATE(15,6,(ROW(Liste_Materiel_Combinee!$G$2:$G$426)-1)/(Liste_Materiel_Combinee!$G$2:$G$426=1),110)+1)),""))</f>
        <v/>
      </c>
      <c r="E112" s="105">
        <f t="shared" si="1"/>
        <v>0</v>
      </c>
      <c r="F112" s="104" t="str">
        <f>IFERROR(INDEX(Catalogue!$K:$K,MATCH(A112,Catalogue!$A:$A,0)),"")</f>
        <v/>
      </c>
      <c r="G112" s="102"/>
      <c r="H112" s="7"/>
      <c r="I112" s="7"/>
    </row>
    <row r="113" spans="1:9" x14ac:dyDescent="0.25">
      <c r="A113" s="103" t="str">
        <f>IFERROR(INDEX(Liste_Materiel_Combinee!$B:$B,(_xlfn.AGGREGATE(15,6,(ROW(Liste_Materiel_Combinee!$G$2:$G$426)-1)/(Liste_Materiel_Combinee!$G$2:$G$426=1),111)+1)),"")</f>
        <v/>
      </c>
      <c r="B113" s="104" t="str">
        <f>IFERROR(INDEX(Liste_Materiel_Combinee!$C:$C,(_xlfn.AGGREGATE(15,6,(ROW(Liste_Materiel_Combinee!$G$2:$G$426)-1)/(Liste_Materiel_Combinee!$G$2:$G$426=1),111)+1)),"")</f>
        <v/>
      </c>
      <c r="C113" s="104" t="str">
        <f>IF(IFERROR(INDEX(Liste_Materiel_Combinee!$F:$F,(_xlfn.AGGREGATE(15,6,(ROW(Liste_Materiel_Combinee!$G$2:$G$426)-1)/(Liste_Materiel_Combinee!$G$2:$G$426=1),111)+1)),"")="","",ROUNDUP(IFERROR(INDEX(Liste_Materiel_Combinee!$F:$F,(_xlfn.AGGREGATE(15,6,(ROW(Liste_Materiel_Combinee!$G$2:$G$426)-1)/(Liste_Materiel_Combinee!$G$2:$G$426=1),111)+1)),""),0))</f>
        <v/>
      </c>
      <c r="D113" s="104" t="str">
        <f>IF($H$5="EFFACER","",IFERROR(INDEX(Liste_Materiel_Combinee!$E:$E,(_xlfn.AGGREGATE(15,6,(ROW(Liste_Materiel_Combinee!$G$2:$G$426)-1)/(Liste_Materiel_Combinee!$G$2:$G$426=1),111)+1)),""))</f>
        <v/>
      </c>
      <c r="E113" s="105">
        <f t="shared" si="1"/>
        <v>0</v>
      </c>
      <c r="F113" s="104" t="str">
        <f>IFERROR(INDEX(Catalogue!$K:$K,MATCH(A113,Catalogue!$A:$A,0)),"")</f>
        <v/>
      </c>
      <c r="G113" s="102"/>
      <c r="H113" s="7"/>
      <c r="I113" s="7"/>
    </row>
    <row r="114" spans="1:9" x14ac:dyDescent="0.25">
      <c r="A114" s="103" t="str">
        <f>IFERROR(INDEX(Liste_Materiel_Combinee!$B:$B,(_xlfn.AGGREGATE(15,6,(ROW(Liste_Materiel_Combinee!$G$2:$G$426)-1)/(Liste_Materiel_Combinee!$G$2:$G$426=1),112)+1)),"")</f>
        <v/>
      </c>
      <c r="B114" s="104" t="str">
        <f>IFERROR(INDEX(Liste_Materiel_Combinee!$C:$C,(_xlfn.AGGREGATE(15,6,(ROW(Liste_Materiel_Combinee!$G$2:$G$426)-1)/(Liste_Materiel_Combinee!$G$2:$G$426=1),112)+1)),"")</f>
        <v/>
      </c>
      <c r="C114" s="104" t="str">
        <f>IF(IFERROR(INDEX(Liste_Materiel_Combinee!$F:$F,(_xlfn.AGGREGATE(15,6,(ROW(Liste_Materiel_Combinee!$G$2:$G$426)-1)/(Liste_Materiel_Combinee!$G$2:$G$426=1),112)+1)),"")="","",ROUNDUP(IFERROR(INDEX(Liste_Materiel_Combinee!$F:$F,(_xlfn.AGGREGATE(15,6,(ROW(Liste_Materiel_Combinee!$G$2:$G$426)-1)/(Liste_Materiel_Combinee!$G$2:$G$426=1),112)+1)),""),0))</f>
        <v/>
      </c>
      <c r="D114" s="104" t="str">
        <f>IF($H$5="EFFACER","",IFERROR(INDEX(Liste_Materiel_Combinee!$E:$E,(_xlfn.AGGREGATE(15,6,(ROW(Liste_Materiel_Combinee!$G$2:$G$426)-1)/(Liste_Materiel_Combinee!$G$2:$G$426=1),112)+1)),""))</f>
        <v/>
      </c>
      <c r="E114" s="105">
        <f t="shared" si="1"/>
        <v>0</v>
      </c>
      <c r="F114" s="104" t="str">
        <f>IFERROR(INDEX(Catalogue!$K:$K,MATCH(A114,Catalogue!$A:$A,0)),"")</f>
        <v/>
      </c>
      <c r="G114" s="102"/>
      <c r="H114" s="7"/>
      <c r="I114" s="7"/>
    </row>
    <row r="115" spans="1:9" x14ac:dyDescent="0.25">
      <c r="A115" s="103" t="str">
        <f>IFERROR(INDEX(Liste_Materiel_Combinee!$B:$B,(_xlfn.AGGREGATE(15,6,(ROW(Liste_Materiel_Combinee!$G$2:$G$426)-1)/(Liste_Materiel_Combinee!$G$2:$G$426=1),113)+1)),"")</f>
        <v/>
      </c>
      <c r="B115" s="104" t="str">
        <f>IFERROR(INDEX(Liste_Materiel_Combinee!$C:$C,(_xlfn.AGGREGATE(15,6,(ROW(Liste_Materiel_Combinee!$G$2:$G$426)-1)/(Liste_Materiel_Combinee!$G$2:$G$426=1),113)+1)),"")</f>
        <v/>
      </c>
      <c r="C115" s="104" t="str">
        <f>IF(IFERROR(INDEX(Liste_Materiel_Combinee!$F:$F,(_xlfn.AGGREGATE(15,6,(ROW(Liste_Materiel_Combinee!$G$2:$G$426)-1)/(Liste_Materiel_Combinee!$G$2:$G$426=1),113)+1)),"")="","",ROUNDUP(IFERROR(INDEX(Liste_Materiel_Combinee!$F:$F,(_xlfn.AGGREGATE(15,6,(ROW(Liste_Materiel_Combinee!$G$2:$G$426)-1)/(Liste_Materiel_Combinee!$G$2:$G$426=1),113)+1)),""),0))</f>
        <v/>
      </c>
      <c r="D115" s="104" t="str">
        <f>IF($H$5="EFFACER","",IFERROR(INDEX(Liste_Materiel_Combinee!$E:$E,(_xlfn.AGGREGATE(15,6,(ROW(Liste_Materiel_Combinee!$G$2:$G$426)-1)/(Liste_Materiel_Combinee!$G$2:$G$426=1),113)+1)),""))</f>
        <v/>
      </c>
      <c r="E115" s="105">
        <f t="shared" si="1"/>
        <v>0</v>
      </c>
      <c r="F115" s="104" t="str">
        <f>IFERROR(INDEX(Catalogue!$K:$K,MATCH(A115,Catalogue!$A:$A,0)),"")</f>
        <v/>
      </c>
      <c r="G115" s="102"/>
      <c r="H115" s="7"/>
      <c r="I115" s="7"/>
    </row>
    <row r="116" spans="1:9" x14ac:dyDescent="0.25">
      <c r="A116" s="103" t="str">
        <f>IFERROR(INDEX(Liste_Materiel_Combinee!$B:$B,(_xlfn.AGGREGATE(15,6,(ROW(Liste_Materiel_Combinee!$G$2:$G$426)-1)/(Liste_Materiel_Combinee!$G$2:$G$426=1),114)+1)),"")</f>
        <v/>
      </c>
      <c r="B116" s="104" t="str">
        <f>IFERROR(INDEX(Liste_Materiel_Combinee!$C:$C,(_xlfn.AGGREGATE(15,6,(ROW(Liste_Materiel_Combinee!$G$2:$G$426)-1)/(Liste_Materiel_Combinee!$G$2:$G$426=1),114)+1)),"")</f>
        <v/>
      </c>
      <c r="C116" s="104" t="str">
        <f>IF(IFERROR(INDEX(Liste_Materiel_Combinee!$F:$F,(_xlfn.AGGREGATE(15,6,(ROW(Liste_Materiel_Combinee!$G$2:$G$426)-1)/(Liste_Materiel_Combinee!$G$2:$G$426=1),114)+1)),"")="","",ROUNDUP(IFERROR(INDEX(Liste_Materiel_Combinee!$F:$F,(_xlfn.AGGREGATE(15,6,(ROW(Liste_Materiel_Combinee!$G$2:$G$426)-1)/(Liste_Materiel_Combinee!$G$2:$G$426=1),114)+1)),""),0))</f>
        <v/>
      </c>
      <c r="D116" s="104" t="str">
        <f>IF($H$5="EFFACER","",IFERROR(INDEX(Liste_Materiel_Combinee!$E:$E,(_xlfn.AGGREGATE(15,6,(ROW(Liste_Materiel_Combinee!$G$2:$G$426)-1)/(Liste_Materiel_Combinee!$G$2:$G$426=1),114)+1)),""))</f>
        <v/>
      </c>
      <c r="E116" s="105">
        <f t="shared" si="1"/>
        <v>0</v>
      </c>
      <c r="F116" s="104" t="str">
        <f>IFERROR(INDEX(Catalogue!$K:$K,MATCH(A116,Catalogue!$A:$A,0)),"")</f>
        <v/>
      </c>
      <c r="G116" s="102"/>
      <c r="H116" s="7"/>
      <c r="I116" s="7"/>
    </row>
    <row r="117" spans="1:9" x14ac:dyDescent="0.25">
      <c r="A117" s="103" t="str">
        <f>IFERROR(INDEX(Liste_Materiel_Combinee!$B:$B,(_xlfn.AGGREGATE(15,6,(ROW(Liste_Materiel_Combinee!$G$2:$G$426)-1)/(Liste_Materiel_Combinee!$G$2:$G$426=1),115)+1)),"")</f>
        <v/>
      </c>
      <c r="B117" s="104" t="str">
        <f>IFERROR(INDEX(Liste_Materiel_Combinee!$C:$C,(_xlfn.AGGREGATE(15,6,(ROW(Liste_Materiel_Combinee!$G$2:$G$426)-1)/(Liste_Materiel_Combinee!$G$2:$G$426=1),115)+1)),"")</f>
        <v/>
      </c>
      <c r="C117" s="104" t="str">
        <f>IF(IFERROR(INDEX(Liste_Materiel_Combinee!$F:$F,(_xlfn.AGGREGATE(15,6,(ROW(Liste_Materiel_Combinee!$G$2:$G$426)-1)/(Liste_Materiel_Combinee!$G$2:$G$426=1),115)+1)),"")="","",ROUNDUP(IFERROR(INDEX(Liste_Materiel_Combinee!$F:$F,(_xlfn.AGGREGATE(15,6,(ROW(Liste_Materiel_Combinee!$G$2:$G$426)-1)/(Liste_Materiel_Combinee!$G$2:$G$426=1),115)+1)),""),0))</f>
        <v/>
      </c>
      <c r="D117" s="104" t="str">
        <f>IF($H$5="EFFACER","",IFERROR(INDEX(Liste_Materiel_Combinee!$E:$E,(_xlfn.AGGREGATE(15,6,(ROW(Liste_Materiel_Combinee!$G$2:$G$426)-1)/(Liste_Materiel_Combinee!$G$2:$G$426=1),115)+1)),""))</f>
        <v/>
      </c>
      <c r="E117" s="105">
        <f t="shared" si="1"/>
        <v>0</v>
      </c>
      <c r="F117" s="104" t="str">
        <f>IFERROR(INDEX(Catalogue!$K:$K,MATCH(A117,Catalogue!$A:$A,0)),"")</f>
        <v/>
      </c>
      <c r="G117" s="102"/>
      <c r="H117" s="7"/>
      <c r="I117" s="7"/>
    </row>
    <row r="118" spans="1:9" x14ac:dyDescent="0.25">
      <c r="A118" s="103" t="str">
        <f>IFERROR(INDEX(Liste_Materiel_Combinee!$B:$B,(_xlfn.AGGREGATE(15,6,(ROW(Liste_Materiel_Combinee!$G$2:$G$426)-1)/(Liste_Materiel_Combinee!$G$2:$G$426=1),116)+1)),"")</f>
        <v/>
      </c>
      <c r="B118" s="104" t="str">
        <f>IFERROR(INDEX(Liste_Materiel_Combinee!$C:$C,(_xlfn.AGGREGATE(15,6,(ROW(Liste_Materiel_Combinee!$G$2:$G$426)-1)/(Liste_Materiel_Combinee!$G$2:$G$426=1),116)+1)),"")</f>
        <v/>
      </c>
      <c r="C118" s="104" t="str">
        <f>IF(IFERROR(INDEX(Liste_Materiel_Combinee!$F:$F,(_xlfn.AGGREGATE(15,6,(ROW(Liste_Materiel_Combinee!$G$2:$G$426)-1)/(Liste_Materiel_Combinee!$G$2:$G$426=1),116)+1)),"")="","",ROUNDUP(IFERROR(INDEX(Liste_Materiel_Combinee!$F:$F,(_xlfn.AGGREGATE(15,6,(ROW(Liste_Materiel_Combinee!$G$2:$G$426)-1)/(Liste_Materiel_Combinee!$G$2:$G$426=1),116)+1)),""),0))</f>
        <v/>
      </c>
      <c r="D118" s="104" t="str">
        <f>IF($H$5="EFFACER","",IFERROR(INDEX(Liste_Materiel_Combinee!$E:$E,(_xlfn.AGGREGATE(15,6,(ROW(Liste_Materiel_Combinee!$G$2:$G$426)-1)/(Liste_Materiel_Combinee!$G$2:$G$426=1),116)+1)),""))</f>
        <v/>
      </c>
      <c r="E118" s="105">
        <f t="shared" si="1"/>
        <v>0</v>
      </c>
      <c r="F118" s="104" t="str">
        <f>IFERROR(INDEX(Catalogue!$K:$K,MATCH(A118,Catalogue!$A:$A,0)),"")</f>
        <v/>
      </c>
      <c r="G118" s="102"/>
      <c r="H118" s="7"/>
      <c r="I118" s="7"/>
    </row>
    <row r="119" spans="1:9" x14ac:dyDescent="0.25">
      <c r="A119" s="103" t="str">
        <f>IFERROR(INDEX(Liste_Materiel_Combinee!$B:$B,(_xlfn.AGGREGATE(15,6,(ROW(Liste_Materiel_Combinee!$G$2:$G$426)-1)/(Liste_Materiel_Combinee!$G$2:$G$426=1),117)+1)),"")</f>
        <v/>
      </c>
      <c r="B119" s="104" t="str">
        <f>IFERROR(INDEX(Liste_Materiel_Combinee!$C:$C,(_xlfn.AGGREGATE(15,6,(ROW(Liste_Materiel_Combinee!$G$2:$G$426)-1)/(Liste_Materiel_Combinee!$G$2:$G$426=1),117)+1)),"")</f>
        <v/>
      </c>
      <c r="C119" s="104" t="str">
        <f>IF(IFERROR(INDEX(Liste_Materiel_Combinee!$F:$F,(_xlfn.AGGREGATE(15,6,(ROW(Liste_Materiel_Combinee!$G$2:$G$426)-1)/(Liste_Materiel_Combinee!$G$2:$G$426=1),117)+1)),"")="","",ROUNDUP(IFERROR(INDEX(Liste_Materiel_Combinee!$F:$F,(_xlfn.AGGREGATE(15,6,(ROW(Liste_Materiel_Combinee!$G$2:$G$426)-1)/(Liste_Materiel_Combinee!$G$2:$G$426=1),117)+1)),""),0))</f>
        <v/>
      </c>
      <c r="D119" s="104" t="str">
        <f>IF($H$5="EFFACER","",IFERROR(INDEX(Liste_Materiel_Combinee!$E:$E,(_xlfn.AGGREGATE(15,6,(ROW(Liste_Materiel_Combinee!$G$2:$G$426)-1)/(Liste_Materiel_Combinee!$G$2:$G$426=1),117)+1)),""))</f>
        <v/>
      </c>
      <c r="E119" s="105">
        <f t="shared" si="1"/>
        <v>0</v>
      </c>
      <c r="F119" s="104" t="str">
        <f>IFERROR(INDEX(Catalogue!$K:$K,MATCH(A119,Catalogue!$A:$A,0)),"")</f>
        <v/>
      </c>
      <c r="G119" s="102"/>
      <c r="H119" s="7"/>
      <c r="I119" s="7"/>
    </row>
    <row r="120" spans="1:9" x14ac:dyDescent="0.25">
      <c r="A120" s="103" t="str">
        <f>IFERROR(INDEX(Liste_Materiel_Combinee!$B:$B,(_xlfn.AGGREGATE(15,6,(ROW(Liste_Materiel_Combinee!$G$2:$G$426)-1)/(Liste_Materiel_Combinee!$G$2:$G$426=1),118)+1)),"")</f>
        <v/>
      </c>
      <c r="B120" s="104" t="str">
        <f>IFERROR(INDEX(Liste_Materiel_Combinee!$C:$C,(_xlfn.AGGREGATE(15,6,(ROW(Liste_Materiel_Combinee!$G$2:$G$426)-1)/(Liste_Materiel_Combinee!$G$2:$G$426=1),118)+1)),"")</f>
        <v/>
      </c>
      <c r="C120" s="104" t="str">
        <f>IF(IFERROR(INDEX(Liste_Materiel_Combinee!$F:$F,(_xlfn.AGGREGATE(15,6,(ROW(Liste_Materiel_Combinee!$G$2:$G$426)-1)/(Liste_Materiel_Combinee!$G$2:$G$426=1),118)+1)),"")="","",ROUNDUP(IFERROR(INDEX(Liste_Materiel_Combinee!$F:$F,(_xlfn.AGGREGATE(15,6,(ROW(Liste_Materiel_Combinee!$G$2:$G$426)-1)/(Liste_Materiel_Combinee!$G$2:$G$426=1),118)+1)),""),0))</f>
        <v/>
      </c>
      <c r="D120" s="104" t="str">
        <f>IF($H$5="EFFACER","",IFERROR(INDEX(Liste_Materiel_Combinee!$E:$E,(_xlfn.AGGREGATE(15,6,(ROW(Liste_Materiel_Combinee!$G$2:$G$426)-1)/(Liste_Materiel_Combinee!$G$2:$G$426=1),118)+1)),""))</f>
        <v/>
      </c>
      <c r="E120" s="105">
        <f t="shared" si="1"/>
        <v>0</v>
      </c>
      <c r="F120" s="104" t="str">
        <f>IFERROR(INDEX(Catalogue!$K:$K,MATCH(A120,Catalogue!$A:$A,0)),"")</f>
        <v/>
      </c>
      <c r="G120" s="102"/>
      <c r="H120" s="7"/>
      <c r="I120" s="7"/>
    </row>
    <row r="121" spans="1:9" x14ac:dyDescent="0.25">
      <c r="A121" s="103" t="str">
        <f>IFERROR(INDEX(Liste_Materiel_Combinee!$B:$B,(_xlfn.AGGREGATE(15,6,(ROW(Liste_Materiel_Combinee!$G$2:$G$426)-1)/(Liste_Materiel_Combinee!$G$2:$G$426=1),119)+1)),"")</f>
        <v/>
      </c>
      <c r="B121" s="104" t="str">
        <f>IFERROR(INDEX(Liste_Materiel_Combinee!$C:$C,(_xlfn.AGGREGATE(15,6,(ROW(Liste_Materiel_Combinee!$G$2:$G$426)-1)/(Liste_Materiel_Combinee!$G$2:$G$426=1),119)+1)),"")</f>
        <v/>
      </c>
      <c r="C121" s="104" t="str">
        <f>IF(IFERROR(INDEX(Liste_Materiel_Combinee!$F:$F,(_xlfn.AGGREGATE(15,6,(ROW(Liste_Materiel_Combinee!$G$2:$G$426)-1)/(Liste_Materiel_Combinee!$G$2:$G$426=1),119)+1)),"")="","",ROUNDUP(IFERROR(INDEX(Liste_Materiel_Combinee!$F:$F,(_xlfn.AGGREGATE(15,6,(ROW(Liste_Materiel_Combinee!$G$2:$G$426)-1)/(Liste_Materiel_Combinee!$G$2:$G$426=1),119)+1)),""),0))</f>
        <v/>
      </c>
      <c r="D121" s="104" t="str">
        <f>IF($H$5="EFFACER","",IFERROR(INDEX(Liste_Materiel_Combinee!$E:$E,(_xlfn.AGGREGATE(15,6,(ROW(Liste_Materiel_Combinee!$G$2:$G$426)-1)/(Liste_Materiel_Combinee!$G$2:$G$426=1),119)+1)),""))</f>
        <v/>
      </c>
      <c r="E121" s="105">
        <f t="shared" si="1"/>
        <v>0</v>
      </c>
      <c r="F121" s="104" t="str">
        <f>IFERROR(INDEX(Catalogue!$K:$K,MATCH(A121,Catalogue!$A:$A,0)),"")</f>
        <v/>
      </c>
      <c r="G121" s="102"/>
      <c r="H121" s="7"/>
      <c r="I121" s="7"/>
    </row>
    <row r="122" spans="1:9" x14ac:dyDescent="0.25">
      <c r="A122" s="103" t="str">
        <f>IFERROR(INDEX(Liste_Materiel_Combinee!$B:$B,(_xlfn.AGGREGATE(15,6,(ROW(Liste_Materiel_Combinee!$G$2:$G$426)-1)/(Liste_Materiel_Combinee!$G$2:$G$426=1),120)+1)),"")</f>
        <v/>
      </c>
      <c r="B122" s="104" t="str">
        <f>IFERROR(INDEX(Liste_Materiel_Combinee!$C:$C,(_xlfn.AGGREGATE(15,6,(ROW(Liste_Materiel_Combinee!$G$2:$G$426)-1)/(Liste_Materiel_Combinee!$G$2:$G$426=1),120)+1)),"")</f>
        <v/>
      </c>
      <c r="C122" s="104" t="str">
        <f>IF(IFERROR(INDEX(Liste_Materiel_Combinee!$F:$F,(_xlfn.AGGREGATE(15,6,(ROW(Liste_Materiel_Combinee!$G$2:$G$426)-1)/(Liste_Materiel_Combinee!$G$2:$G$426=1),120)+1)),"")="","",ROUNDUP(IFERROR(INDEX(Liste_Materiel_Combinee!$F:$F,(_xlfn.AGGREGATE(15,6,(ROW(Liste_Materiel_Combinee!$G$2:$G$426)-1)/(Liste_Materiel_Combinee!$G$2:$G$426=1),120)+1)),""),0))</f>
        <v/>
      </c>
      <c r="D122" s="104" t="str">
        <f>IF($H$5="EFFACER","",IFERROR(INDEX(Liste_Materiel_Combinee!$E:$E,(_xlfn.AGGREGATE(15,6,(ROW(Liste_Materiel_Combinee!$G$2:$G$426)-1)/(Liste_Materiel_Combinee!$G$2:$G$426=1),120)+1)),""))</f>
        <v/>
      </c>
      <c r="E122" s="105">
        <f t="shared" si="1"/>
        <v>0</v>
      </c>
      <c r="F122" s="104" t="str">
        <f>IFERROR(INDEX(Catalogue!$K:$K,MATCH(A122,Catalogue!$A:$A,0)),"")</f>
        <v/>
      </c>
      <c r="G122" s="102"/>
      <c r="H122" s="7"/>
      <c r="I122" s="7"/>
    </row>
    <row r="123" spans="1:9" x14ac:dyDescent="0.25">
      <c r="A123" s="103" t="str">
        <f>IFERROR(INDEX(Liste_Materiel_Combinee!$B:$B,(_xlfn.AGGREGATE(15,6,(ROW(Liste_Materiel_Combinee!$G$2:$G$426)-1)/(Liste_Materiel_Combinee!$G$2:$G$426=1),121)+1)),"")</f>
        <v/>
      </c>
      <c r="B123" s="104" t="str">
        <f>IFERROR(INDEX(Liste_Materiel_Combinee!$C:$C,(_xlfn.AGGREGATE(15,6,(ROW(Liste_Materiel_Combinee!$G$2:$G$426)-1)/(Liste_Materiel_Combinee!$G$2:$G$426=1),121)+1)),"")</f>
        <v/>
      </c>
      <c r="C123" s="104" t="str">
        <f>IF(IFERROR(INDEX(Liste_Materiel_Combinee!$F:$F,(_xlfn.AGGREGATE(15,6,(ROW(Liste_Materiel_Combinee!$G$2:$G$426)-1)/(Liste_Materiel_Combinee!$G$2:$G$426=1),121)+1)),"")="","",ROUNDUP(IFERROR(INDEX(Liste_Materiel_Combinee!$F:$F,(_xlfn.AGGREGATE(15,6,(ROW(Liste_Materiel_Combinee!$G$2:$G$426)-1)/(Liste_Materiel_Combinee!$G$2:$G$426=1),121)+1)),""),0))</f>
        <v/>
      </c>
      <c r="D123" s="104" t="str">
        <f>IF($H$5="EFFACER","",IFERROR(INDEX(Liste_Materiel_Combinee!$E:$E,(_xlfn.AGGREGATE(15,6,(ROW(Liste_Materiel_Combinee!$G$2:$G$426)-1)/(Liste_Materiel_Combinee!$G$2:$G$426=1),121)+1)),""))</f>
        <v/>
      </c>
      <c r="E123" s="105">
        <f t="shared" si="1"/>
        <v>0</v>
      </c>
      <c r="F123" s="104" t="str">
        <f>IFERROR(INDEX(Catalogue!$K:$K,MATCH(A123,Catalogue!$A:$A,0)),"")</f>
        <v/>
      </c>
      <c r="G123" s="102"/>
      <c r="H123" s="7"/>
      <c r="I123" s="7"/>
    </row>
    <row r="124" spans="1:9" x14ac:dyDescent="0.25">
      <c r="A124" s="103" t="str">
        <f>IFERROR(INDEX(Liste_Materiel_Combinee!$B:$B,(_xlfn.AGGREGATE(15,6,(ROW(Liste_Materiel_Combinee!$G$2:$G$426)-1)/(Liste_Materiel_Combinee!$G$2:$G$426=1),122)+1)),"")</f>
        <v/>
      </c>
      <c r="B124" s="104" t="str">
        <f>IFERROR(INDEX(Liste_Materiel_Combinee!$C:$C,(_xlfn.AGGREGATE(15,6,(ROW(Liste_Materiel_Combinee!$G$2:$G$426)-1)/(Liste_Materiel_Combinee!$G$2:$G$426=1),122)+1)),"")</f>
        <v/>
      </c>
      <c r="C124" s="104" t="str">
        <f>IF(IFERROR(INDEX(Liste_Materiel_Combinee!$F:$F,(_xlfn.AGGREGATE(15,6,(ROW(Liste_Materiel_Combinee!$G$2:$G$426)-1)/(Liste_Materiel_Combinee!$G$2:$G$426=1),122)+1)),"")="","",ROUNDUP(IFERROR(INDEX(Liste_Materiel_Combinee!$F:$F,(_xlfn.AGGREGATE(15,6,(ROW(Liste_Materiel_Combinee!$G$2:$G$426)-1)/(Liste_Materiel_Combinee!$G$2:$G$426=1),122)+1)),""),0))</f>
        <v/>
      </c>
      <c r="D124" s="104" t="str">
        <f>IF($H$5="EFFACER","",IFERROR(INDEX(Liste_Materiel_Combinee!$E:$E,(_xlfn.AGGREGATE(15,6,(ROW(Liste_Materiel_Combinee!$G$2:$G$426)-1)/(Liste_Materiel_Combinee!$G$2:$G$426=1),122)+1)),""))</f>
        <v/>
      </c>
      <c r="E124" s="105">
        <f t="shared" si="1"/>
        <v>0</v>
      </c>
      <c r="F124" s="104" t="str">
        <f>IFERROR(INDEX(Catalogue!$K:$K,MATCH(A124,Catalogue!$A:$A,0)),"")</f>
        <v/>
      </c>
      <c r="G124" s="102"/>
      <c r="H124" s="7"/>
      <c r="I124" s="7"/>
    </row>
    <row r="125" spans="1:9" x14ac:dyDescent="0.25">
      <c r="A125" s="103" t="str">
        <f>IFERROR(INDEX(Liste_Materiel_Combinee!$B:$B,(_xlfn.AGGREGATE(15,6,(ROW(Liste_Materiel_Combinee!$G$2:$G$426)-1)/(Liste_Materiel_Combinee!$G$2:$G$426=1),123)+1)),"")</f>
        <v/>
      </c>
      <c r="B125" s="104" t="str">
        <f>IFERROR(INDEX(Liste_Materiel_Combinee!$C:$C,(_xlfn.AGGREGATE(15,6,(ROW(Liste_Materiel_Combinee!$G$2:$G$426)-1)/(Liste_Materiel_Combinee!$G$2:$G$426=1),123)+1)),"")</f>
        <v/>
      </c>
      <c r="C125" s="104" t="str">
        <f>IF(IFERROR(INDEX(Liste_Materiel_Combinee!$F:$F,(_xlfn.AGGREGATE(15,6,(ROW(Liste_Materiel_Combinee!$G$2:$G$426)-1)/(Liste_Materiel_Combinee!$G$2:$G$426=1),123)+1)),"")="","",ROUNDUP(IFERROR(INDEX(Liste_Materiel_Combinee!$F:$F,(_xlfn.AGGREGATE(15,6,(ROW(Liste_Materiel_Combinee!$G$2:$G$426)-1)/(Liste_Materiel_Combinee!$G$2:$G$426=1),123)+1)),""),0))</f>
        <v/>
      </c>
      <c r="D125" s="104" t="str">
        <f>IF($H$5="EFFACER","",IFERROR(INDEX(Liste_Materiel_Combinee!$E:$E,(_xlfn.AGGREGATE(15,6,(ROW(Liste_Materiel_Combinee!$G$2:$G$426)-1)/(Liste_Materiel_Combinee!$G$2:$G$426=1),123)+1)),""))</f>
        <v/>
      </c>
      <c r="E125" s="105">
        <f t="shared" si="1"/>
        <v>0</v>
      </c>
      <c r="F125" s="104" t="str">
        <f>IFERROR(INDEX(Catalogue!$K:$K,MATCH(A125,Catalogue!$A:$A,0)),"")</f>
        <v/>
      </c>
      <c r="G125" s="102"/>
      <c r="H125" s="7"/>
      <c r="I125" s="7"/>
    </row>
    <row r="126" spans="1:9" x14ac:dyDescent="0.25">
      <c r="A126" s="103" t="str">
        <f>IFERROR(INDEX(Liste_Materiel_Combinee!$B:$B,(_xlfn.AGGREGATE(15,6,(ROW(Liste_Materiel_Combinee!$G$2:$G$426)-1)/(Liste_Materiel_Combinee!$G$2:$G$426=1),124)+1)),"")</f>
        <v/>
      </c>
      <c r="B126" s="104" t="str">
        <f>IFERROR(INDEX(Liste_Materiel_Combinee!$C:$C,(_xlfn.AGGREGATE(15,6,(ROW(Liste_Materiel_Combinee!$G$2:$G$426)-1)/(Liste_Materiel_Combinee!$G$2:$G$426=1),124)+1)),"")</f>
        <v/>
      </c>
      <c r="C126" s="104" t="str">
        <f>IF(IFERROR(INDEX(Liste_Materiel_Combinee!$F:$F,(_xlfn.AGGREGATE(15,6,(ROW(Liste_Materiel_Combinee!$G$2:$G$426)-1)/(Liste_Materiel_Combinee!$G$2:$G$426=1),124)+1)),"")="","",ROUNDUP(IFERROR(INDEX(Liste_Materiel_Combinee!$F:$F,(_xlfn.AGGREGATE(15,6,(ROW(Liste_Materiel_Combinee!$G$2:$G$426)-1)/(Liste_Materiel_Combinee!$G$2:$G$426=1),124)+1)),""),0))</f>
        <v/>
      </c>
      <c r="D126" s="104" t="str">
        <f>IF($H$5="EFFACER","",IFERROR(INDEX(Liste_Materiel_Combinee!$E:$E,(_xlfn.AGGREGATE(15,6,(ROW(Liste_Materiel_Combinee!$G$2:$G$426)-1)/(Liste_Materiel_Combinee!$G$2:$G$426=1),124)+1)),""))</f>
        <v/>
      </c>
      <c r="E126" s="105">
        <f t="shared" si="1"/>
        <v>0</v>
      </c>
      <c r="F126" s="104" t="str">
        <f>IFERROR(INDEX(Catalogue!$K:$K,MATCH(A126,Catalogue!$A:$A,0)),"")</f>
        <v/>
      </c>
      <c r="G126" s="102"/>
      <c r="H126" s="7"/>
      <c r="I126" s="7"/>
    </row>
    <row r="127" spans="1:9" x14ac:dyDescent="0.25">
      <c r="A127" s="103" t="str">
        <f>IFERROR(INDEX(Liste_Materiel_Combinee!$B:$B,(_xlfn.AGGREGATE(15,6,(ROW(Liste_Materiel_Combinee!$G$2:$G$426)-1)/(Liste_Materiel_Combinee!$G$2:$G$426=1),125)+1)),"")</f>
        <v/>
      </c>
      <c r="B127" s="104" t="str">
        <f>IFERROR(INDEX(Liste_Materiel_Combinee!$C:$C,(_xlfn.AGGREGATE(15,6,(ROW(Liste_Materiel_Combinee!$G$2:$G$426)-1)/(Liste_Materiel_Combinee!$G$2:$G$426=1),125)+1)),"")</f>
        <v/>
      </c>
      <c r="C127" s="104" t="str">
        <f>IF(IFERROR(INDEX(Liste_Materiel_Combinee!$F:$F,(_xlfn.AGGREGATE(15,6,(ROW(Liste_Materiel_Combinee!$G$2:$G$426)-1)/(Liste_Materiel_Combinee!$G$2:$G$426=1),125)+1)),"")="","",ROUNDUP(IFERROR(INDEX(Liste_Materiel_Combinee!$F:$F,(_xlfn.AGGREGATE(15,6,(ROW(Liste_Materiel_Combinee!$G$2:$G$426)-1)/(Liste_Materiel_Combinee!$G$2:$G$426=1),125)+1)),""),0))</f>
        <v/>
      </c>
      <c r="D127" s="104" t="str">
        <f>IF($H$5="EFFACER","",IFERROR(INDEX(Liste_Materiel_Combinee!$E:$E,(_xlfn.AGGREGATE(15,6,(ROW(Liste_Materiel_Combinee!$G$2:$G$426)-1)/(Liste_Materiel_Combinee!$G$2:$G$426=1),125)+1)),""))</f>
        <v/>
      </c>
      <c r="E127" s="105">
        <f t="shared" si="1"/>
        <v>0</v>
      </c>
      <c r="F127" s="104" t="str">
        <f>IFERROR(INDEX(Catalogue!$K:$K,MATCH(A127,Catalogue!$A:$A,0)),"")</f>
        <v/>
      </c>
      <c r="G127" s="102"/>
      <c r="H127" s="7"/>
      <c r="I127" s="7"/>
    </row>
    <row r="128" spans="1:9" x14ac:dyDescent="0.25">
      <c r="A128" s="103" t="str">
        <f>IFERROR(INDEX(Liste_Materiel_Combinee!$B:$B,(_xlfn.AGGREGATE(15,6,(ROW(Liste_Materiel_Combinee!$G$2:$G$426)-1)/(Liste_Materiel_Combinee!$G$2:$G$426=1),126)+1)),"")</f>
        <v/>
      </c>
      <c r="B128" s="104" t="str">
        <f>IFERROR(INDEX(Liste_Materiel_Combinee!$C:$C,(_xlfn.AGGREGATE(15,6,(ROW(Liste_Materiel_Combinee!$G$2:$G$426)-1)/(Liste_Materiel_Combinee!$G$2:$G$426=1),126)+1)),"")</f>
        <v/>
      </c>
      <c r="C128" s="104" t="str">
        <f>IF(IFERROR(INDEX(Liste_Materiel_Combinee!$F:$F,(_xlfn.AGGREGATE(15,6,(ROW(Liste_Materiel_Combinee!$G$2:$G$426)-1)/(Liste_Materiel_Combinee!$G$2:$G$426=1),126)+1)),"")="","",ROUNDUP(IFERROR(INDEX(Liste_Materiel_Combinee!$F:$F,(_xlfn.AGGREGATE(15,6,(ROW(Liste_Materiel_Combinee!$G$2:$G$426)-1)/(Liste_Materiel_Combinee!$G$2:$G$426=1),126)+1)),""),0))</f>
        <v/>
      </c>
      <c r="D128" s="104" t="str">
        <f>IF($H$5="EFFACER","",IFERROR(INDEX(Liste_Materiel_Combinee!$E:$E,(_xlfn.AGGREGATE(15,6,(ROW(Liste_Materiel_Combinee!$G$2:$G$426)-1)/(Liste_Materiel_Combinee!$G$2:$G$426=1),126)+1)),""))</f>
        <v/>
      </c>
      <c r="E128" s="105">
        <f t="shared" si="1"/>
        <v>0</v>
      </c>
      <c r="F128" s="104" t="str">
        <f>IFERROR(INDEX(Catalogue!$K:$K,MATCH(A128,Catalogue!$A:$A,0)),"")</f>
        <v/>
      </c>
      <c r="G128" s="102"/>
      <c r="H128" s="7"/>
      <c r="I128" s="7"/>
    </row>
    <row r="129" spans="1:9" x14ac:dyDescent="0.25">
      <c r="A129" s="103" t="str">
        <f>IFERROR(INDEX(Liste_Materiel_Combinee!$B:$B,(_xlfn.AGGREGATE(15,6,(ROW(Liste_Materiel_Combinee!$G$2:$G$426)-1)/(Liste_Materiel_Combinee!$G$2:$G$426=1),127)+1)),"")</f>
        <v/>
      </c>
      <c r="B129" s="104" t="str">
        <f>IFERROR(INDEX(Liste_Materiel_Combinee!$C:$C,(_xlfn.AGGREGATE(15,6,(ROW(Liste_Materiel_Combinee!$G$2:$G$426)-1)/(Liste_Materiel_Combinee!$G$2:$G$426=1),127)+1)),"")</f>
        <v/>
      </c>
      <c r="C129" s="104" t="str">
        <f>IF(IFERROR(INDEX(Liste_Materiel_Combinee!$F:$F,(_xlfn.AGGREGATE(15,6,(ROW(Liste_Materiel_Combinee!$G$2:$G$426)-1)/(Liste_Materiel_Combinee!$G$2:$G$426=1),127)+1)),"")="","",ROUNDUP(IFERROR(INDEX(Liste_Materiel_Combinee!$F:$F,(_xlfn.AGGREGATE(15,6,(ROW(Liste_Materiel_Combinee!$G$2:$G$426)-1)/(Liste_Materiel_Combinee!$G$2:$G$426=1),127)+1)),""),0))</f>
        <v/>
      </c>
      <c r="D129" s="104" t="str">
        <f>IF($H$5="EFFACER","",IFERROR(INDEX(Liste_Materiel_Combinee!$E:$E,(_xlfn.AGGREGATE(15,6,(ROW(Liste_Materiel_Combinee!$G$2:$G$426)-1)/(Liste_Materiel_Combinee!$G$2:$G$426=1),127)+1)),""))</f>
        <v/>
      </c>
      <c r="E129" s="105">
        <f t="shared" si="1"/>
        <v>0</v>
      </c>
      <c r="F129" s="104" t="str">
        <f>IFERROR(INDEX(Catalogue!$K:$K,MATCH(A129,Catalogue!$A:$A,0)),"")</f>
        <v/>
      </c>
      <c r="G129" s="102"/>
      <c r="H129" s="7"/>
      <c r="I129" s="7"/>
    </row>
    <row r="130" spans="1:9" x14ac:dyDescent="0.25">
      <c r="A130" s="103" t="str">
        <f>IFERROR(INDEX(Liste_Materiel_Combinee!$B:$B,(_xlfn.AGGREGATE(15,6,(ROW(Liste_Materiel_Combinee!$G$2:$G$426)-1)/(Liste_Materiel_Combinee!$G$2:$G$426=1),128)+1)),"")</f>
        <v/>
      </c>
      <c r="B130" s="104" t="str">
        <f>IFERROR(INDEX(Liste_Materiel_Combinee!$C:$C,(_xlfn.AGGREGATE(15,6,(ROW(Liste_Materiel_Combinee!$G$2:$G$426)-1)/(Liste_Materiel_Combinee!$G$2:$G$426=1),128)+1)),"")</f>
        <v/>
      </c>
      <c r="C130" s="104" t="str">
        <f>IF(IFERROR(INDEX(Liste_Materiel_Combinee!$F:$F,(_xlfn.AGGREGATE(15,6,(ROW(Liste_Materiel_Combinee!$G$2:$G$426)-1)/(Liste_Materiel_Combinee!$G$2:$G$426=1),128)+1)),"")="","",ROUNDUP(IFERROR(INDEX(Liste_Materiel_Combinee!$F:$F,(_xlfn.AGGREGATE(15,6,(ROW(Liste_Materiel_Combinee!$G$2:$G$426)-1)/(Liste_Materiel_Combinee!$G$2:$G$426=1),128)+1)),""),0))</f>
        <v/>
      </c>
      <c r="D130" s="104" t="str">
        <f>IF($H$5="EFFACER","",IFERROR(INDEX(Liste_Materiel_Combinee!$E:$E,(_xlfn.AGGREGATE(15,6,(ROW(Liste_Materiel_Combinee!$G$2:$G$426)-1)/(Liste_Materiel_Combinee!$G$2:$G$426=1),128)+1)),""))</f>
        <v/>
      </c>
      <c r="E130" s="105">
        <f t="shared" si="1"/>
        <v>0</v>
      </c>
      <c r="F130" s="104" t="str">
        <f>IFERROR(INDEX(Catalogue!$K:$K,MATCH(A130,Catalogue!$A:$A,0)),"")</f>
        <v/>
      </c>
      <c r="G130" s="102"/>
      <c r="H130" s="7"/>
      <c r="I130" s="7"/>
    </row>
    <row r="131" spans="1:9" x14ac:dyDescent="0.25">
      <c r="A131" s="103" t="str">
        <f>IFERROR(INDEX(Liste_Materiel_Combinee!$B:$B,(_xlfn.AGGREGATE(15,6,(ROW(Liste_Materiel_Combinee!$G$2:$G$426)-1)/(Liste_Materiel_Combinee!$G$2:$G$426=1),129)+1)),"")</f>
        <v/>
      </c>
      <c r="B131" s="104" t="str">
        <f>IFERROR(INDEX(Liste_Materiel_Combinee!$C:$C,(_xlfn.AGGREGATE(15,6,(ROW(Liste_Materiel_Combinee!$G$2:$G$426)-1)/(Liste_Materiel_Combinee!$G$2:$G$426=1),129)+1)),"")</f>
        <v/>
      </c>
      <c r="C131" s="104" t="str">
        <f>IF(IFERROR(INDEX(Liste_Materiel_Combinee!$F:$F,(_xlfn.AGGREGATE(15,6,(ROW(Liste_Materiel_Combinee!$G$2:$G$426)-1)/(Liste_Materiel_Combinee!$G$2:$G$426=1),129)+1)),"")="","",ROUNDUP(IFERROR(INDEX(Liste_Materiel_Combinee!$F:$F,(_xlfn.AGGREGATE(15,6,(ROW(Liste_Materiel_Combinee!$G$2:$G$426)-1)/(Liste_Materiel_Combinee!$G$2:$G$426=1),129)+1)),""),0))</f>
        <v/>
      </c>
      <c r="D131" s="104" t="str">
        <f>IF($H$5="EFFACER","",IFERROR(INDEX(Liste_Materiel_Combinee!$E:$E,(_xlfn.AGGREGATE(15,6,(ROW(Liste_Materiel_Combinee!$G$2:$G$426)-1)/(Liste_Materiel_Combinee!$G$2:$G$426=1),129)+1)),""))</f>
        <v/>
      </c>
      <c r="E131" s="105">
        <f t="shared" ref="E131:E194" si="2">$H$2</f>
        <v>0</v>
      </c>
      <c r="F131" s="104" t="str">
        <f>IFERROR(INDEX(Catalogue!$K:$K,MATCH(A131,Catalogue!$A:$A,0)),"")</f>
        <v/>
      </c>
      <c r="G131" s="102"/>
      <c r="H131" s="7"/>
      <c r="I131" s="7"/>
    </row>
    <row r="132" spans="1:9" x14ac:dyDescent="0.25">
      <c r="A132" s="103" t="str">
        <f>IFERROR(INDEX(Liste_Materiel_Combinee!$B:$B,(_xlfn.AGGREGATE(15,6,(ROW(Liste_Materiel_Combinee!$G$2:$G$426)-1)/(Liste_Materiel_Combinee!$G$2:$G$426=1),130)+1)),"")</f>
        <v/>
      </c>
      <c r="B132" s="104" t="str">
        <f>IFERROR(INDEX(Liste_Materiel_Combinee!$C:$C,(_xlfn.AGGREGATE(15,6,(ROW(Liste_Materiel_Combinee!$G$2:$G$426)-1)/(Liste_Materiel_Combinee!$G$2:$G$426=1),130)+1)),"")</f>
        <v/>
      </c>
      <c r="C132" s="104" t="str">
        <f>IF(IFERROR(INDEX(Liste_Materiel_Combinee!$F:$F,(_xlfn.AGGREGATE(15,6,(ROW(Liste_Materiel_Combinee!$G$2:$G$426)-1)/(Liste_Materiel_Combinee!$G$2:$G$426=1),130)+1)),"")="","",ROUNDUP(IFERROR(INDEX(Liste_Materiel_Combinee!$F:$F,(_xlfn.AGGREGATE(15,6,(ROW(Liste_Materiel_Combinee!$G$2:$G$426)-1)/(Liste_Materiel_Combinee!$G$2:$G$426=1),130)+1)),""),0))</f>
        <v/>
      </c>
      <c r="D132" s="104" t="str">
        <f>IF($H$5="EFFACER","",IFERROR(INDEX(Liste_Materiel_Combinee!$E:$E,(_xlfn.AGGREGATE(15,6,(ROW(Liste_Materiel_Combinee!$G$2:$G$426)-1)/(Liste_Materiel_Combinee!$G$2:$G$426=1),130)+1)),""))</f>
        <v/>
      </c>
      <c r="E132" s="105">
        <f t="shared" si="2"/>
        <v>0</v>
      </c>
      <c r="F132" s="104" t="str">
        <f>IFERROR(INDEX(Catalogue!$K:$K,MATCH(A132,Catalogue!$A:$A,0)),"")</f>
        <v/>
      </c>
      <c r="G132" s="102"/>
      <c r="H132" s="7"/>
      <c r="I132" s="7"/>
    </row>
    <row r="133" spans="1:9" x14ac:dyDescent="0.25">
      <c r="A133" s="103" t="str">
        <f>IFERROR(INDEX(Liste_Materiel_Combinee!$B:$B,(_xlfn.AGGREGATE(15,6,(ROW(Liste_Materiel_Combinee!$G$2:$G$426)-1)/(Liste_Materiel_Combinee!$G$2:$G$426=1),131)+1)),"")</f>
        <v/>
      </c>
      <c r="B133" s="104" t="str">
        <f>IFERROR(INDEX(Liste_Materiel_Combinee!$C:$C,(_xlfn.AGGREGATE(15,6,(ROW(Liste_Materiel_Combinee!$G$2:$G$426)-1)/(Liste_Materiel_Combinee!$G$2:$G$426=1),131)+1)),"")</f>
        <v/>
      </c>
      <c r="C133" s="104" t="str">
        <f>IF(IFERROR(INDEX(Liste_Materiel_Combinee!$F:$F,(_xlfn.AGGREGATE(15,6,(ROW(Liste_Materiel_Combinee!$G$2:$G$426)-1)/(Liste_Materiel_Combinee!$G$2:$G$426=1),131)+1)),"")="","",ROUNDUP(IFERROR(INDEX(Liste_Materiel_Combinee!$F:$F,(_xlfn.AGGREGATE(15,6,(ROW(Liste_Materiel_Combinee!$G$2:$G$426)-1)/(Liste_Materiel_Combinee!$G$2:$G$426=1),131)+1)),""),0))</f>
        <v/>
      </c>
      <c r="D133" s="104" t="str">
        <f>IF($H$5="EFFACER","",IFERROR(INDEX(Liste_Materiel_Combinee!$E:$E,(_xlfn.AGGREGATE(15,6,(ROW(Liste_Materiel_Combinee!$G$2:$G$426)-1)/(Liste_Materiel_Combinee!$G$2:$G$426=1),131)+1)),""))</f>
        <v/>
      </c>
      <c r="E133" s="105">
        <f t="shared" si="2"/>
        <v>0</v>
      </c>
      <c r="F133" s="104" t="str">
        <f>IFERROR(INDEX(Catalogue!$K:$K,MATCH(A133,Catalogue!$A:$A,0)),"")</f>
        <v/>
      </c>
      <c r="G133" s="102"/>
      <c r="H133" s="7"/>
      <c r="I133" s="7"/>
    </row>
    <row r="134" spans="1:9" x14ac:dyDescent="0.25">
      <c r="A134" s="103" t="str">
        <f>IFERROR(INDEX(Liste_Materiel_Combinee!$B:$B,(_xlfn.AGGREGATE(15,6,(ROW(Liste_Materiel_Combinee!$G$2:$G$426)-1)/(Liste_Materiel_Combinee!$G$2:$G$426=1),132)+1)),"")</f>
        <v/>
      </c>
      <c r="B134" s="104" t="str">
        <f>IFERROR(INDEX(Liste_Materiel_Combinee!$C:$C,(_xlfn.AGGREGATE(15,6,(ROW(Liste_Materiel_Combinee!$G$2:$G$426)-1)/(Liste_Materiel_Combinee!$G$2:$G$426=1),132)+1)),"")</f>
        <v/>
      </c>
      <c r="C134" s="104" t="str">
        <f>IF(IFERROR(INDEX(Liste_Materiel_Combinee!$F:$F,(_xlfn.AGGREGATE(15,6,(ROW(Liste_Materiel_Combinee!$G$2:$G$426)-1)/(Liste_Materiel_Combinee!$G$2:$G$426=1),132)+1)),"")="","",ROUNDUP(IFERROR(INDEX(Liste_Materiel_Combinee!$F:$F,(_xlfn.AGGREGATE(15,6,(ROW(Liste_Materiel_Combinee!$G$2:$G$426)-1)/(Liste_Materiel_Combinee!$G$2:$G$426=1),132)+1)),""),0))</f>
        <v/>
      </c>
      <c r="D134" s="104" t="str">
        <f>IF($H$5="EFFACER","",IFERROR(INDEX(Liste_Materiel_Combinee!$E:$E,(_xlfn.AGGREGATE(15,6,(ROW(Liste_Materiel_Combinee!$G$2:$G$426)-1)/(Liste_Materiel_Combinee!$G$2:$G$426=1),132)+1)),""))</f>
        <v/>
      </c>
      <c r="E134" s="105">
        <f t="shared" si="2"/>
        <v>0</v>
      </c>
      <c r="F134" s="104" t="str">
        <f>IFERROR(INDEX(Catalogue!$K:$K,MATCH(A134,Catalogue!$A:$A,0)),"")</f>
        <v/>
      </c>
      <c r="G134" s="102"/>
      <c r="H134" s="7"/>
      <c r="I134" s="7"/>
    </row>
    <row r="135" spans="1:9" x14ac:dyDescent="0.25">
      <c r="A135" s="103" t="str">
        <f>IFERROR(INDEX(Liste_Materiel_Combinee!$B:$B,(_xlfn.AGGREGATE(15,6,(ROW(Liste_Materiel_Combinee!$G$2:$G$426)-1)/(Liste_Materiel_Combinee!$G$2:$G$426=1),133)+1)),"")</f>
        <v/>
      </c>
      <c r="B135" s="104" t="str">
        <f>IFERROR(INDEX(Liste_Materiel_Combinee!$C:$C,(_xlfn.AGGREGATE(15,6,(ROW(Liste_Materiel_Combinee!$G$2:$G$426)-1)/(Liste_Materiel_Combinee!$G$2:$G$426=1),133)+1)),"")</f>
        <v/>
      </c>
      <c r="C135" s="104" t="str">
        <f>IF(IFERROR(INDEX(Liste_Materiel_Combinee!$F:$F,(_xlfn.AGGREGATE(15,6,(ROW(Liste_Materiel_Combinee!$G$2:$G$426)-1)/(Liste_Materiel_Combinee!$G$2:$G$426=1),133)+1)),"")="","",ROUNDUP(IFERROR(INDEX(Liste_Materiel_Combinee!$F:$F,(_xlfn.AGGREGATE(15,6,(ROW(Liste_Materiel_Combinee!$G$2:$G$426)-1)/(Liste_Materiel_Combinee!$G$2:$G$426=1),133)+1)),""),0))</f>
        <v/>
      </c>
      <c r="D135" s="104" t="str">
        <f>IF($H$5="EFFACER","",IFERROR(INDEX(Liste_Materiel_Combinee!$E:$E,(_xlfn.AGGREGATE(15,6,(ROW(Liste_Materiel_Combinee!$G$2:$G$426)-1)/(Liste_Materiel_Combinee!$G$2:$G$426=1),133)+1)),""))</f>
        <v/>
      </c>
      <c r="E135" s="105">
        <f t="shared" si="2"/>
        <v>0</v>
      </c>
      <c r="F135" s="104" t="str">
        <f>IFERROR(INDEX(Catalogue!$K:$K,MATCH(A135,Catalogue!$A:$A,0)),"")</f>
        <v/>
      </c>
      <c r="G135" s="102"/>
      <c r="H135" s="7"/>
      <c r="I135" s="7"/>
    </row>
    <row r="136" spans="1:9" x14ac:dyDescent="0.25">
      <c r="A136" s="103" t="str">
        <f>IFERROR(INDEX(Liste_Materiel_Combinee!$B:$B,(_xlfn.AGGREGATE(15,6,(ROW(Liste_Materiel_Combinee!$G$2:$G$426)-1)/(Liste_Materiel_Combinee!$G$2:$G$426=1),134)+1)),"")</f>
        <v/>
      </c>
      <c r="B136" s="104" t="str">
        <f>IFERROR(INDEX(Liste_Materiel_Combinee!$C:$C,(_xlfn.AGGREGATE(15,6,(ROW(Liste_Materiel_Combinee!$G$2:$G$426)-1)/(Liste_Materiel_Combinee!$G$2:$G$426=1),134)+1)),"")</f>
        <v/>
      </c>
      <c r="C136" s="104" t="str">
        <f>IF(IFERROR(INDEX(Liste_Materiel_Combinee!$F:$F,(_xlfn.AGGREGATE(15,6,(ROW(Liste_Materiel_Combinee!$G$2:$G$426)-1)/(Liste_Materiel_Combinee!$G$2:$G$426=1),134)+1)),"")="","",ROUNDUP(IFERROR(INDEX(Liste_Materiel_Combinee!$F:$F,(_xlfn.AGGREGATE(15,6,(ROW(Liste_Materiel_Combinee!$G$2:$G$426)-1)/(Liste_Materiel_Combinee!$G$2:$G$426=1),134)+1)),""),0))</f>
        <v/>
      </c>
      <c r="D136" s="104" t="str">
        <f>IF($H$5="EFFACER","",IFERROR(INDEX(Liste_Materiel_Combinee!$E:$E,(_xlfn.AGGREGATE(15,6,(ROW(Liste_Materiel_Combinee!$G$2:$G$426)-1)/(Liste_Materiel_Combinee!$G$2:$G$426=1),134)+1)),""))</f>
        <v/>
      </c>
      <c r="E136" s="105">
        <f t="shared" si="2"/>
        <v>0</v>
      </c>
      <c r="F136" s="104" t="str">
        <f>IFERROR(INDEX(Catalogue!$K:$K,MATCH(A136,Catalogue!$A:$A,0)),"")</f>
        <v/>
      </c>
      <c r="G136" s="102"/>
      <c r="H136" s="7"/>
      <c r="I136" s="7"/>
    </row>
    <row r="137" spans="1:9" x14ac:dyDescent="0.25">
      <c r="A137" s="103" t="str">
        <f>IFERROR(INDEX(Liste_Materiel_Combinee!$B:$B,(_xlfn.AGGREGATE(15,6,(ROW(Liste_Materiel_Combinee!$G$2:$G$426)-1)/(Liste_Materiel_Combinee!$G$2:$G$426=1),135)+1)),"")</f>
        <v/>
      </c>
      <c r="B137" s="104" t="str">
        <f>IFERROR(INDEX(Liste_Materiel_Combinee!$C:$C,(_xlfn.AGGREGATE(15,6,(ROW(Liste_Materiel_Combinee!$G$2:$G$426)-1)/(Liste_Materiel_Combinee!$G$2:$G$426=1),135)+1)),"")</f>
        <v/>
      </c>
      <c r="C137" s="104" t="str">
        <f>IF(IFERROR(INDEX(Liste_Materiel_Combinee!$F:$F,(_xlfn.AGGREGATE(15,6,(ROW(Liste_Materiel_Combinee!$G$2:$G$426)-1)/(Liste_Materiel_Combinee!$G$2:$G$426=1),135)+1)),"")="","",ROUNDUP(IFERROR(INDEX(Liste_Materiel_Combinee!$F:$F,(_xlfn.AGGREGATE(15,6,(ROW(Liste_Materiel_Combinee!$G$2:$G$426)-1)/(Liste_Materiel_Combinee!$G$2:$G$426=1),135)+1)),""),0))</f>
        <v/>
      </c>
      <c r="D137" s="104" t="str">
        <f>IF($H$5="EFFACER","",IFERROR(INDEX(Liste_Materiel_Combinee!$E:$E,(_xlfn.AGGREGATE(15,6,(ROW(Liste_Materiel_Combinee!$G$2:$G$426)-1)/(Liste_Materiel_Combinee!$G$2:$G$426=1),135)+1)),""))</f>
        <v/>
      </c>
      <c r="E137" s="105">
        <f t="shared" si="2"/>
        <v>0</v>
      </c>
      <c r="F137" s="104" t="str">
        <f>IFERROR(INDEX(Catalogue!$K:$K,MATCH(A137,Catalogue!$A:$A,0)),"")</f>
        <v/>
      </c>
      <c r="G137" s="102"/>
      <c r="H137" s="7"/>
      <c r="I137" s="7"/>
    </row>
    <row r="138" spans="1:9" x14ac:dyDescent="0.25">
      <c r="A138" s="103" t="str">
        <f>IFERROR(INDEX(Liste_Materiel_Combinee!$B:$B,(_xlfn.AGGREGATE(15,6,(ROW(Liste_Materiel_Combinee!$G$2:$G$426)-1)/(Liste_Materiel_Combinee!$G$2:$G$426=1),136)+1)),"")</f>
        <v/>
      </c>
      <c r="B138" s="104" t="str">
        <f>IFERROR(INDEX(Liste_Materiel_Combinee!$C:$C,(_xlfn.AGGREGATE(15,6,(ROW(Liste_Materiel_Combinee!$G$2:$G$426)-1)/(Liste_Materiel_Combinee!$G$2:$G$426=1),136)+1)),"")</f>
        <v/>
      </c>
      <c r="C138" s="104" t="str">
        <f>IF(IFERROR(INDEX(Liste_Materiel_Combinee!$F:$F,(_xlfn.AGGREGATE(15,6,(ROW(Liste_Materiel_Combinee!$G$2:$G$426)-1)/(Liste_Materiel_Combinee!$G$2:$G$426=1),136)+1)),"")="","",ROUNDUP(IFERROR(INDEX(Liste_Materiel_Combinee!$F:$F,(_xlfn.AGGREGATE(15,6,(ROW(Liste_Materiel_Combinee!$G$2:$G$426)-1)/(Liste_Materiel_Combinee!$G$2:$G$426=1),136)+1)),""),0))</f>
        <v/>
      </c>
      <c r="D138" s="104" t="str">
        <f>IF($H$5="EFFACER","",IFERROR(INDEX(Liste_Materiel_Combinee!$E:$E,(_xlfn.AGGREGATE(15,6,(ROW(Liste_Materiel_Combinee!$G$2:$G$426)-1)/(Liste_Materiel_Combinee!$G$2:$G$426=1),136)+1)),""))</f>
        <v/>
      </c>
      <c r="E138" s="105">
        <f t="shared" si="2"/>
        <v>0</v>
      </c>
      <c r="F138" s="104" t="str">
        <f>IFERROR(INDEX(Catalogue!$K:$K,MATCH(A138,Catalogue!$A:$A,0)),"")</f>
        <v/>
      </c>
      <c r="G138" s="102"/>
      <c r="H138" s="7"/>
      <c r="I138" s="7"/>
    </row>
    <row r="139" spans="1:9" x14ac:dyDescent="0.25">
      <c r="A139" s="103" t="str">
        <f>IFERROR(INDEX(Liste_Materiel_Combinee!$B:$B,(_xlfn.AGGREGATE(15,6,(ROW(Liste_Materiel_Combinee!$G$2:$G$426)-1)/(Liste_Materiel_Combinee!$G$2:$G$426=1),137)+1)),"")</f>
        <v/>
      </c>
      <c r="B139" s="104" t="str">
        <f>IFERROR(INDEX(Liste_Materiel_Combinee!$C:$C,(_xlfn.AGGREGATE(15,6,(ROW(Liste_Materiel_Combinee!$G$2:$G$426)-1)/(Liste_Materiel_Combinee!$G$2:$G$426=1),137)+1)),"")</f>
        <v/>
      </c>
      <c r="C139" s="104" t="str">
        <f>IF(IFERROR(INDEX(Liste_Materiel_Combinee!$F:$F,(_xlfn.AGGREGATE(15,6,(ROW(Liste_Materiel_Combinee!$G$2:$G$426)-1)/(Liste_Materiel_Combinee!$G$2:$G$426=1),137)+1)),"")="","",ROUNDUP(IFERROR(INDEX(Liste_Materiel_Combinee!$F:$F,(_xlfn.AGGREGATE(15,6,(ROW(Liste_Materiel_Combinee!$G$2:$G$426)-1)/(Liste_Materiel_Combinee!$G$2:$G$426=1),137)+1)),""),0))</f>
        <v/>
      </c>
      <c r="D139" s="104" t="str">
        <f>IF($H$5="EFFACER","",IFERROR(INDEX(Liste_Materiel_Combinee!$E:$E,(_xlfn.AGGREGATE(15,6,(ROW(Liste_Materiel_Combinee!$G$2:$G$426)-1)/(Liste_Materiel_Combinee!$G$2:$G$426=1),137)+1)),""))</f>
        <v/>
      </c>
      <c r="E139" s="105">
        <f t="shared" si="2"/>
        <v>0</v>
      </c>
      <c r="F139" s="104" t="str">
        <f>IFERROR(INDEX(Catalogue!$K:$K,MATCH(A139,Catalogue!$A:$A,0)),"")</f>
        <v/>
      </c>
      <c r="G139" s="102"/>
      <c r="H139" s="7"/>
      <c r="I139" s="7"/>
    </row>
    <row r="140" spans="1:9" x14ac:dyDescent="0.25">
      <c r="A140" s="103" t="str">
        <f>IFERROR(INDEX(Liste_Materiel_Combinee!$B:$B,(_xlfn.AGGREGATE(15,6,(ROW(Liste_Materiel_Combinee!$G$2:$G$426)-1)/(Liste_Materiel_Combinee!$G$2:$G$426=1),138)+1)),"")</f>
        <v/>
      </c>
      <c r="B140" s="104" t="str">
        <f>IFERROR(INDEX(Liste_Materiel_Combinee!$C:$C,(_xlfn.AGGREGATE(15,6,(ROW(Liste_Materiel_Combinee!$G$2:$G$426)-1)/(Liste_Materiel_Combinee!$G$2:$G$426=1),138)+1)),"")</f>
        <v/>
      </c>
      <c r="C140" s="104" t="str">
        <f>IF(IFERROR(INDEX(Liste_Materiel_Combinee!$F:$F,(_xlfn.AGGREGATE(15,6,(ROW(Liste_Materiel_Combinee!$G$2:$G$426)-1)/(Liste_Materiel_Combinee!$G$2:$G$426=1),138)+1)),"")="","",ROUNDUP(IFERROR(INDEX(Liste_Materiel_Combinee!$F:$F,(_xlfn.AGGREGATE(15,6,(ROW(Liste_Materiel_Combinee!$G$2:$G$426)-1)/(Liste_Materiel_Combinee!$G$2:$G$426=1),138)+1)),""),0))</f>
        <v/>
      </c>
      <c r="D140" s="104" t="str">
        <f>IF($H$5="EFFACER","",IFERROR(INDEX(Liste_Materiel_Combinee!$E:$E,(_xlfn.AGGREGATE(15,6,(ROW(Liste_Materiel_Combinee!$G$2:$G$426)-1)/(Liste_Materiel_Combinee!$G$2:$G$426=1),138)+1)),""))</f>
        <v/>
      </c>
      <c r="E140" s="105">
        <f t="shared" si="2"/>
        <v>0</v>
      </c>
      <c r="F140" s="104" t="str">
        <f>IFERROR(INDEX(Catalogue!$K:$K,MATCH(A140,Catalogue!$A:$A,0)),"")</f>
        <v/>
      </c>
      <c r="G140" s="102"/>
      <c r="H140" s="7"/>
      <c r="I140" s="7"/>
    </row>
    <row r="141" spans="1:9" x14ac:dyDescent="0.25">
      <c r="A141" s="103" t="str">
        <f>IFERROR(INDEX(Liste_Materiel_Combinee!$B:$B,(_xlfn.AGGREGATE(15,6,(ROW(Liste_Materiel_Combinee!$G$2:$G$426)-1)/(Liste_Materiel_Combinee!$G$2:$G$426=1),139)+1)),"")</f>
        <v/>
      </c>
      <c r="B141" s="104" t="str">
        <f>IFERROR(INDEX(Liste_Materiel_Combinee!$C:$C,(_xlfn.AGGREGATE(15,6,(ROW(Liste_Materiel_Combinee!$G$2:$G$426)-1)/(Liste_Materiel_Combinee!$G$2:$G$426=1),139)+1)),"")</f>
        <v/>
      </c>
      <c r="C141" s="104" t="str">
        <f>IF(IFERROR(INDEX(Liste_Materiel_Combinee!$F:$F,(_xlfn.AGGREGATE(15,6,(ROW(Liste_Materiel_Combinee!$G$2:$G$426)-1)/(Liste_Materiel_Combinee!$G$2:$G$426=1),139)+1)),"")="","",ROUNDUP(IFERROR(INDEX(Liste_Materiel_Combinee!$F:$F,(_xlfn.AGGREGATE(15,6,(ROW(Liste_Materiel_Combinee!$G$2:$G$426)-1)/(Liste_Materiel_Combinee!$G$2:$G$426=1),139)+1)),""),0))</f>
        <v/>
      </c>
      <c r="D141" s="104" t="str">
        <f>IF($H$5="EFFACER","",IFERROR(INDEX(Liste_Materiel_Combinee!$E:$E,(_xlfn.AGGREGATE(15,6,(ROW(Liste_Materiel_Combinee!$G$2:$G$426)-1)/(Liste_Materiel_Combinee!$G$2:$G$426=1),139)+1)),""))</f>
        <v/>
      </c>
      <c r="E141" s="105">
        <f t="shared" si="2"/>
        <v>0</v>
      </c>
      <c r="F141" s="104" t="str">
        <f>IFERROR(INDEX(Catalogue!$K:$K,MATCH(A141,Catalogue!$A:$A,0)),"")</f>
        <v/>
      </c>
      <c r="G141" s="102"/>
      <c r="H141" s="7"/>
      <c r="I141" s="7"/>
    </row>
    <row r="142" spans="1:9" x14ac:dyDescent="0.25">
      <c r="A142" s="103" t="str">
        <f>IFERROR(INDEX(Liste_Materiel_Combinee!$B:$B,(_xlfn.AGGREGATE(15,6,(ROW(Liste_Materiel_Combinee!$G$2:$G$426)-1)/(Liste_Materiel_Combinee!$G$2:$G$426=1),140)+1)),"")</f>
        <v/>
      </c>
      <c r="B142" s="104" t="str">
        <f>IFERROR(INDEX(Liste_Materiel_Combinee!$C:$C,(_xlfn.AGGREGATE(15,6,(ROW(Liste_Materiel_Combinee!$G$2:$G$426)-1)/(Liste_Materiel_Combinee!$G$2:$G$426=1),140)+1)),"")</f>
        <v/>
      </c>
      <c r="C142" s="104" t="str">
        <f>IF(IFERROR(INDEX(Liste_Materiel_Combinee!$F:$F,(_xlfn.AGGREGATE(15,6,(ROW(Liste_Materiel_Combinee!$G$2:$G$426)-1)/(Liste_Materiel_Combinee!$G$2:$G$426=1),140)+1)),"")="","",ROUNDUP(IFERROR(INDEX(Liste_Materiel_Combinee!$F:$F,(_xlfn.AGGREGATE(15,6,(ROW(Liste_Materiel_Combinee!$G$2:$G$426)-1)/(Liste_Materiel_Combinee!$G$2:$G$426=1),140)+1)),""),0))</f>
        <v/>
      </c>
      <c r="D142" s="104" t="str">
        <f>IF($H$5="EFFACER","",IFERROR(INDEX(Liste_Materiel_Combinee!$E:$E,(_xlfn.AGGREGATE(15,6,(ROW(Liste_Materiel_Combinee!$G$2:$G$426)-1)/(Liste_Materiel_Combinee!$G$2:$G$426=1),140)+1)),""))</f>
        <v/>
      </c>
      <c r="E142" s="105">
        <f t="shared" si="2"/>
        <v>0</v>
      </c>
      <c r="F142" s="104" t="str">
        <f>IFERROR(INDEX(Catalogue!$K:$K,MATCH(A142,Catalogue!$A:$A,0)),"")</f>
        <v/>
      </c>
      <c r="G142" s="102"/>
      <c r="H142" s="7"/>
      <c r="I142" s="7"/>
    </row>
    <row r="143" spans="1:9" x14ac:dyDescent="0.25">
      <c r="A143" s="103" t="str">
        <f>IFERROR(INDEX(Liste_Materiel_Combinee!$B:$B,(_xlfn.AGGREGATE(15,6,(ROW(Liste_Materiel_Combinee!$G$2:$G$426)-1)/(Liste_Materiel_Combinee!$G$2:$G$426=1),141)+1)),"")</f>
        <v/>
      </c>
      <c r="B143" s="104" t="str">
        <f>IFERROR(INDEX(Liste_Materiel_Combinee!$C:$C,(_xlfn.AGGREGATE(15,6,(ROW(Liste_Materiel_Combinee!$G$2:$G$426)-1)/(Liste_Materiel_Combinee!$G$2:$G$426=1),141)+1)),"")</f>
        <v/>
      </c>
      <c r="C143" s="104" t="str">
        <f>IF(IFERROR(INDEX(Liste_Materiel_Combinee!$F:$F,(_xlfn.AGGREGATE(15,6,(ROW(Liste_Materiel_Combinee!$G$2:$G$426)-1)/(Liste_Materiel_Combinee!$G$2:$G$426=1),141)+1)),"")="","",ROUNDUP(IFERROR(INDEX(Liste_Materiel_Combinee!$F:$F,(_xlfn.AGGREGATE(15,6,(ROW(Liste_Materiel_Combinee!$G$2:$G$426)-1)/(Liste_Materiel_Combinee!$G$2:$G$426=1),141)+1)),""),0))</f>
        <v/>
      </c>
      <c r="D143" s="104" t="str">
        <f>IF($H$5="EFFACER","",IFERROR(INDEX(Liste_Materiel_Combinee!$E:$E,(_xlfn.AGGREGATE(15,6,(ROW(Liste_Materiel_Combinee!$G$2:$G$426)-1)/(Liste_Materiel_Combinee!$G$2:$G$426=1),141)+1)),""))</f>
        <v/>
      </c>
      <c r="E143" s="105">
        <f t="shared" si="2"/>
        <v>0</v>
      </c>
      <c r="F143" s="104" t="str">
        <f>IFERROR(INDEX(Catalogue!$K:$K,MATCH(A143,Catalogue!$A:$A,0)),"")</f>
        <v/>
      </c>
      <c r="G143" s="102"/>
      <c r="H143" s="7"/>
      <c r="I143" s="7"/>
    </row>
    <row r="144" spans="1:9" x14ac:dyDescent="0.25">
      <c r="A144" s="103" t="str">
        <f>IFERROR(INDEX(Liste_Materiel_Combinee!$B:$B,(_xlfn.AGGREGATE(15,6,(ROW(Liste_Materiel_Combinee!$G$2:$G$426)-1)/(Liste_Materiel_Combinee!$G$2:$G$426=1),142)+1)),"")</f>
        <v/>
      </c>
      <c r="B144" s="104" t="str">
        <f>IFERROR(INDEX(Liste_Materiel_Combinee!$C:$C,(_xlfn.AGGREGATE(15,6,(ROW(Liste_Materiel_Combinee!$G$2:$G$426)-1)/(Liste_Materiel_Combinee!$G$2:$G$426=1),142)+1)),"")</f>
        <v/>
      </c>
      <c r="C144" s="104" t="str">
        <f>IF(IFERROR(INDEX(Liste_Materiel_Combinee!$F:$F,(_xlfn.AGGREGATE(15,6,(ROW(Liste_Materiel_Combinee!$G$2:$G$426)-1)/(Liste_Materiel_Combinee!$G$2:$G$426=1),142)+1)),"")="","",ROUNDUP(IFERROR(INDEX(Liste_Materiel_Combinee!$F:$F,(_xlfn.AGGREGATE(15,6,(ROW(Liste_Materiel_Combinee!$G$2:$G$426)-1)/(Liste_Materiel_Combinee!$G$2:$G$426=1),142)+1)),""),0))</f>
        <v/>
      </c>
      <c r="D144" s="104" t="str">
        <f>IF($H$5="EFFACER","",IFERROR(INDEX(Liste_Materiel_Combinee!$E:$E,(_xlfn.AGGREGATE(15,6,(ROW(Liste_Materiel_Combinee!$G$2:$G$426)-1)/(Liste_Materiel_Combinee!$G$2:$G$426=1),142)+1)),""))</f>
        <v/>
      </c>
      <c r="E144" s="105">
        <f t="shared" si="2"/>
        <v>0</v>
      </c>
      <c r="F144" s="104" t="str">
        <f>IFERROR(INDEX(Catalogue!$K:$K,MATCH(A144,Catalogue!$A:$A,0)),"")</f>
        <v/>
      </c>
      <c r="G144" s="102"/>
      <c r="H144" s="7"/>
      <c r="I144" s="7"/>
    </row>
    <row r="145" spans="1:9" x14ac:dyDescent="0.25">
      <c r="A145" s="103" t="str">
        <f>IFERROR(INDEX(Liste_Materiel_Combinee!$B:$B,(_xlfn.AGGREGATE(15,6,(ROW(Liste_Materiel_Combinee!$G$2:$G$426)-1)/(Liste_Materiel_Combinee!$G$2:$G$426=1),143)+1)),"")</f>
        <v/>
      </c>
      <c r="B145" s="104" t="str">
        <f>IFERROR(INDEX(Liste_Materiel_Combinee!$C:$C,(_xlfn.AGGREGATE(15,6,(ROW(Liste_Materiel_Combinee!$G$2:$G$426)-1)/(Liste_Materiel_Combinee!$G$2:$G$426=1),143)+1)),"")</f>
        <v/>
      </c>
      <c r="C145" s="104" t="str">
        <f>IF(IFERROR(INDEX(Liste_Materiel_Combinee!$F:$F,(_xlfn.AGGREGATE(15,6,(ROW(Liste_Materiel_Combinee!$G$2:$G$426)-1)/(Liste_Materiel_Combinee!$G$2:$G$426=1),143)+1)),"")="","",ROUNDUP(IFERROR(INDEX(Liste_Materiel_Combinee!$F:$F,(_xlfn.AGGREGATE(15,6,(ROW(Liste_Materiel_Combinee!$G$2:$G$426)-1)/(Liste_Materiel_Combinee!$G$2:$G$426=1),143)+1)),""),0))</f>
        <v/>
      </c>
      <c r="D145" s="104" t="str">
        <f>IF($H$5="EFFACER","",IFERROR(INDEX(Liste_Materiel_Combinee!$E:$E,(_xlfn.AGGREGATE(15,6,(ROW(Liste_Materiel_Combinee!$G$2:$G$426)-1)/(Liste_Materiel_Combinee!$G$2:$G$426=1),143)+1)),""))</f>
        <v/>
      </c>
      <c r="E145" s="105">
        <f t="shared" si="2"/>
        <v>0</v>
      </c>
      <c r="F145" s="104" t="str">
        <f>IFERROR(INDEX(Catalogue!$K:$K,MATCH(A145,Catalogue!$A:$A,0)),"")</f>
        <v/>
      </c>
      <c r="G145" s="102"/>
      <c r="H145" s="7"/>
      <c r="I145" s="7"/>
    </row>
    <row r="146" spans="1:9" x14ac:dyDescent="0.25">
      <c r="A146" s="103" t="str">
        <f>IFERROR(INDEX(Liste_Materiel_Combinee!$B:$B,(_xlfn.AGGREGATE(15,6,(ROW(Liste_Materiel_Combinee!$G$2:$G$426)-1)/(Liste_Materiel_Combinee!$G$2:$G$426=1),144)+1)),"")</f>
        <v/>
      </c>
      <c r="B146" s="104" t="str">
        <f>IFERROR(INDEX(Liste_Materiel_Combinee!$C:$C,(_xlfn.AGGREGATE(15,6,(ROW(Liste_Materiel_Combinee!$G$2:$G$426)-1)/(Liste_Materiel_Combinee!$G$2:$G$426=1),144)+1)),"")</f>
        <v/>
      </c>
      <c r="C146" s="104" t="str">
        <f>IF(IFERROR(INDEX(Liste_Materiel_Combinee!$F:$F,(_xlfn.AGGREGATE(15,6,(ROW(Liste_Materiel_Combinee!$G$2:$G$426)-1)/(Liste_Materiel_Combinee!$G$2:$G$426=1),144)+1)),"")="","",ROUNDUP(IFERROR(INDEX(Liste_Materiel_Combinee!$F:$F,(_xlfn.AGGREGATE(15,6,(ROW(Liste_Materiel_Combinee!$G$2:$G$426)-1)/(Liste_Materiel_Combinee!$G$2:$G$426=1),144)+1)),""),0))</f>
        <v/>
      </c>
      <c r="D146" s="104" t="str">
        <f>IF($H$5="EFFACER","",IFERROR(INDEX(Liste_Materiel_Combinee!$E:$E,(_xlfn.AGGREGATE(15,6,(ROW(Liste_Materiel_Combinee!$G$2:$G$426)-1)/(Liste_Materiel_Combinee!$G$2:$G$426=1),144)+1)),""))</f>
        <v/>
      </c>
      <c r="E146" s="105">
        <f t="shared" si="2"/>
        <v>0</v>
      </c>
      <c r="F146" s="104" t="str">
        <f>IFERROR(INDEX(Catalogue!$K:$K,MATCH(A146,Catalogue!$A:$A,0)),"")</f>
        <v/>
      </c>
      <c r="G146" s="102"/>
      <c r="H146" s="7"/>
      <c r="I146" s="7"/>
    </row>
    <row r="147" spans="1:9" x14ac:dyDescent="0.25">
      <c r="A147" s="103" t="str">
        <f>IFERROR(INDEX(Liste_Materiel_Combinee!$B:$B,(_xlfn.AGGREGATE(15,6,(ROW(Liste_Materiel_Combinee!$G$2:$G$426)-1)/(Liste_Materiel_Combinee!$G$2:$G$426=1),145)+1)),"")</f>
        <v/>
      </c>
      <c r="B147" s="104" t="str">
        <f>IFERROR(INDEX(Liste_Materiel_Combinee!$C:$C,(_xlfn.AGGREGATE(15,6,(ROW(Liste_Materiel_Combinee!$G$2:$G$426)-1)/(Liste_Materiel_Combinee!$G$2:$G$426=1),145)+1)),"")</f>
        <v/>
      </c>
      <c r="C147" s="104" t="str">
        <f>IF(IFERROR(INDEX(Liste_Materiel_Combinee!$F:$F,(_xlfn.AGGREGATE(15,6,(ROW(Liste_Materiel_Combinee!$G$2:$G$426)-1)/(Liste_Materiel_Combinee!$G$2:$G$426=1),145)+1)),"")="","",ROUNDUP(IFERROR(INDEX(Liste_Materiel_Combinee!$F:$F,(_xlfn.AGGREGATE(15,6,(ROW(Liste_Materiel_Combinee!$G$2:$G$426)-1)/(Liste_Materiel_Combinee!$G$2:$G$426=1),145)+1)),""),0))</f>
        <v/>
      </c>
      <c r="D147" s="104" t="str">
        <f>IF($H$5="EFFACER","",IFERROR(INDEX(Liste_Materiel_Combinee!$E:$E,(_xlfn.AGGREGATE(15,6,(ROW(Liste_Materiel_Combinee!$G$2:$G$426)-1)/(Liste_Materiel_Combinee!$G$2:$G$426=1),145)+1)),""))</f>
        <v/>
      </c>
      <c r="E147" s="105">
        <f t="shared" si="2"/>
        <v>0</v>
      </c>
      <c r="F147" s="104" t="str">
        <f>IFERROR(INDEX(Catalogue!$K:$K,MATCH(A147,Catalogue!$A:$A,0)),"")</f>
        <v/>
      </c>
      <c r="G147" s="102"/>
      <c r="H147" s="7"/>
      <c r="I147" s="7"/>
    </row>
    <row r="148" spans="1:9" x14ac:dyDescent="0.25">
      <c r="A148" s="103" t="str">
        <f>IFERROR(INDEX(Liste_Materiel_Combinee!$B:$B,(_xlfn.AGGREGATE(15,6,(ROW(Liste_Materiel_Combinee!$G$2:$G$426)-1)/(Liste_Materiel_Combinee!$G$2:$G$426=1),146)+1)),"")</f>
        <v/>
      </c>
      <c r="B148" s="104" t="str">
        <f>IFERROR(INDEX(Liste_Materiel_Combinee!$C:$C,(_xlfn.AGGREGATE(15,6,(ROW(Liste_Materiel_Combinee!$G$2:$G$426)-1)/(Liste_Materiel_Combinee!$G$2:$G$426=1),146)+1)),"")</f>
        <v/>
      </c>
      <c r="C148" s="104" t="str">
        <f>IF(IFERROR(INDEX(Liste_Materiel_Combinee!$F:$F,(_xlfn.AGGREGATE(15,6,(ROW(Liste_Materiel_Combinee!$G$2:$G$426)-1)/(Liste_Materiel_Combinee!$G$2:$G$426=1),146)+1)),"")="","",ROUNDUP(IFERROR(INDEX(Liste_Materiel_Combinee!$F:$F,(_xlfn.AGGREGATE(15,6,(ROW(Liste_Materiel_Combinee!$G$2:$G$426)-1)/(Liste_Materiel_Combinee!$G$2:$G$426=1),146)+1)),""),0))</f>
        <v/>
      </c>
      <c r="D148" s="104" t="str">
        <f>IF($H$5="EFFACER","",IFERROR(INDEX(Liste_Materiel_Combinee!$E:$E,(_xlfn.AGGREGATE(15,6,(ROW(Liste_Materiel_Combinee!$G$2:$G$426)-1)/(Liste_Materiel_Combinee!$G$2:$G$426=1),146)+1)),""))</f>
        <v/>
      </c>
      <c r="E148" s="105">
        <f t="shared" si="2"/>
        <v>0</v>
      </c>
      <c r="F148" s="104" t="str">
        <f>IFERROR(INDEX(Catalogue!$K:$K,MATCH(A148,Catalogue!$A:$A,0)),"")</f>
        <v/>
      </c>
      <c r="G148" s="102"/>
      <c r="H148" s="7"/>
      <c r="I148" s="7"/>
    </row>
    <row r="149" spans="1:9" x14ac:dyDescent="0.25">
      <c r="A149" s="103" t="str">
        <f>IFERROR(INDEX(Liste_Materiel_Combinee!$B:$B,(_xlfn.AGGREGATE(15,6,(ROW(Liste_Materiel_Combinee!$G$2:$G$426)-1)/(Liste_Materiel_Combinee!$G$2:$G$426=1),147)+1)),"")</f>
        <v/>
      </c>
      <c r="B149" s="104" t="str">
        <f>IFERROR(INDEX(Liste_Materiel_Combinee!$C:$C,(_xlfn.AGGREGATE(15,6,(ROW(Liste_Materiel_Combinee!$G$2:$G$426)-1)/(Liste_Materiel_Combinee!$G$2:$G$426=1),147)+1)),"")</f>
        <v/>
      </c>
      <c r="C149" s="104" t="str">
        <f>IF(IFERROR(INDEX(Liste_Materiel_Combinee!$F:$F,(_xlfn.AGGREGATE(15,6,(ROW(Liste_Materiel_Combinee!$G$2:$G$426)-1)/(Liste_Materiel_Combinee!$G$2:$G$426=1),147)+1)),"")="","",ROUNDUP(IFERROR(INDEX(Liste_Materiel_Combinee!$F:$F,(_xlfn.AGGREGATE(15,6,(ROW(Liste_Materiel_Combinee!$G$2:$G$426)-1)/(Liste_Materiel_Combinee!$G$2:$G$426=1),147)+1)),""),0))</f>
        <v/>
      </c>
      <c r="D149" s="104" t="str">
        <f>IF($H$5="EFFACER","",IFERROR(INDEX(Liste_Materiel_Combinee!$E:$E,(_xlfn.AGGREGATE(15,6,(ROW(Liste_Materiel_Combinee!$G$2:$G$426)-1)/(Liste_Materiel_Combinee!$G$2:$G$426=1),147)+1)),""))</f>
        <v/>
      </c>
      <c r="E149" s="105">
        <f t="shared" si="2"/>
        <v>0</v>
      </c>
      <c r="F149" s="104" t="str">
        <f>IFERROR(INDEX(Catalogue!$K:$K,MATCH(A149,Catalogue!$A:$A,0)),"")</f>
        <v/>
      </c>
      <c r="G149" s="102"/>
      <c r="H149" s="7"/>
      <c r="I149" s="7"/>
    </row>
    <row r="150" spans="1:9" x14ac:dyDescent="0.25">
      <c r="A150" s="103" t="str">
        <f>IFERROR(INDEX(Liste_Materiel_Combinee!$B:$B,(_xlfn.AGGREGATE(15,6,(ROW(Liste_Materiel_Combinee!$G$2:$G$426)-1)/(Liste_Materiel_Combinee!$G$2:$G$426=1),148)+1)),"")</f>
        <v/>
      </c>
      <c r="B150" s="104" t="str">
        <f>IFERROR(INDEX(Liste_Materiel_Combinee!$C:$C,(_xlfn.AGGREGATE(15,6,(ROW(Liste_Materiel_Combinee!$G$2:$G$426)-1)/(Liste_Materiel_Combinee!$G$2:$G$426=1),148)+1)),"")</f>
        <v/>
      </c>
      <c r="C150" s="104" t="str">
        <f>IF(IFERROR(INDEX(Liste_Materiel_Combinee!$F:$F,(_xlfn.AGGREGATE(15,6,(ROW(Liste_Materiel_Combinee!$G$2:$G$426)-1)/(Liste_Materiel_Combinee!$G$2:$G$426=1),148)+1)),"")="","",ROUNDUP(IFERROR(INDEX(Liste_Materiel_Combinee!$F:$F,(_xlfn.AGGREGATE(15,6,(ROW(Liste_Materiel_Combinee!$G$2:$G$426)-1)/(Liste_Materiel_Combinee!$G$2:$G$426=1),148)+1)),""),0))</f>
        <v/>
      </c>
      <c r="D150" s="104" t="str">
        <f>IF($H$5="EFFACER","",IFERROR(INDEX(Liste_Materiel_Combinee!$E:$E,(_xlfn.AGGREGATE(15,6,(ROW(Liste_Materiel_Combinee!$G$2:$G$426)-1)/(Liste_Materiel_Combinee!$G$2:$G$426=1),148)+1)),""))</f>
        <v/>
      </c>
      <c r="E150" s="105">
        <f t="shared" si="2"/>
        <v>0</v>
      </c>
      <c r="F150" s="104" t="str">
        <f>IFERROR(INDEX(Catalogue!$K:$K,MATCH(A150,Catalogue!$A:$A,0)),"")</f>
        <v/>
      </c>
      <c r="G150" s="102"/>
      <c r="H150" s="7"/>
      <c r="I150" s="7"/>
    </row>
    <row r="151" spans="1:9" x14ac:dyDescent="0.25">
      <c r="A151" s="103" t="str">
        <f>IFERROR(INDEX(Liste_Materiel_Combinee!$B:$B,(_xlfn.AGGREGATE(15,6,(ROW(Liste_Materiel_Combinee!$G$2:$G$426)-1)/(Liste_Materiel_Combinee!$G$2:$G$426=1),149)+1)),"")</f>
        <v/>
      </c>
      <c r="B151" s="104" t="str">
        <f>IFERROR(INDEX(Liste_Materiel_Combinee!$C:$C,(_xlfn.AGGREGATE(15,6,(ROW(Liste_Materiel_Combinee!$G$2:$G$426)-1)/(Liste_Materiel_Combinee!$G$2:$G$426=1),149)+1)),"")</f>
        <v/>
      </c>
      <c r="C151" s="104" t="str">
        <f>IF(IFERROR(INDEX(Liste_Materiel_Combinee!$F:$F,(_xlfn.AGGREGATE(15,6,(ROW(Liste_Materiel_Combinee!$G$2:$G$426)-1)/(Liste_Materiel_Combinee!$G$2:$G$426=1),149)+1)),"")="","",ROUNDUP(IFERROR(INDEX(Liste_Materiel_Combinee!$F:$F,(_xlfn.AGGREGATE(15,6,(ROW(Liste_Materiel_Combinee!$G$2:$G$426)-1)/(Liste_Materiel_Combinee!$G$2:$G$426=1),149)+1)),""),0))</f>
        <v/>
      </c>
      <c r="D151" s="104" t="str">
        <f>IF($H$5="EFFACER","",IFERROR(INDEX(Liste_Materiel_Combinee!$E:$E,(_xlfn.AGGREGATE(15,6,(ROW(Liste_Materiel_Combinee!$G$2:$G$426)-1)/(Liste_Materiel_Combinee!$G$2:$G$426=1),149)+1)),""))</f>
        <v/>
      </c>
      <c r="E151" s="105">
        <f t="shared" si="2"/>
        <v>0</v>
      </c>
      <c r="F151" s="104" t="str">
        <f>IFERROR(INDEX(Catalogue!$K:$K,MATCH(A151,Catalogue!$A:$A,0)),"")</f>
        <v/>
      </c>
      <c r="G151" s="102"/>
      <c r="H151" s="7"/>
      <c r="I151" s="7"/>
    </row>
    <row r="152" spans="1:9" x14ac:dyDescent="0.25">
      <c r="A152" s="103" t="str">
        <f>IFERROR(INDEX(Liste_Materiel_Combinee!$B:$B,(_xlfn.AGGREGATE(15,6,(ROW(Liste_Materiel_Combinee!$G$2:$G$426)-1)/(Liste_Materiel_Combinee!$G$2:$G$426=1),150)+1)),"")</f>
        <v/>
      </c>
      <c r="B152" s="104" t="str">
        <f>IFERROR(INDEX(Liste_Materiel_Combinee!$C:$C,(_xlfn.AGGREGATE(15,6,(ROW(Liste_Materiel_Combinee!$G$2:$G$426)-1)/(Liste_Materiel_Combinee!$G$2:$G$426=1),150)+1)),"")</f>
        <v/>
      </c>
      <c r="C152" s="104" t="str">
        <f>IF(IFERROR(INDEX(Liste_Materiel_Combinee!$F:$F,(_xlfn.AGGREGATE(15,6,(ROW(Liste_Materiel_Combinee!$G$2:$G$426)-1)/(Liste_Materiel_Combinee!$G$2:$G$426=1),150)+1)),"")="","",ROUNDUP(IFERROR(INDEX(Liste_Materiel_Combinee!$F:$F,(_xlfn.AGGREGATE(15,6,(ROW(Liste_Materiel_Combinee!$G$2:$G$426)-1)/(Liste_Materiel_Combinee!$G$2:$G$426=1),150)+1)),""),0))</f>
        <v/>
      </c>
      <c r="D152" s="104" t="str">
        <f>IF($H$5="EFFACER","",IFERROR(INDEX(Liste_Materiel_Combinee!$E:$E,(_xlfn.AGGREGATE(15,6,(ROW(Liste_Materiel_Combinee!$G$2:$G$426)-1)/(Liste_Materiel_Combinee!$G$2:$G$426=1),150)+1)),""))</f>
        <v/>
      </c>
      <c r="E152" s="105">
        <f t="shared" si="2"/>
        <v>0</v>
      </c>
      <c r="F152" s="104" t="str">
        <f>IFERROR(INDEX(Catalogue!$K:$K,MATCH(A152,Catalogue!$A:$A,0)),"")</f>
        <v/>
      </c>
      <c r="G152" s="102"/>
      <c r="H152" s="7"/>
      <c r="I152" s="7"/>
    </row>
    <row r="153" spans="1:9" x14ac:dyDescent="0.25">
      <c r="A153" s="103" t="str">
        <f>IFERROR(INDEX(Liste_Materiel_Combinee!$B:$B,(_xlfn.AGGREGATE(15,6,(ROW(Liste_Materiel_Combinee!$G$2:$G$426)-1)/(Liste_Materiel_Combinee!$G$2:$G$426=1),151)+1)),"")</f>
        <v/>
      </c>
      <c r="B153" s="104" t="str">
        <f>IFERROR(INDEX(Liste_Materiel_Combinee!$C:$C,(_xlfn.AGGREGATE(15,6,(ROW(Liste_Materiel_Combinee!$G$2:$G$426)-1)/(Liste_Materiel_Combinee!$G$2:$G$426=1),151)+1)),"")</f>
        <v/>
      </c>
      <c r="C153" s="104" t="str">
        <f>IF(IFERROR(INDEX(Liste_Materiel_Combinee!$F:$F,(_xlfn.AGGREGATE(15,6,(ROW(Liste_Materiel_Combinee!$G$2:$G$426)-1)/(Liste_Materiel_Combinee!$G$2:$G$426=1),151)+1)),"")="","",ROUNDUP(IFERROR(INDEX(Liste_Materiel_Combinee!$F:$F,(_xlfn.AGGREGATE(15,6,(ROW(Liste_Materiel_Combinee!$G$2:$G$426)-1)/(Liste_Materiel_Combinee!$G$2:$G$426=1),151)+1)),""),0))</f>
        <v/>
      </c>
      <c r="D153" s="104" t="str">
        <f>IF($H$5="EFFACER","",IFERROR(INDEX(Liste_Materiel_Combinee!$E:$E,(_xlfn.AGGREGATE(15,6,(ROW(Liste_Materiel_Combinee!$G$2:$G$426)-1)/(Liste_Materiel_Combinee!$G$2:$G$426=1),151)+1)),""))</f>
        <v/>
      </c>
      <c r="E153" s="105">
        <f t="shared" si="2"/>
        <v>0</v>
      </c>
      <c r="F153" s="104" t="str">
        <f>IFERROR(INDEX(Catalogue!$K:$K,MATCH(A153,Catalogue!$A:$A,0)),"")</f>
        <v/>
      </c>
      <c r="G153" s="102"/>
      <c r="H153" s="7"/>
      <c r="I153" s="7"/>
    </row>
    <row r="154" spans="1:9" x14ac:dyDescent="0.25">
      <c r="A154" s="103" t="str">
        <f>IFERROR(INDEX(Liste_Materiel_Combinee!$B:$B,(_xlfn.AGGREGATE(15,6,(ROW(Liste_Materiel_Combinee!$G$2:$G$426)-1)/(Liste_Materiel_Combinee!$G$2:$G$426=1),152)+1)),"")</f>
        <v/>
      </c>
      <c r="B154" s="104" t="str">
        <f>IFERROR(INDEX(Liste_Materiel_Combinee!$C:$C,(_xlfn.AGGREGATE(15,6,(ROW(Liste_Materiel_Combinee!$G$2:$G$426)-1)/(Liste_Materiel_Combinee!$G$2:$G$426=1),152)+1)),"")</f>
        <v/>
      </c>
      <c r="C154" s="104" t="str">
        <f>IF(IFERROR(INDEX(Liste_Materiel_Combinee!$F:$F,(_xlfn.AGGREGATE(15,6,(ROW(Liste_Materiel_Combinee!$G$2:$G$426)-1)/(Liste_Materiel_Combinee!$G$2:$G$426=1),152)+1)),"")="","",ROUNDUP(IFERROR(INDEX(Liste_Materiel_Combinee!$F:$F,(_xlfn.AGGREGATE(15,6,(ROW(Liste_Materiel_Combinee!$G$2:$G$426)-1)/(Liste_Materiel_Combinee!$G$2:$G$426=1),152)+1)),""),0))</f>
        <v/>
      </c>
      <c r="D154" s="104" t="str">
        <f>IF($H$5="EFFACER","",IFERROR(INDEX(Liste_Materiel_Combinee!$E:$E,(_xlfn.AGGREGATE(15,6,(ROW(Liste_Materiel_Combinee!$G$2:$G$426)-1)/(Liste_Materiel_Combinee!$G$2:$G$426=1),152)+1)),""))</f>
        <v/>
      </c>
      <c r="E154" s="105">
        <f t="shared" si="2"/>
        <v>0</v>
      </c>
      <c r="F154" s="104" t="str">
        <f>IFERROR(INDEX(Catalogue!$K:$K,MATCH(A154,Catalogue!$A:$A,0)),"")</f>
        <v/>
      </c>
      <c r="G154" s="102"/>
      <c r="H154" s="7"/>
      <c r="I154" s="7"/>
    </row>
    <row r="155" spans="1:9" x14ac:dyDescent="0.25">
      <c r="A155" s="103" t="str">
        <f>IFERROR(INDEX(Liste_Materiel_Combinee!$B:$B,(_xlfn.AGGREGATE(15,6,(ROW(Liste_Materiel_Combinee!$G$2:$G$426)-1)/(Liste_Materiel_Combinee!$G$2:$G$426=1),153)+1)),"")</f>
        <v/>
      </c>
      <c r="B155" s="104" t="str">
        <f>IFERROR(INDEX(Liste_Materiel_Combinee!$C:$C,(_xlfn.AGGREGATE(15,6,(ROW(Liste_Materiel_Combinee!$G$2:$G$426)-1)/(Liste_Materiel_Combinee!$G$2:$G$426=1),153)+1)),"")</f>
        <v/>
      </c>
      <c r="C155" s="104" t="str">
        <f>IF(IFERROR(INDEX(Liste_Materiel_Combinee!$F:$F,(_xlfn.AGGREGATE(15,6,(ROW(Liste_Materiel_Combinee!$G$2:$G$426)-1)/(Liste_Materiel_Combinee!$G$2:$G$426=1),153)+1)),"")="","",ROUNDUP(IFERROR(INDEX(Liste_Materiel_Combinee!$F:$F,(_xlfn.AGGREGATE(15,6,(ROW(Liste_Materiel_Combinee!$G$2:$G$426)-1)/(Liste_Materiel_Combinee!$G$2:$G$426=1),153)+1)),""),0))</f>
        <v/>
      </c>
      <c r="D155" s="104" t="str">
        <f>IF($H$5="EFFACER","",IFERROR(INDEX(Liste_Materiel_Combinee!$E:$E,(_xlfn.AGGREGATE(15,6,(ROW(Liste_Materiel_Combinee!$G$2:$G$426)-1)/(Liste_Materiel_Combinee!$G$2:$G$426=1),153)+1)),""))</f>
        <v/>
      </c>
      <c r="E155" s="105">
        <f t="shared" si="2"/>
        <v>0</v>
      </c>
      <c r="F155" s="104" t="str">
        <f>IFERROR(INDEX(Catalogue!$K:$K,MATCH(A155,Catalogue!$A:$A,0)),"")</f>
        <v/>
      </c>
      <c r="G155" s="102"/>
      <c r="H155" s="7"/>
      <c r="I155" s="7"/>
    </row>
    <row r="156" spans="1:9" x14ac:dyDescent="0.25">
      <c r="A156" s="103" t="str">
        <f>IFERROR(INDEX(Liste_Materiel_Combinee!$B:$B,(_xlfn.AGGREGATE(15,6,(ROW(Liste_Materiel_Combinee!$G$2:$G$426)-1)/(Liste_Materiel_Combinee!$G$2:$G$426=1),154)+1)),"")</f>
        <v/>
      </c>
      <c r="B156" s="104" t="str">
        <f>IFERROR(INDEX(Liste_Materiel_Combinee!$C:$C,(_xlfn.AGGREGATE(15,6,(ROW(Liste_Materiel_Combinee!$G$2:$G$426)-1)/(Liste_Materiel_Combinee!$G$2:$G$426=1),154)+1)),"")</f>
        <v/>
      </c>
      <c r="C156" s="104" t="str">
        <f>IF(IFERROR(INDEX(Liste_Materiel_Combinee!$F:$F,(_xlfn.AGGREGATE(15,6,(ROW(Liste_Materiel_Combinee!$G$2:$G$426)-1)/(Liste_Materiel_Combinee!$G$2:$G$426=1),154)+1)),"")="","",ROUNDUP(IFERROR(INDEX(Liste_Materiel_Combinee!$F:$F,(_xlfn.AGGREGATE(15,6,(ROW(Liste_Materiel_Combinee!$G$2:$G$426)-1)/(Liste_Materiel_Combinee!$G$2:$G$426=1),154)+1)),""),0))</f>
        <v/>
      </c>
      <c r="D156" s="104" t="str">
        <f>IF($H$5="EFFACER","",IFERROR(INDEX(Liste_Materiel_Combinee!$E:$E,(_xlfn.AGGREGATE(15,6,(ROW(Liste_Materiel_Combinee!$G$2:$G$426)-1)/(Liste_Materiel_Combinee!$G$2:$G$426=1),154)+1)),""))</f>
        <v/>
      </c>
      <c r="E156" s="105">
        <f t="shared" si="2"/>
        <v>0</v>
      </c>
      <c r="F156" s="104" t="str">
        <f>IFERROR(INDEX(Catalogue!$K:$K,MATCH(A156,Catalogue!$A:$A,0)),"")</f>
        <v/>
      </c>
      <c r="G156" s="102"/>
      <c r="H156" s="7"/>
      <c r="I156" s="7"/>
    </row>
    <row r="157" spans="1:9" x14ac:dyDescent="0.25">
      <c r="A157" s="103" t="str">
        <f>IFERROR(INDEX(Liste_Materiel_Combinee!$B:$B,(_xlfn.AGGREGATE(15,6,(ROW(Liste_Materiel_Combinee!$G$2:$G$426)-1)/(Liste_Materiel_Combinee!$G$2:$G$426=1),155)+1)),"")</f>
        <v/>
      </c>
      <c r="B157" s="104" t="str">
        <f>IFERROR(INDEX(Liste_Materiel_Combinee!$C:$C,(_xlfn.AGGREGATE(15,6,(ROW(Liste_Materiel_Combinee!$G$2:$G$426)-1)/(Liste_Materiel_Combinee!$G$2:$G$426=1),155)+1)),"")</f>
        <v/>
      </c>
      <c r="C157" s="104" t="str">
        <f>IF(IFERROR(INDEX(Liste_Materiel_Combinee!$F:$F,(_xlfn.AGGREGATE(15,6,(ROW(Liste_Materiel_Combinee!$G$2:$G$426)-1)/(Liste_Materiel_Combinee!$G$2:$G$426=1),155)+1)),"")="","",ROUNDUP(IFERROR(INDEX(Liste_Materiel_Combinee!$F:$F,(_xlfn.AGGREGATE(15,6,(ROW(Liste_Materiel_Combinee!$G$2:$G$426)-1)/(Liste_Materiel_Combinee!$G$2:$G$426=1),155)+1)),""),0))</f>
        <v/>
      </c>
      <c r="D157" s="104" t="str">
        <f>IF($H$5="EFFACER","",IFERROR(INDEX(Liste_Materiel_Combinee!$E:$E,(_xlfn.AGGREGATE(15,6,(ROW(Liste_Materiel_Combinee!$G$2:$G$426)-1)/(Liste_Materiel_Combinee!$G$2:$G$426=1),155)+1)),""))</f>
        <v/>
      </c>
      <c r="E157" s="105">
        <f t="shared" si="2"/>
        <v>0</v>
      </c>
      <c r="F157" s="104" t="str">
        <f>IFERROR(INDEX(Catalogue!$K:$K,MATCH(A157,Catalogue!$A:$A,0)),"")</f>
        <v/>
      </c>
      <c r="G157" s="102"/>
      <c r="H157" s="7"/>
      <c r="I157" s="7"/>
    </row>
    <row r="158" spans="1:9" x14ac:dyDescent="0.25">
      <c r="A158" s="103" t="str">
        <f>IFERROR(INDEX(Liste_Materiel_Combinee!$B:$B,(_xlfn.AGGREGATE(15,6,(ROW(Liste_Materiel_Combinee!$G$2:$G$426)-1)/(Liste_Materiel_Combinee!$G$2:$G$426=1),156)+1)),"")</f>
        <v/>
      </c>
      <c r="B158" s="104" t="str">
        <f>IFERROR(INDEX(Liste_Materiel_Combinee!$C:$C,(_xlfn.AGGREGATE(15,6,(ROW(Liste_Materiel_Combinee!$G$2:$G$426)-1)/(Liste_Materiel_Combinee!$G$2:$G$426=1),156)+1)),"")</f>
        <v/>
      </c>
      <c r="C158" s="104" t="str">
        <f>IF(IFERROR(INDEX(Liste_Materiel_Combinee!$F:$F,(_xlfn.AGGREGATE(15,6,(ROW(Liste_Materiel_Combinee!$G$2:$G$426)-1)/(Liste_Materiel_Combinee!$G$2:$G$426=1),156)+1)),"")="","",ROUNDUP(IFERROR(INDEX(Liste_Materiel_Combinee!$F:$F,(_xlfn.AGGREGATE(15,6,(ROW(Liste_Materiel_Combinee!$G$2:$G$426)-1)/(Liste_Materiel_Combinee!$G$2:$G$426=1),156)+1)),""),0))</f>
        <v/>
      </c>
      <c r="D158" s="104" t="str">
        <f>IF($H$5="EFFACER","",IFERROR(INDEX(Liste_Materiel_Combinee!$E:$E,(_xlfn.AGGREGATE(15,6,(ROW(Liste_Materiel_Combinee!$G$2:$G$426)-1)/(Liste_Materiel_Combinee!$G$2:$G$426=1),156)+1)),""))</f>
        <v/>
      </c>
      <c r="E158" s="105">
        <f t="shared" si="2"/>
        <v>0</v>
      </c>
      <c r="F158" s="104" t="str">
        <f>IFERROR(INDEX(Catalogue!$K:$K,MATCH(A158,Catalogue!$A:$A,0)),"")</f>
        <v/>
      </c>
      <c r="G158" s="102"/>
      <c r="H158" s="7"/>
      <c r="I158" s="7"/>
    </row>
    <row r="159" spans="1:9" x14ac:dyDescent="0.25">
      <c r="A159" s="103" t="str">
        <f>IFERROR(INDEX(Liste_Materiel_Combinee!$B:$B,(_xlfn.AGGREGATE(15,6,(ROW(Liste_Materiel_Combinee!$G$2:$G$426)-1)/(Liste_Materiel_Combinee!$G$2:$G$426=1),157)+1)),"")</f>
        <v/>
      </c>
      <c r="B159" s="104" t="str">
        <f>IFERROR(INDEX(Liste_Materiel_Combinee!$C:$C,(_xlfn.AGGREGATE(15,6,(ROW(Liste_Materiel_Combinee!$G$2:$G$426)-1)/(Liste_Materiel_Combinee!$G$2:$G$426=1),157)+1)),"")</f>
        <v/>
      </c>
      <c r="C159" s="104" t="str">
        <f>IF(IFERROR(INDEX(Liste_Materiel_Combinee!$F:$F,(_xlfn.AGGREGATE(15,6,(ROW(Liste_Materiel_Combinee!$G$2:$G$426)-1)/(Liste_Materiel_Combinee!$G$2:$G$426=1),157)+1)),"")="","",ROUNDUP(IFERROR(INDEX(Liste_Materiel_Combinee!$F:$F,(_xlfn.AGGREGATE(15,6,(ROW(Liste_Materiel_Combinee!$G$2:$G$426)-1)/(Liste_Materiel_Combinee!$G$2:$G$426=1),157)+1)),""),0))</f>
        <v/>
      </c>
      <c r="D159" s="104" t="str">
        <f>IF($H$5="EFFACER","",IFERROR(INDEX(Liste_Materiel_Combinee!$E:$E,(_xlfn.AGGREGATE(15,6,(ROW(Liste_Materiel_Combinee!$G$2:$G$426)-1)/(Liste_Materiel_Combinee!$G$2:$G$426=1),157)+1)),""))</f>
        <v/>
      </c>
      <c r="E159" s="105">
        <f t="shared" si="2"/>
        <v>0</v>
      </c>
      <c r="F159" s="104" t="str">
        <f>IFERROR(INDEX(Catalogue!$K:$K,MATCH(A159,Catalogue!$A:$A,0)),"")</f>
        <v/>
      </c>
      <c r="G159" s="102"/>
      <c r="H159" s="7"/>
      <c r="I159" s="7"/>
    </row>
    <row r="160" spans="1:9" x14ac:dyDescent="0.25">
      <c r="A160" s="103" t="str">
        <f>IFERROR(INDEX(Liste_Materiel_Combinee!$B:$B,(_xlfn.AGGREGATE(15,6,(ROW(Liste_Materiel_Combinee!$G$2:$G$426)-1)/(Liste_Materiel_Combinee!$G$2:$G$426=1),158)+1)),"")</f>
        <v/>
      </c>
      <c r="B160" s="104" t="str">
        <f>IFERROR(INDEX(Liste_Materiel_Combinee!$C:$C,(_xlfn.AGGREGATE(15,6,(ROW(Liste_Materiel_Combinee!$G$2:$G$426)-1)/(Liste_Materiel_Combinee!$G$2:$G$426=1),158)+1)),"")</f>
        <v/>
      </c>
      <c r="C160" s="104" t="str">
        <f>IF(IFERROR(INDEX(Liste_Materiel_Combinee!$F:$F,(_xlfn.AGGREGATE(15,6,(ROW(Liste_Materiel_Combinee!$G$2:$G$426)-1)/(Liste_Materiel_Combinee!$G$2:$G$426=1),158)+1)),"")="","",ROUNDUP(IFERROR(INDEX(Liste_Materiel_Combinee!$F:$F,(_xlfn.AGGREGATE(15,6,(ROW(Liste_Materiel_Combinee!$G$2:$G$426)-1)/(Liste_Materiel_Combinee!$G$2:$G$426=1),158)+1)),""),0))</f>
        <v/>
      </c>
      <c r="D160" s="104" t="str">
        <f>IF($H$5="EFFACER","",IFERROR(INDEX(Liste_Materiel_Combinee!$E:$E,(_xlfn.AGGREGATE(15,6,(ROW(Liste_Materiel_Combinee!$G$2:$G$426)-1)/(Liste_Materiel_Combinee!$G$2:$G$426=1),158)+1)),""))</f>
        <v/>
      </c>
      <c r="E160" s="105">
        <f t="shared" si="2"/>
        <v>0</v>
      </c>
      <c r="F160" s="104" t="str">
        <f>IFERROR(INDEX(Catalogue!$K:$K,MATCH(A160,Catalogue!$A:$A,0)),"")</f>
        <v/>
      </c>
      <c r="G160" s="102"/>
      <c r="H160" s="7"/>
      <c r="I160" s="7"/>
    </row>
    <row r="161" spans="1:9" x14ac:dyDescent="0.25">
      <c r="A161" s="103" t="str">
        <f>IFERROR(INDEX(Liste_Materiel_Combinee!$B:$B,(_xlfn.AGGREGATE(15,6,(ROW(Liste_Materiel_Combinee!$G$2:$G$426)-1)/(Liste_Materiel_Combinee!$G$2:$G$426=1),159)+1)),"")</f>
        <v/>
      </c>
      <c r="B161" s="104" t="str">
        <f>IFERROR(INDEX(Liste_Materiel_Combinee!$C:$C,(_xlfn.AGGREGATE(15,6,(ROW(Liste_Materiel_Combinee!$G$2:$G$426)-1)/(Liste_Materiel_Combinee!$G$2:$G$426=1),159)+1)),"")</f>
        <v/>
      </c>
      <c r="C161" s="104" t="str">
        <f>IF(IFERROR(INDEX(Liste_Materiel_Combinee!$F:$F,(_xlfn.AGGREGATE(15,6,(ROW(Liste_Materiel_Combinee!$G$2:$G$426)-1)/(Liste_Materiel_Combinee!$G$2:$G$426=1),159)+1)),"")="","",ROUNDUP(IFERROR(INDEX(Liste_Materiel_Combinee!$F:$F,(_xlfn.AGGREGATE(15,6,(ROW(Liste_Materiel_Combinee!$G$2:$G$426)-1)/(Liste_Materiel_Combinee!$G$2:$G$426=1),159)+1)),""),0))</f>
        <v/>
      </c>
      <c r="D161" s="104" t="str">
        <f>IF($H$5="EFFACER","",IFERROR(INDEX(Liste_Materiel_Combinee!$E:$E,(_xlfn.AGGREGATE(15,6,(ROW(Liste_Materiel_Combinee!$G$2:$G$426)-1)/(Liste_Materiel_Combinee!$G$2:$G$426=1),159)+1)),""))</f>
        <v/>
      </c>
      <c r="E161" s="105">
        <f t="shared" si="2"/>
        <v>0</v>
      </c>
      <c r="F161" s="104" t="str">
        <f>IFERROR(INDEX(Catalogue!$K:$K,MATCH(A161,Catalogue!$A:$A,0)),"")</f>
        <v/>
      </c>
      <c r="G161" s="102"/>
      <c r="H161" s="7"/>
      <c r="I161" s="7"/>
    </row>
    <row r="162" spans="1:9" x14ac:dyDescent="0.25">
      <c r="A162" s="103" t="str">
        <f>IFERROR(INDEX(Liste_Materiel_Combinee!$B:$B,(_xlfn.AGGREGATE(15,6,(ROW(Liste_Materiel_Combinee!$G$2:$G$426)-1)/(Liste_Materiel_Combinee!$G$2:$G$426=1),160)+1)),"")</f>
        <v/>
      </c>
      <c r="B162" s="104" t="str">
        <f>IFERROR(INDEX(Liste_Materiel_Combinee!$C:$C,(_xlfn.AGGREGATE(15,6,(ROW(Liste_Materiel_Combinee!$G$2:$G$426)-1)/(Liste_Materiel_Combinee!$G$2:$G$426=1),160)+1)),"")</f>
        <v/>
      </c>
      <c r="C162" s="104" t="str">
        <f>IF(IFERROR(INDEX(Liste_Materiel_Combinee!$F:$F,(_xlfn.AGGREGATE(15,6,(ROW(Liste_Materiel_Combinee!$G$2:$G$426)-1)/(Liste_Materiel_Combinee!$G$2:$G$426=1),160)+1)),"")="","",ROUNDUP(IFERROR(INDEX(Liste_Materiel_Combinee!$F:$F,(_xlfn.AGGREGATE(15,6,(ROW(Liste_Materiel_Combinee!$G$2:$G$426)-1)/(Liste_Materiel_Combinee!$G$2:$G$426=1),160)+1)),""),0))</f>
        <v/>
      </c>
      <c r="D162" s="104" t="str">
        <f>IF($H$5="EFFACER","",IFERROR(INDEX(Liste_Materiel_Combinee!$E:$E,(_xlfn.AGGREGATE(15,6,(ROW(Liste_Materiel_Combinee!$G$2:$G$426)-1)/(Liste_Materiel_Combinee!$G$2:$G$426=1),160)+1)),""))</f>
        <v/>
      </c>
      <c r="E162" s="105">
        <f t="shared" si="2"/>
        <v>0</v>
      </c>
      <c r="F162" s="104" t="str">
        <f>IFERROR(INDEX(Catalogue!$K:$K,MATCH(A162,Catalogue!$A:$A,0)),"")</f>
        <v/>
      </c>
      <c r="G162" s="102"/>
      <c r="H162" s="7"/>
      <c r="I162" s="7"/>
    </row>
    <row r="163" spans="1:9" x14ac:dyDescent="0.25">
      <c r="A163" s="103" t="str">
        <f>IFERROR(INDEX(Liste_Materiel_Combinee!$B:$B,(_xlfn.AGGREGATE(15,6,(ROW(Liste_Materiel_Combinee!$G$2:$G$426)-1)/(Liste_Materiel_Combinee!$G$2:$G$426=1),161)+1)),"")</f>
        <v/>
      </c>
      <c r="B163" s="104" t="str">
        <f>IFERROR(INDEX(Liste_Materiel_Combinee!$C:$C,(_xlfn.AGGREGATE(15,6,(ROW(Liste_Materiel_Combinee!$G$2:$G$426)-1)/(Liste_Materiel_Combinee!$G$2:$G$426=1),161)+1)),"")</f>
        <v/>
      </c>
      <c r="C163" s="104" t="str">
        <f>IF(IFERROR(INDEX(Liste_Materiel_Combinee!$F:$F,(_xlfn.AGGREGATE(15,6,(ROW(Liste_Materiel_Combinee!$G$2:$G$426)-1)/(Liste_Materiel_Combinee!$G$2:$G$426=1),161)+1)),"")="","",ROUNDUP(IFERROR(INDEX(Liste_Materiel_Combinee!$F:$F,(_xlfn.AGGREGATE(15,6,(ROW(Liste_Materiel_Combinee!$G$2:$G$426)-1)/(Liste_Materiel_Combinee!$G$2:$G$426=1),161)+1)),""),0))</f>
        <v/>
      </c>
      <c r="D163" s="104" t="str">
        <f>IF($H$5="EFFACER","",IFERROR(INDEX(Liste_Materiel_Combinee!$E:$E,(_xlfn.AGGREGATE(15,6,(ROW(Liste_Materiel_Combinee!$G$2:$G$426)-1)/(Liste_Materiel_Combinee!$G$2:$G$426=1),161)+1)),""))</f>
        <v/>
      </c>
      <c r="E163" s="105">
        <f t="shared" si="2"/>
        <v>0</v>
      </c>
      <c r="F163" s="104" t="str">
        <f>IFERROR(INDEX(Catalogue!$K:$K,MATCH(A163,Catalogue!$A:$A,0)),"")</f>
        <v/>
      </c>
      <c r="G163" s="102"/>
      <c r="H163" s="7"/>
      <c r="I163" s="7"/>
    </row>
    <row r="164" spans="1:9" x14ac:dyDescent="0.25">
      <c r="A164" s="103" t="str">
        <f>IFERROR(INDEX(Liste_Materiel_Combinee!$B:$B,(_xlfn.AGGREGATE(15,6,(ROW(Liste_Materiel_Combinee!$G$2:$G$426)-1)/(Liste_Materiel_Combinee!$G$2:$G$426=1),162)+1)),"")</f>
        <v/>
      </c>
      <c r="B164" s="104" t="str">
        <f>IFERROR(INDEX(Liste_Materiel_Combinee!$C:$C,(_xlfn.AGGREGATE(15,6,(ROW(Liste_Materiel_Combinee!$G$2:$G$426)-1)/(Liste_Materiel_Combinee!$G$2:$G$426=1),162)+1)),"")</f>
        <v/>
      </c>
      <c r="C164" s="104" t="str">
        <f>IF(IFERROR(INDEX(Liste_Materiel_Combinee!$F:$F,(_xlfn.AGGREGATE(15,6,(ROW(Liste_Materiel_Combinee!$G$2:$G$426)-1)/(Liste_Materiel_Combinee!$G$2:$G$426=1),162)+1)),"")="","",ROUNDUP(IFERROR(INDEX(Liste_Materiel_Combinee!$F:$F,(_xlfn.AGGREGATE(15,6,(ROW(Liste_Materiel_Combinee!$G$2:$G$426)-1)/(Liste_Materiel_Combinee!$G$2:$G$426=1),162)+1)),""),0))</f>
        <v/>
      </c>
      <c r="D164" s="104" t="str">
        <f>IF($H$5="EFFACER","",IFERROR(INDEX(Liste_Materiel_Combinee!$E:$E,(_xlfn.AGGREGATE(15,6,(ROW(Liste_Materiel_Combinee!$G$2:$G$426)-1)/(Liste_Materiel_Combinee!$G$2:$G$426=1),162)+1)),""))</f>
        <v/>
      </c>
      <c r="E164" s="105">
        <f t="shared" si="2"/>
        <v>0</v>
      </c>
      <c r="F164" s="104" t="str">
        <f>IFERROR(INDEX(Catalogue!$K:$K,MATCH(A164,Catalogue!$A:$A,0)),"")</f>
        <v/>
      </c>
      <c r="G164" s="102"/>
      <c r="H164" s="7"/>
      <c r="I164" s="7"/>
    </row>
    <row r="165" spans="1:9" x14ac:dyDescent="0.25">
      <c r="A165" s="103" t="str">
        <f>IFERROR(INDEX(Liste_Materiel_Combinee!$B:$B,(_xlfn.AGGREGATE(15,6,(ROW(Liste_Materiel_Combinee!$G$2:$G$426)-1)/(Liste_Materiel_Combinee!$G$2:$G$426=1),163)+1)),"")</f>
        <v/>
      </c>
      <c r="B165" s="104" t="str">
        <f>IFERROR(INDEX(Liste_Materiel_Combinee!$C:$C,(_xlfn.AGGREGATE(15,6,(ROW(Liste_Materiel_Combinee!$G$2:$G$426)-1)/(Liste_Materiel_Combinee!$G$2:$G$426=1),163)+1)),"")</f>
        <v/>
      </c>
      <c r="C165" s="104" t="str">
        <f>IF(IFERROR(INDEX(Liste_Materiel_Combinee!$F:$F,(_xlfn.AGGREGATE(15,6,(ROW(Liste_Materiel_Combinee!$G$2:$G$426)-1)/(Liste_Materiel_Combinee!$G$2:$G$426=1),163)+1)),"")="","",ROUNDUP(IFERROR(INDEX(Liste_Materiel_Combinee!$F:$F,(_xlfn.AGGREGATE(15,6,(ROW(Liste_Materiel_Combinee!$G$2:$G$426)-1)/(Liste_Materiel_Combinee!$G$2:$G$426=1),163)+1)),""),0))</f>
        <v/>
      </c>
      <c r="D165" s="104" t="str">
        <f>IF($H$5="EFFACER","",IFERROR(INDEX(Liste_Materiel_Combinee!$E:$E,(_xlfn.AGGREGATE(15,6,(ROW(Liste_Materiel_Combinee!$G$2:$G$426)-1)/(Liste_Materiel_Combinee!$G$2:$G$426=1),163)+1)),""))</f>
        <v/>
      </c>
      <c r="E165" s="105">
        <f t="shared" si="2"/>
        <v>0</v>
      </c>
      <c r="F165" s="104" t="str">
        <f>IFERROR(INDEX(Catalogue!$K:$K,MATCH(A165,Catalogue!$A:$A,0)),"")</f>
        <v/>
      </c>
      <c r="G165" s="102"/>
      <c r="H165" s="7"/>
      <c r="I165" s="7"/>
    </row>
    <row r="166" spans="1:9" x14ac:dyDescent="0.25">
      <c r="A166" s="103" t="str">
        <f>IFERROR(INDEX(Liste_Materiel_Combinee!$B:$B,(_xlfn.AGGREGATE(15,6,(ROW(Liste_Materiel_Combinee!$G$2:$G$426)-1)/(Liste_Materiel_Combinee!$G$2:$G$426=1),164)+1)),"")</f>
        <v/>
      </c>
      <c r="B166" s="104" t="str">
        <f>IFERROR(INDEX(Liste_Materiel_Combinee!$C:$C,(_xlfn.AGGREGATE(15,6,(ROW(Liste_Materiel_Combinee!$G$2:$G$426)-1)/(Liste_Materiel_Combinee!$G$2:$G$426=1),164)+1)),"")</f>
        <v/>
      </c>
      <c r="C166" s="104" t="str">
        <f>IF(IFERROR(INDEX(Liste_Materiel_Combinee!$F:$F,(_xlfn.AGGREGATE(15,6,(ROW(Liste_Materiel_Combinee!$G$2:$G$426)-1)/(Liste_Materiel_Combinee!$G$2:$G$426=1),164)+1)),"")="","",ROUNDUP(IFERROR(INDEX(Liste_Materiel_Combinee!$F:$F,(_xlfn.AGGREGATE(15,6,(ROW(Liste_Materiel_Combinee!$G$2:$G$426)-1)/(Liste_Materiel_Combinee!$G$2:$G$426=1),164)+1)),""),0))</f>
        <v/>
      </c>
      <c r="D166" s="104" t="str">
        <f>IF($H$5="EFFACER","",IFERROR(INDEX(Liste_Materiel_Combinee!$E:$E,(_xlfn.AGGREGATE(15,6,(ROW(Liste_Materiel_Combinee!$G$2:$G$426)-1)/(Liste_Materiel_Combinee!$G$2:$G$426=1),164)+1)),""))</f>
        <v/>
      </c>
      <c r="E166" s="105">
        <f t="shared" si="2"/>
        <v>0</v>
      </c>
      <c r="F166" s="104" t="str">
        <f>IFERROR(INDEX(Catalogue!$K:$K,MATCH(A166,Catalogue!$A:$A,0)),"")</f>
        <v/>
      </c>
      <c r="G166" s="102"/>
      <c r="H166" s="7"/>
      <c r="I166" s="7"/>
    </row>
    <row r="167" spans="1:9" x14ac:dyDescent="0.25">
      <c r="A167" s="103" t="str">
        <f>IFERROR(INDEX(Liste_Materiel_Combinee!$B:$B,(_xlfn.AGGREGATE(15,6,(ROW(Liste_Materiel_Combinee!$G$2:$G$426)-1)/(Liste_Materiel_Combinee!$G$2:$G$426=1),165)+1)),"")</f>
        <v/>
      </c>
      <c r="B167" s="104" t="str">
        <f>IFERROR(INDEX(Liste_Materiel_Combinee!$C:$C,(_xlfn.AGGREGATE(15,6,(ROW(Liste_Materiel_Combinee!$G$2:$G$426)-1)/(Liste_Materiel_Combinee!$G$2:$G$426=1),165)+1)),"")</f>
        <v/>
      </c>
      <c r="C167" s="104" t="str">
        <f>IF(IFERROR(INDEX(Liste_Materiel_Combinee!$F:$F,(_xlfn.AGGREGATE(15,6,(ROW(Liste_Materiel_Combinee!$G$2:$G$426)-1)/(Liste_Materiel_Combinee!$G$2:$G$426=1),165)+1)),"")="","",ROUNDUP(IFERROR(INDEX(Liste_Materiel_Combinee!$F:$F,(_xlfn.AGGREGATE(15,6,(ROW(Liste_Materiel_Combinee!$G$2:$G$426)-1)/(Liste_Materiel_Combinee!$G$2:$G$426=1),165)+1)),""),0))</f>
        <v/>
      </c>
      <c r="D167" s="104" t="str">
        <f>IF($H$5="EFFACER","",IFERROR(INDEX(Liste_Materiel_Combinee!$E:$E,(_xlfn.AGGREGATE(15,6,(ROW(Liste_Materiel_Combinee!$G$2:$G$426)-1)/(Liste_Materiel_Combinee!$G$2:$G$426=1),165)+1)),""))</f>
        <v/>
      </c>
      <c r="E167" s="105">
        <f t="shared" si="2"/>
        <v>0</v>
      </c>
      <c r="F167" s="104" t="str">
        <f>IFERROR(INDEX(Catalogue!$K:$K,MATCH(A167,Catalogue!$A:$A,0)),"")</f>
        <v/>
      </c>
      <c r="G167" s="102"/>
      <c r="H167" s="7"/>
      <c r="I167" s="7"/>
    </row>
    <row r="168" spans="1:9" x14ac:dyDescent="0.25">
      <c r="A168" s="103" t="str">
        <f>IFERROR(INDEX(Liste_Materiel_Combinee!$B:$B,(_xlfn.AGGREGATE(15,6,(ROW(Liste_Materiel_Combinee!$G$2:$G$426)-1)/(Liste_Materiel_Combinee!$G$2:$G$426=1),166)+1)),"")</f>
        <v/>
      </c>
      <c r="B168" s="104" t="str">
        <f>IFERROR(INDEX(Liste_Materiel_Combinee!$C:$C,(_xlfn.AGGREGATE(15,6,(ROW(Liste_Materiel_Combinee!$G$2:$G$426)-1)/(Liste_Materiel_Combinee!$G$2:$G$426=1),166)+1)),"")</f>
        <v/>
      </c>
      <c r="C168" s="104" t="str">
        <f>IF(IFERROR(INDEX(Liste_Materiel_Combinee!$F:$F,(_xlfn.AGGREGATE(15,6,(ROW(Liste_Materiel_Combinee!$G$2:$G$426)-1)/(Liste_Materiel_Combinee!$G$2:$G$426=1),166)+1)),"")="","",ROUNDUP(IFERROR(INDEX(Liste_Materiel_Combinee!$F:$F,(_xlfn.AGGREGATE(15,6,(ROW(Liste_Materiel_Combinee!$G$2:$G$426)-1)/(Liste_Materiel_Combinee!$G$2:$G$426=1),166)+1)),""),0))</f>
        <v/>
      </c>
      <c r="D168" s="104" t="str">
        <f>IF($H$5="EFFACER","",IFERROR(INDEX(Liste_Materiel_Combinee!$E:$E,(_xlfn.AGGREGATE(15,6,(ROW(Liste_Materiel_Combinee!$G$2:$G$426)-1)/(Liste_Materiel_Combinee!$G$2:$G$426=1),166)+1)),""))</f>
        <v/>
      </c>
      <c r="E168" s="105">
        <f t="shared" si="2"/>
        <v>0</v>
      </c>
      <c r="F168" s="104" t="str">
        <f>IFERROR(INDEX(Catalogue!$K:$K,MATCH(A168,Catalogue!$A:$A,0)),"")</f>
        <v/>
      </c>
      <c r="G168" s="102"/>
      <c r="H168" s="7"/>
      <c r="I168" s="7"/>
    </row>
    <row r="169" spans="1:9" x14ac:dyDescent="0.25">
      <c r="A169" s="103" t="str">
        <f>IFERROR(INDEX(Liste_Materiel_Combinee!$B:$B,(_xlfn.AGGREGATE(15,6,(ROW(Liste_Materiel_Combinee!$G$2:$G$426)-1)/(Liste_Materiel_Combinee!$G$2:$G$426=1),167)+1)),"")</f>
        <v/>
      </c>
      <c r="B169" s="104" t="str">
        <f>IFERROR(INDEX(Liste_Materiel_Combinee!$C:$C,(_xlfn.AGGREGATE(15,6,(ROW(Liste_Materiel_Combinee!$G$2:$G$426)-1)/(Liste_Materiel_Combinee!$G$2:$G$426=1),167)+1)),"")</f>
        <v/>
      </c>
      <c r="C169" s="104" t="str">
        <f>IF(IFERROR(INDEX(Liste_Materiel_Combinee!$F:$F,(_xlfn.AGGREGATE(15,6,(ROW(Liste_Materiel_Combinee!$G$2:$G$426)-1)/(Liste_Materiel_Combinee!$G$2:$G$426=1),167)+1)),"")="","",ROUNDUP(IFERROR(INDEX(Liste_Materiel_Combinee!$F:$F,(_xlfn.AGGREGATE(15,6,(ROW(Liste_Materiel_Combinee!$G$2:$G$426)-1)/(Liste_Materiel_Combinee!$G$2:$G$426=1),167)+1)),""),0))</f>
        <v/>
      </c>
      <c r="D169" s="104" t="str">
        <f>IF($H$5="EFFACER","",IFERROR(INDEX(Liste_Materiel_Combinee!$E:$E,(_xlfn.AGGREGATE(15,6,(ROW(Liste_Materiel_Combinee!$G$2:$G$426)-1)/(Liste_Materiel_Combinee!$G$2:$G$426=1),167)+1)),""))</f>
        <v/>
      </c>
      <c r="E169" s="105">
        <f t="shared" si="2"/>
        <v>0</v>
      </c>
      <c r="F169" s="104" t="str">
        <f>IFERROR(INDEX(Catalogue!$K:$K,MATCH(A169,Catalogue!$A:$A,0)),"")</f>
        <v/>
      </c>
      <c r="G169" s="102"/>
      <c r="H169" s="7"/>
      <c r="I169" s="7"/>
    </row>
    <row r="170" spans="1:9" x14ac:dyDescent="0.25">
      <c r="A170" s="103" t="str">
        <f>IFERROR(INDEX(Liste_Materiel_Combinee!$B:$B,(_xlfn.AGGREGATE(15,6,(ROW(Liste_Materiel_Combinee!$G$2:$G$426)-1)/(Liste_Materiel_Combinee!$G$2:$G$426=1),168)+1)),"")</f>
        <v/>
      </c>
      <c r="B170" s="104" t="str">
        <f>IFERROR(INDEX(Liste_Materiel_Combinee!$C:$C,(_xlfn.AGGREGATE(15,6,(ROW(Liste_Materiel_Combinee!$G$2:$G$426)-1)/(Liste_Materiel_Combinee!$G$2:$G$426=1),168)+1)),"")</f>
        <v/>
      </c>
      <c r="C170" s="104" t="str">
        <f>IF(IFERROR(INDEX(Liste_Materiel_Combinee!$F:$F,(_xlfn.AGGREGATE(15,6,(ROW(Liste_Materiel_Combinee!$G$2:$G$426)-1)/(Liste_Materiel_Combinee!$G$2:$G$426=1),168)+1)),"")="","",ROUNDUP(IFERROR(INDEX(Liste_Materiel_Combinee!$F:$F,(_xlfn.AGGREGATE(15,6,(ROW(Liste_Materiel_Combinee!$G$2:$G$426)-1)/(Liste_Materiel_Combinee!$G$2:$G$426=1),168)+1)),""),0))</f>
        <v/>
      </c>
      <c r="D170" s="104" t="str">
        <f>IF($H$5="EFFACER","",IFERROR(INDEX(Liste_Materiel_Combinee!$E:$E,(_xlfn.AGGREGATE(15,6,(ROW(Liste_Materiel_Combinee!$G$2:$G$426)-1)/(Liste_Materiel_Combinee!$G$2:$G$426=1),168)+1)),""))</f>
        <v/>
      </c>
      <c r="E170" s="105">
        <f t="shared" si="2"/>
        <v>0</v>
      </c>
      <c r="F170" s="104" t="str">
        <f>IFERROR(INDEX(Catalogue!$K:$K,MATCH(A170,Catalogue!$A:$A,0)),"")</f>
        <v/>
      </c>
      <c r="G170" s="102"/>
      <c r="H170" s="7"/>
      <c r="I170" s="7"/>
    </row>
    <row r="171" spans="1:9" x14ac:dyDescent="0.25">
      <c r="A171" s="103" t="str">
        <f>IFERROR(INDEX(Liste_Materiel_Combinee!$B:$B,(_xlfn.AGGREGATE(15,6,(ROW(Liste_Materiel_Combinee!$G$2:$G$426)-1)/(Liste_Materiel_Combinee!$G$2:$G$426=1),169)+1)),"")</f>
        <v/>
      </c>
      <c r="B171" s="104" t="str">
        <f>IFERROR(INDEX(Liste_Materiel_Combinee!$C:$C,(_xlfn.AGGREGATE(15,6,(ROW(Liste_Materiel_Combinee!$G$2:$G$426)-1)/(Liste_Materiel_Combinee!$G$2:$G$426=1),169)+1)),"")</f>
        <v/>
      </c>
      <c r="C171" s="104" t="str">
        <f>IF(IFERROR(INDEX(Liste_Materiel_Combinee!$F:$F,(_xlfn.AGGREGATE(15,6,(ROW(Liste_Materiel_Combinee!$G$2:$G$426)-1)/(Liste_Materiel_Combinee!$G$2:$G$426=1),169)+1)),"")="","",ROUNDUP(IFERROR(INDEX(Liste_Materiel_Combinee!$F:$F,(_xlfn.AGGREGATE(15,6,(ROW(Liste_Materiel_Combinee!$G$2:$G$426)-1)/(Liste_Materiel_Combinee!$G$2:$G$426=1),169)+1)),""),0))</f>
        <v/>
      </c>
      <c r="D171" s="104" t="str">
        <f>IF($H$5="EFFACER","",IFERROR(INDEX(Liste_Materiel_Combinee!$E:$E,(_xlfn.AGGREGATE(15,6,(ROW(Liste_Materiel_Combinee!$G$2:$G$426)-1)/(Liste_Materiel_Combinee!$G$2:$G$426=1),169)+1)),""))</f>
        <v/>
      </c>
      <c r="E171" s="105">
        <f t="shared" si="2"/>
        <v>0</v>
      </c>
      <c r="F171" s="104" t="str">
        <f>IFERROR(INDEX(Catalogue!$K:$K,MATCH(A171,Catalogue!$A:$A,0)),"")</f>
        <v/>
      </c>
      <c r="G171" s="102"/>
      <c r="H171" s="7"/>
      <c r="I171" s="7"/>
    </row>
    <row r="172" spans="1:9" x14ac:dyDescent="0.25">
      <c r="A172" s="103" t="str">
        <f>IFERROR(INDEX(Liste_Materiel_Combinee!$B:$B,(_xlfn.AGGREGATE(15,6,(ROW(Liste_Materiel_Combinee!$G$2:$G$426)-1)/(Liste_Materiel_Combinee!$G$2:$G$426=1),170)+1)),"")</f>
        <v/>
      </c>
      <c r="B172" s="104" t="str">
        <f>IFERROR(INDEX(Liste_Materiel_Combinee!$C:$C,(_xlfn.AGGREGATE(15,6,(ROW(Liste_Materiel_Combinee!$G$2:$G$426)-1)/(Liste_Materiel_Combinee!$G$2:$G$426=1),170)+1)),"")</f>
        <v/>
      </c>
      <c r="C172" s="104" t="str">
        <f>IF(IFERROR(INDEX(Liste_Materiel_Combinee!$F:$F,(_xlfn.AGGREGATE(15,6,(ROW(Liste_Materiel_Combinee!$G$2:$G$426)-1)/(Liste_Materiel_Combinee!$G$2:$G$426=1),170)+1)),"")="","",ROUNDUP(IFERROR(INDEX(Liste_Materiel_Combinee!$F:$F,(_xlfn.AGGREGATE(15,6,(ROW(Liste_Materiel_Combinee!$G$2:$G$426)-1)/(Liste_Materiel_Combinee!$G$2:$G$426=1),170)+1)),""),0))</f>
        <v/>
      </c>
      <c r="D172" s="104" t="str">
        <f>IF($H$5="EFFACER","",IFERROR(INDEX(Liste_Materiel_Combinee!$E:$E,(_xlfn.AGGREGATE(15,6,(ROW(Liste_Materiel_Combinee!$G$2:$G$426)-1)/(Liste_Materiel_Combinee!$G$2:$G$426=1),170)+1)),""))</f>
        <v/>
      </c>
      <c r="E172" s="105">
        <f t="shared" si="2"/>
        <v>0</v>
      </c>
      <c r="F172" s="104" t="str">
        <f>IFERROR(INDEX(Catalogue!$K:$K,MATCH(A172,Catalogue!$A:$A,0)),"")</f>
        <v/>
      </c>
      <c r="G172" s="102"/>
      <c r="H172" s="7"/>
      <c r="I172" s="7"/>
    </row>
    <row r="173" spans="1:9" x14ac:dyDescent="0.25">
      <c r="A173" s="103" t="str">
        <f>IFERROR(INDEX(Liste_Materiel_Combinee!$B:$B,(_xlfn.AGGREGATE(15,6,(ROW(Liste_Materiel_Combinee!$G$2:$G$426)-1)/(Liste_Materiel_Combinee!$G$2:$G$426=1),171)+1)),"")</f>
        <v/>
      </c>
      <c r="B173" s="104" t="str">
        <f>IFERROR(INDEX(Liste_Materiel_Combinee!$C:$C,(_xlfn.AGGREGATE(15,6,(ROW(Liste_Materiel_Combinee!$G$2:$G$426)-1)/(Liste_Materiel_Combinee!$G$2:$G$426=1),171)+1)),"")</f>
        <v/>
      </c>
      <c r="C173" s="104" t="str">
        <f>IF(IFERROR(INDEX(Liste_Materiel_Combinee!$F:$F,(_xlfn.AGGREGATE(15,6,(ROW(Liste_Materiel_Combinee!$G$2:$G$426)-1)/(Liste_Materiel_Combinee!$G$2:$G$426=1),171)+1)),"")="","",ROUNDUP(IFERROR(INDEX(Liste_Materiel_Combinee!$F:$F,(_xlfn.AGGREGATE(15,6,(ROW(Liste_Materiel_Combinee!$G$2:$G$426)-1)/(Liste_Materiel_Combinee!$G$2:$G$426=1),171)+1)),""),0))</f>
        <v/>
      </c>
      <c r="D173" s="104" t="str">
        <f>IF($H$5="EFFACER","",IFERROR(INDEX(Liste_Materiel_Combinee!$E:$E,(_xlfn.AGGREGATE(15,6,(ROW(Liste_Materiel_Combinee!$G$2:$G$426)-1)/(Liste_Materiel_Combinee!$G$2:$G$426=1),171)+1)),""))</f>
        <v/>
      </c>
      <c r="E173" s="105">
        <f t="shared" si="2"/>
        <v>0</v>
      </c>
      <c r="F173" s="104" t="str">
        <f>IFERROR(INDEX(Catalogue!$K:$K,MATCH(A173,Catalogue!$A:$A,0)),"")</f>
        <v/>
      </c>
      <c r="G173" s="102"/>
      <c r="H173" s="7"/>
      <c r="I173" s="7"/>
    </row>
    <row r="174" spans="1:9" x14ac:dyDescent="0.25">
      <c r="A174" s="103" t="str">
        <f>IFERROR(INDEX(Liste_Materiel_Combinee!$B:$B,(_xlfn.AGGREGATE(15,6,(ROW(Liste_Materiel_Combinee!$G$2:$G$426)-1)/(Liste_Materiel_Combinee!$G$2:$G$426=1),172)+1)),"")</f>
        <v/>
      </c>
      <c r="B174" s="104" t="str">
        <f>IFERROR(INDEX(Liste_Materiel_Combinee!$C:$C,(_xlfn.AGGREGATE(15,6,(ROW(Liste_Materiel_Combinee!$G$2:$G$426)-1)/(Liste_Materiel_Combinee!$G$2:$G$426=1),172)+1)),"")</f>
        <v/>
      </c>
      <c r="C174" s="104" t="str">
        <f>IF(IFERROR(INDEX(Liste_Materiel_Combinee!$F:$F,(_xlfn.AGGREGATE(15,6,(ROW(Liste_Materiel_Combinee!$G$2:$G$426)-1)/(Liste_Materiel_Combinee!$G$2:$G$426=1),172)+1)),"")="","",ROUNDUP(IFERROR(INDEX(Liste_Materiel_Combinee!$F:$F,(_xlfn.AGGREGATE(15,6,(ROW(Liste_Materiel_Combinee!$G$2:$G$426)-1)/(Liste_Materiel_Combinee!$G$2:$G$426=1),172)+1)),""),0))</f>
        <v/>
      </c>
      <c r="D174" s="104" t="str">
        <f>IF($H$5="EFFACER","",IFERROR(INDEX(Liste_Materiel_Combinee!$E:$E,(_xlfn.AGGREGATE(15,6,(ROW(Liste_Materiel_Combinee!$G$2:$G$426)-1)/(Liste_Materiel_Combinee!$G$2:$G$426=1),172)+1)),""))</f>
        <v/>
      </c>
      <c r="E174" s="105">
        <f t="shared" si="2"/>
        <v>0</v>
      </c>
      <c r="F174" s="104" t="str">
        <f>IFERROR(INDEX(Catalogue!$K:$K,MATCH(A174,Catalogue!$A:$A,0)),"")</f>
        <v/>
      </c>
      <c r="G174" s="102"/>
      <c r="H174" s="7"/>
      <c r="I174" s="7"/>
    </row>
    <row r="175" spans="1:9" x14ac:dyDescent="0.25">
      <c r="A175" s="103" t="str">
        <f>IFERROR(INDEX(Liste_Materiel_Combinee!$B:$B,(_xlfn.AGGREGATE(15,6,(ROW(Liste_Materiel_Combinee!$G$2:$G$426)-1)/(Liste_Materiel_Combinee!$G$2:$G$426=1),173)+1)),"")</f>
        <v/>
      </c>
      <c r="B175" s="104" t="str">
        <f>IFERROR(INDEX(Liste_Materiel_Combinee!$C:$C,(_xlfn.AGGREGATE(15,6,(ROW(Liste_Materiel_Combinee!$G$2:$G$426)-1)/(Liste_Materiel_Combinee!$G$2:$G$426=1),173)+1)),"")</f>
        <v/>
      </c>
      <c r="C175" s="104" t="str">
        <f>IF(IFERROR(INDEX(Liste_Materiel_Combinee!$F:$F,(_xlfn.AGGREGATE(15,6,(ROW(Liste_Materiel_Combinee!$G$2:$G$426)-1)/(Liste_Materiel_Combinee!$G$2:$G$426=1),173)+1)),"")="","",ROUNDUP(IFERROR(INDEX(Liste_Materiel_Combinee!$F:$F,(_xlfn.AGGREGATE(15,6,(ROW(Liste_Materiel_Combinee!$G$2:$G$426)-1)/(Liste_Materiel_Combinee!$G$2:$G$426=1),173)+1)),""),0))</f>
        <v/>
      </c>
      <c r="D175" s="104" t="str">
        <f>IF($H$5="EFFACER","",IFERROR(INDEX(Liste_Materiel_Combinee!$E:$E,(_xlfn.AGGREGATE(15,6,(ROW(Liste_Materiel_Combinee!$G$2:$G$426)-1)/(Liste_Materiel_Combinee!$G$2:$G$426=1),173)+1)),""))</f>
        <v/>
      </c>
      <c r="E175" s="105">
        <f t="shared" si="2"/>
        <v>0</v>
      </c>
      <c r="F175" s="104" t="str">
        <f>IFERROR(INDEX(Catalogue!$K:$K,MATCH(A175,Catalogue!$A:$A,0)),"")</f>
        <v/>
      </c>
      <c r="G175" s="102"/>
      <c r="H175" s="7"/>
      <c r="I175" s="7"/>
    </row>
    <row r="176" spans="1:9" x14ac:dyDescent="0.25">
      <c r="A176" s="103" t="str">
        <f>IFERROR(INDEX(Liste_Materiel_Combinee!$B:$B,(_xlfn.AGGREGATE(15,6,(ROW(Liste_Materiel_Combinee!$G$2:$G$426)-1)/(Liste_Materiel_Combinee!$G$2:$G$426=1),174)+1)),"")</f>
        <v/>
      </c>
      <c r="B176" s="104" t="str">
        <f>IFERROR(INDEX(Liste_Materiel_Combinee!$C:$C,(_xlfn.AGGREGATE(15,6,(ROW(Liste_Materiel_Combinee!$G$2:$G$426)-1)/(Liste_Materiel_Combinee!$G$2:$G$426=1),174)+1)),"")</f>
        <v/>
      </c>
      <c r="C176" s="104" t="str">
        <f>IF(IFERROR(INDEX(Liste_Materiel_Combinee!$F:$F,(_xlfn.AGGREGATE(15,6,(ROW(Liste_Materiel_Combinee!$G$2:$G$426)-1)/(Liste_Materiel_Combinee!$G$2:$G$426=1),174)+1)),"")="","",ROUNDUP(IFERROR(INDEX(Liste_Materiel_Combinee!$F:$F,(_xlfn.AGGREGATE(15,6,(ROW(Liste_Materiel_Combinee!$G$2:$G$426)-1)/(Liste_Materiel_Combinee!$G$2:$G$426=1),174)+1)),""),0))</f>
        <v/>
      </c>
      <c r="D176" s="104" t="str">
        <f>IF($H$5="EFFACER","",IFERROR(INDEX(Liste_Materiel_Combinee!$E:$E,(_xlfn.AGGREGATE(15,6,(ROW(Liste_Materiel_Combinee!$G$2:$G$426)-1)/(Liste_Materiel_Combinee!$G$2:$G$426=1),174)+1)),""))</f>
        <v/>
      </c>
      <c r="E176" s="105">
        <f t="shared" si="2"/>
        <v>0</v>
      </c>
      <c r="F176" s="104" t="str">
        <f>IFERROR(INDEX(Catalogue!$K:$K,MATCH(A176,Catalogue!$A:$A,0)),"")</f>
        <v/>
      </c>
      <c r="G176" s="102"/>
      <c r="H176" s="7"/>
      <c r="I176" s="7"/>
    </row>
    <row r="177" spans="1:9" x14ac:dyDescent="0.25">
      <c r="A177" s="103" t="str">
        <f>IFERROR(INDEX(Liste_Materiel_Combinee!$B:$B,(_xlfn.AGGREGATE(15,6,(ROW(Liste_Materiel_Combinee!$G$2:$G$426)-1)/(Liste_Materiel_Combinee!$G$2:$G$426=1),175)+1)),"")</f>
        <v/>
      </c>
      <c r="B177" s="104" t="str">
        <f>IFERROR(INDEX(Liste_Materiel_Combinee!$C:$C,(_xlfn.AGGREGATE(15,6,(ROW(Liste_Materiel_Combinee!$G$2:$G$426)-1)/(Liste_Materiel_Combinee!$G$2:$G$426=1),175)+1)),"")</f>
        <v/>
      </c>
      <c r="C177" s="104" t="str">
        <f>IF(IFERROR(INDEX(Liste_Materiel_Combinee!$F:$F,(_xlfn.AGGREGATE(15,6,(ROW(Liste_Materiel_Combinee!$G$2:$G$426)-1)/(Liste_Materiel_Combinee!$G$2:$G$426=1),175)+1)),"")="","",ROUNDUP(IFERROR(INDEX(Liste_Materiel_Combinee!$F:$F,(_xlfn.AGGREGATE(15,6,(ROW(Liste_Materiel_Combinee!$G$2:$G$426)-1)/(Liste_Materiel_Combinee!$G$2:$G$426=1),175)+1)),""),0))</f>
        <v/>
      </c>
      <c r="D177" s="104" t="str">
        <f>IF($H$5="EFFACER","",IFERROR(INDEX(Liste_Materiel_Combinee!$E:$E,(_xlfn.AGGREGATE(15,6,(ROW(Liste_Materiel_Combinee!$G$2:$G$426)-1)/(Liste_Materiel_Combinee!$G$2:$G$426=1),175)+1)),""))</f>
        <v/>
      </c>
      <c r="E177" s="105">
        <f t="shared" si="2"/>
        <v>0</v>
      </c>
      <c r="F177" s="104" t="str">
        <f>IFERROR(INDEX(Catalogue!$K:$K,MATCH(A177,Catalogue!$A:$A,0)),"")</f>
        <v/>
      </c>
      <c r="G177" s="102"/>
      <c r="H177" s="7"/>
      <c r="I177" s="7"/>
    </row>
    <row r="178" spans="1:9" x14ac:dyDescent="0.25">
      <c r="A178" s="103" t="str">
        <f>IFERROR(INDEX(Liste_Materiel_Combinee!$B:$B,(_xlfn.AGGREGATE(15,6,(ROW(Liste_Materiel_Combinee!$G$2:$G$426)-1)/(Liste_Materiel_Combinee!$G$2:$G$426=1),176)+1)),"")</f>
        <v/>
      </c>
      <c r="B178" s="104" t="str">
        <f>IFERROR(INDEX(Liste_Materiel_Combinee!$C:$C,(_xlfn.AGGREGATE(15,6,(ROW(Liste_Materiel_Combinee!$G$2:$G$426)-1)/(Liste_Materiel_Combinee!$G$2:$G$426=1),176)+1)),"")</f>
        <v/>
      </c>
      <c r="C178" s="104" t="str">
        <f>IF(IFERROR(INDEX(Liste_Materiel_Combinee!$F:$F,(_xlfn.AGGREGATE(15,6,(ROW(Liste_Materiel_Combinee!$G$2:$G$426)-1)/(Liste_Materiel_Combinee!$G$2:$G$426=1),176)+1)),"")="","",ROUNDUP(IFERROR(INDEX(Liste_Materiel_Combinee!$F:$F,(_xlfn.AGGREGATE(15,6,(ROW(Liste_Materiel_Combinee!$G$2:$G$426)-1)/(Liste_Materiel_Combinee!$G$2:$G$426=1),176)+1)),""),0))</f>
        <v/>
      </c>
      <c r="D178" s="104" t="str">
        <f>IF($H$5="EFFACER","",IFERROR(INDEX(Liste_Materiel_Combinee!$E:$E,(_xlfn.AGGREGATE(15,6,(ROW(Liste_Materiel_Combinee!$G$2:$G$426)-1)/(Liste_Materiel_Combinee!$G$2:$G$426=1),176)+1)),""))</f>
        <v/>
      </c>
      <c r="E178" s="105">
        <f t="shared" si="2"/>
        <v>0</v>
      </c>
      <c r="F178" s="104" t="str">
        <f>IFERROR(INDEX(Catalogue!$K:$K,MATCH(A178,Catalogue!$A:$A,0)),"")</f>
        <v/>
      </c>
      <c r="G178" s="102"/>
      <c r="H178" s="7"/>
      <c r="I178" s="7"/>
    </row>
    <row r="179" spans="1:9" x14ac:dyDescent="0.25">
      <c r="A179" s="103" t="str">
        <f>IFERROR(INDEX(Liste_Materiel_Combinee!$B:$B,(_xlfn.AGGREGATE(15,6,(ROW(Liste_Materiel_Combinee!$G$2:$G$426)-1)/(Liste_Materiel_Combinee!$G$2:$G$426=1),177)+1)),"")</f>
        <v/>
      </c>
      <c r="B179" s="104" t="str">
        <f>IFERROR(INDEX(Liste_Materiel_Combinee!$C:$C,(_xlfn.AGGREGATE(15,6,(ROW(Liste_Materiel_Combinee!$G$2:$G$426)-1)/(Liste_Materiel_Combinee!$G$2:$G$426=1),177)+1)),"")</f>
        <v/>
      </c>
      <c r="C179" s="104" t="str">
        <f>IF(IFERROR(INDEX(Liste_Materiel_Combinee!$F:$F,(_xlfn.AGGREGATE(15,6,(ROW(Liste_Materiel_Combinee!$G$2:$G$426)-1)/(Liste_Materiel_Combinee!$G$2:$G$426=1),177)+1)),"")="","",ROUNDUP(IFERROR(INDEX(Liste_Materiel_Combinee!$F:$F,(_xlfn.AGGREGATE(15,6,(ROW(Liste_Materiel_Combinee!$G$2:$G$426)-1)/(Liste_Materiel_Combinee!$G$2:$G$426=1),177)+1)),""),0))</f>
        <v/>
      </c>
      <c r="D179" s="104" t="str">
        <f>IF($H$5="EFFACER","",IFERROR(INDEX(Liste_Materiel_Combinee!$E:$E,(_xlfn.AGGREGATE(15,6,(ROW(Liste_Materiel_Combinee!$G$2:$G$426)-1)/(Liste_Materiel_Combinee!$G$2:$G$426=1),177)+1)),""))</f>
        <v/>
      </c>
      <c r="E179" s="105">
        <f t="shared" si="2"/>
        <v>0</v>
      </c>
      <c r="F179" s="104" t="str">
        <f>IFERROR(INDEX(Catalogue!$K:$K,MATCH(A179,Catalogue!$A:$A,0)),"")</f>
        <v/>
      </c>
      <c r="G179" s="102"/>
      <c r="H179" s="7"/>
      <c r="I179" s="7"/>
    </row>
    <row r="180" spans="1:9" x14ac:dyDescent="0.25">
      <c r="A180" s="103" t="str">
        <f>IFERROR(INDEX(Liste_Materiel_Combinee!$B:$B,(_xlfn.AGGREGATE(15,6,(ROW(Liste_Materiel_Combinee!$G$2:$G$426)-1)/(Liste_Materiel_Combinee!$G$2:$G$426=1),178)+1)),"")</f>
        <v/>
      </c>
      <c r="B180" s="104" t="str">
        <f>IFERROR(INDEX(Liste_Materiel_Combinee!$C:$C,(_xlfn.AGGREGATE(15,6,(ROW(Liste_Materiel_Combinee!$G$2:$G$426)-1)/(Liste_Materiel_Combinee!$G$2:$G$426=1),178)+1)),"")</f>
        <v/>
      </c>
      <c r="C180" s="104" t="str">
        <f>IF(IFERROR(INDEX(Liste_Materiel_Combinee!$F:$F,(_xlfn.AGGREGATE(15,6,(ROW(Liste_Materiel_Combinee!$G$2:$G$426)-1)/(Liste_Materiel_Combinee!$G$2:$G$426=1),178)+1)),"")="","",ROUNDUP(IFERROR(INDEX(Liste_Materiel_Combinee!$F:$F,(_xlfn.AGGREGATE(15,6,(ROW(Liste_Materiel_Combinee!$G$2:$G$426)-1)/(Liste_Materiel_Combinee!$G$2:$G$426=1),178)+1)),""),0))</f>
        <v/>
      </c>
      <c r="D180" s="104" t="str">
        <f>IF($H$5="EFFACER","",IFERROR(INDEX(Liste_Materiel_Combinee!$E:$E,(_xlfn.AGGREGATE(15,6,(ROW(Liste_Materiel_Combinee!$G$2:$G$426)-1)/(Liste_Materiel_Combinee!$G$2:$G$426=1),178)+1)),""))</f>
        <v/>
      </c>
      <c r="E180" s="105">
        <f t="shared" si="2"/>
        <v>0</v>
      </c>
      <c r="F180" s="104" t="str">
        <f>IFERROR(INDEX(Catalogue!$K:$K,MATCH(A180,Catalogue!$A:$A,0)),"")</f>
        <v/>
      </c>
      <c r="G180" s="102"/>
      <c r="H180" s="7"/>
      <c r="I180" s="7"/>
    </row>
    <row r="181" spans="1:9" x14ac:dyDescent="0.25">
      <c r="A181" s="103" t="str">
        <f>IFERROR(INDEX(Liste_Materiel_Combinee!$B:$B,(_xlfn.AGGREGATE(15,6,(ROW(Liste_Materiel_Combinee!$G$2:$G$426)-1)/(Liste_Materiel_Combinee!$G$2:$G$426=1),179)+1)),"")</f>
        <v/>
      </c>
      <c r="B181" s="104" t="str">
        <f>IFERROR(INDEX(Liste_Materiel_Combinee!$C:$C,(_xlfn.AGGREGATE(15,6,(ROW(Liste_Materiel_Combinee!$G$2:$G$426)-1)/(Liste_Materiel_Combinee!$G$2:$G$426=1),179)+1)),"")</f>
        <v/>
      </c>
      <c r="C181" s="104" t="str">
        <f>IF(IFERROR(INDEX(Liste_Materiel_Combinee!$F:$F,(_xlfn.AGGREGATE(15,6,(ROW(Liste_Materiel_Combinee!$G$2:$G$426)-1)/(Liste_Materiel_Combinee!$G$2:$G$426=1),179)+1)),"")="","",ROUNDUP(IFERROR(INDEX(Liste_Materiel_Combinee!$F:$F,(_xlfn.AGGREGATE(15,6,(ROW(Liste_Materiel_Combinee!$G$2:$G$426)-1)/(Liste_Materiel_Combinee!$G$2:$G$426=1),179)+1)),""),0))</f>
        <v/>
      </c>
      <c r="D181" s="104" t="str">
        <f>IF($H$5="EFFACER","",IFERROR(INDEX(Liste_Materiel_Combinee!$E:$E,(_xlfn.AGGREGATE(15,6,(ROW(Liste_Materiel_Combinee!$G$2:$G$426)-1)/(Liste_Materiel_Combinee!$G$2:$G$426=1),179)+1)),""))</f>
        <v/>
      </c>
      <c r="E181" s="105">
        <f t="shared" si="2"/>
        <v>0</v>
      </c>
      <c r="F181" s="104" t="str">
        <f>IFERROR(INDEX(Catalogue!$K:$K,MATCH(A181,Catalogue!$A:$A,0)),"")</f>
        <v/>
      </c>
      <c r="G181" s="102"/>
      <c r="H181" s="7"/>
      <c r="I181" s="7"/>
    </row>
    <row r="182" spans="1:9" x14ac:dyDescent="0.25">
      <c r="A182" s="103" t="str">
        <f>IFERROR(INDEX(Liste_Materiel_Combinee!$B:$B,(_xlfn.AGGREGATE(15,6,(ROW(Liste_Materiel_Combinee!$G$2:$G$426)-1)/(Liste_Materiel_Combinee!$G$2:$G$426=1),180)+1)),"")</f>
        <v/>
      </c>
      <c r="B182" s="104" t="str">
        <f>IFERROR(INDEX(Liste_Materiel_Combinee!$C:$C,(_xlfn.AGGREGATE(15,6,(ROW(Liste_Materiel_Combinee!$G$2:$G$426)-1)/(Liste_Materiel_Combinee!$G$2:$G$426=1),180)+1)),"")</f>
        <v/>
      </c>
      <c r="C182" s="104" t="str">
        <f>IF(IFERROR(INDEX(Liste_Materiel_Combinee!$F:$F,(_xlfn.AGGREGATE(15,6,(ROW(Liste_Materiel_Combinee!$G$2:$G$426)-1)/(Liste_Materiel_Combinee!$G$2:$G$426=1),180)+1)),"")="","",ROUNDUP(IFERROR(INDEX(Liste_Materiel_Combinee!$F:$F,(_xlfn.AGGREGATE(15,6,(ROW(Liste_Materiel_Combinee!$G$2:$G$426)-1)/(Liste_Materiel_Combinee!$G$2:$G$426=1),180)+1)),""),0))</f>
        <v/>
      </c>
      <c r="D182" s="104" t="str">
        <f>IF($H$5="EFFACER","",IFERROR(INDEX(Liste_Materiel_Combinee!$E:$E,(_xlfn.AGGREGATE(15,6,(ROW(Liste_Materiel_Combinee!$G$2:$G$426)-1)/(Liste_Materiel_Combinee!$G$2:$G$426=1),180)+1)),""))</f>
        <v/>
      </c>
      <c r="E182" s="105">
        <f t="shared" si="2"/>
        <v>0</v>
      </c>
      <c r="F182" s="104" t="str">
        <f>IFERROR(INDEX(Catalogue!$K:$K,MATCH(A182,Catalogue!$A:$A,0)),"")</f>
        <v/>
      </c>
      <c r="G182" s="102"/>
      <c r="H182" s="7"/>
      <c r="I182" s="7"/>
    </row>
    <row r="183" spans="1:9" x14ac:dyDescent="0.25">
      <c r="A183" s="103" t="str">
        <f>IFERROR(INDEX(Liste_Materiel_Combinee!$B:$B,(_xlfn.AGGREGATE(15,6,(ROW(Liste_Materiel_Combinee!$G$2:$G$426)-1)/(Liste_Materiel_Combinee!$G$2:$G$426=1),181)+1)),"")</f>
        <v/>
      </c>
      <c r="B183" s="104" t="str">
        <f>IFERROR(INDEX(Liste_Materiel_Combinee!$C:$C,(_xlfn.AGGREGATE(15,6,(ROW(Liste_Materiel_Combinee!$G$2:$G$426)-1)/(Liste_Materiel_Combinee!$G$2:$G$426=1),181)+1)),"")</f>
        <v/>
      </c>
      <c r="C183" s="104" t="str">
        <f>IF(IFERROR(INDEX(Liste_Materiel_Combinee!$F:$F,(_xlfn.AGGREGATE(15,6,(ROW(Liste_Materiel_Combinee!$G$2:$G$426)-1)/(Liste_Materiel_Combinee!$G$2:$G$426=1),181)+1)),"")="","",ROUNDUP(IFERROR(INDEX(Liste_Materiel_Combinee!$F:$F,(_xlfn.AGGREGATE(15,6,(ROW(Liste_Materiel_Combinee!$G$2:$G$426)-1)/(Liste_Materiel_Combinee!$G$2:$G$426=1),181)+1)),""),0))</f>
        <v/>
      </c>
      <c r="D183" s="104" t="str">
        <f>IF($H$5="EFFACER","",IFERROR(INDEX(Liste_Materiel_Combinee!$E:$E,(_xlfn.AGGREGATE(15,6,(ROW(Liste_Materiel_Combinee!$G$2:$G$426)-1)/(Liste_Materiel_Combinee!$G$2:$G$426=1),181)+1)),""))</f>
        <v/>
      </c>
      <c r="E183" s="105">
        <f t="shared" si="2"/>
        <v>0</v>
      </c>
      <c r="F183" s="104" t="str">
        <f>IFERROR(INDEX(Catalogue!$K:$K,MATCH(A183,Catalogue!$A:$A,0)),"")</f>
        <v/>
      </c>
      <c r="G183" s="102"/>
      <c r="H183" s="7"/>
      <c r="I183" s="7"/>
    </row>
    <row r="184" spans="1:9" x14ac:dyDescent="0.25">
      <c r="A184" s="103" t="str">
        <f>IFERROR(INDEX(Liste_Materiel_Combinee!$B:$B,(_xlfn.AGGREGATE(15,6,(ROW(Liste_Materiel_Combinee!$G$2:$G$426)-1)/(Liste_Materiel_Combinee!$G$2:$G$426=1),182)+1)),"")</f>
        <v/>
      </c>
      <c r="B184" s="104" t="str">
        <f>IFERROR(INDEX(Liste_Materiel_Combinee!$C:$C,(_xlfn.AGGREGATE(15,6,(ROW(Liste_Materiel_Combinee!$G$2:$G$426)-1)/(Liste_Materiel_Combinee!$G$2:$G$426=1),182)+1)),"")</f>
        <v/>
      </c>
      <c r="C184" s="104" t="str">
        <f>IF(IFERROR(INDEX(Liste_Materiel_Combinee!$F:$F,(_xlfn.AGGREGATE(15,6,(ROW(Liste_Materiel_Combinee!$G$2:$G$426)-1)/(Liste_Materiel_Combinee!$G$2:$G$426=1),182)+1)),"")="","",ROUNDUP(IFERROR(INDEX(Liste_Materiel_Combinee!$F:$F,(_xlfn.AGGREGATE(15,6,(ROW(Liste_Materiel_Combinee!$G$2:$G$426)-1)/(Liste_Materiel_Combinee!$G$2:$G$426=1),182)+1)),""),0))</f>
        <v/>
      </c>
      <c r="D184" s="104" t="str">
        <f>IF($H$5="EFFACER","",IFERROR(INDEX(Liste_Materiel_Combinee!$E:$E,(_xlfn.AGGREGATE(15,6,(ROW(Liste_Materiel_Combinee!$G$2:$G$426)-1)/(Liste_Materiel_Combinee!$G$2:$G$426=1),182)+1)),""))</f>
        <v/>
      </c>
      <c r="E184" s="105">
        <f t="shared" si="2"/>
        <v>0</v>
      </c>
      <c r="F184" s="104" t="str">
        <f>IFERROR(INDEX(Catalogue!$K:$K,MATCH(A184,Catalogue!$A:$A,0)),"")</f>
        <v/>
      </c>
      <c r="G184" s="102"/>
      <c r="H184" s="7"/>
      <c r="I184" s="7"/>
    </row>
    <row r="185" spans="1:9" x14ac:dyDescent="0.25">
      <c r="A185" s="103" t="str">
        <f>IFERROR(INDEX(Liste_Materiel_Combinee!$B:$B,(_xlfn.AGGREGATE(15,6,(ROW(Liste_Materiel_Combinee!$G$2:$G$426)-1)/(Liste_Materiel_Combinee!$G$2:$G$426=1),183)+1)),"")</f>
        <v/>
      </c>
      <c r="B185" s="104" t="str">
        <f>IFERROR(INDEX(Liste_Materiel_Combinee!$C:$C,(_xlfn.AGGREGATE(15,6,(ROW(Liste_Materiel_Combinee!$G$2:$G$426)-1)/(Liste_Materiel_Combinee!$G$2:$G$426=1),183)+1)),"")</f>
        <v/>
      </c>
      <c r="C185" s="104" t="str">
        <f>IF(IFERROR(INDEX(Liste_Materiel_Combinee!$F:$F,(_xlfn.AGGREGATE(15,6,(ROW(Liste_Materiel_Combinee!$G$2:$G$426)-1)/(Liste_Materiel_Combinee!$G$2:$G$426=1),183)+1)),"")="","",ROUNDUP(IFERROR(INDEX(Liste_Materiel_Combinee!$F:$F,(_xlfn.AGGREGATE(15,6,(ROW(Liste_Materiel_Combinee!$G$2:$G$426)-1)/(Liste_Materiel_Combinee!$G$2:$G$426=1),183)+1)),""),0))</f>
        <v/>
      </c>
      <c r="D185" s="104" t="str">
        <f>IF($H$5="EFFACER","",IFERROR(INDEX(Liste_Materiel_Combinee!$E:$E,(_xlfn.AGGREGATE(15,6,(ROW(Liste_Materiel_Combinee!$G$2:$G$426)-1)/(Liste_Materiel_Combinee!$G$2:$G$426=1),183)+1)),""))</f>
        <v/>
      </c>
      <c r="E185" s="105">
        <f t="shared" si="2"/>
        <v>0</v>
      </c>
      <c r="F185" s="104" t="str">
        <f>IFERROR(INDEX(Catalogue!$K:$K,MATCH(A185,Catalogue!$A:$A,0)),"")</f>
        <v/>
      </c>
      <c r="G185" s="102"/>
      <c r="H185" s="7"/>
      <c r="I185" s="7"/>
    </row>
    <row r="186" spans="1:9" x14ac:dyDescent="0.25">
      <c r="A186" s="103" t="str">
        <f>IFERROR(INDEX(Liste_Materiel_Combinee!$B:$B,(_xlfn.AGGREGATE(15,6,(ROW(Liste_Materiel_Combinee!$G$2:$G$426)-1)/(Liste_Materiel_Combinee!$G$2:$G$426=1),184)+1)),"")</f>
        <v/>
      </c>
      <c r="B186" s="104" t="str">
        <f>IFERROR(INDEX(Liste_Materiel_Combinee!$C:$C,(_xlfn.AGGREGATE(15,6,(ROW(Liste_Materiel_Combinee!$G$2:$G$426)-1)/(Liste_Materiel_Combinee!$G$2:$G$426=1),184)+1)),"")</f>
        <v/>
      </c>
      <c r="C186" s="104" t="str">
        <f>IF(IFERROR(INDEX(Liste_Materiel_Combinee!$F:$F,(_xlfn.AGGREGATE(15,6,(ROW(Liste_Materiel_Combinee!$G$2:$G$426)-1)/(Liste_Materiel_Combinee!$G$2:$G$426=1),184)+1)),"")="","",ROUNDUP(IFERROR(INDEX(Liste_Materiel_Combinee!$F:$F,(_xlfn.AGGREGATE(15,6,(ROW(Liste_Materiel_Combinee!$G$2:$G$426)-1)/(Liste_Materiel_Combinee!$G$2:$G$426=1),184)+1)),""),0))</f>
        <v/>
      </c>
      <c r="D186" s="104" t="str">
        <f>IF($H$5="EFFACER","",IFERROR(INDEX(Liste_Materiel_Combinee!$E:$E,(_xlfn.AGGREGATE(15,6,(ROW(Liste_Materiel_Combinee!$G$2:$G$426)-1)/(Liste_Materiel_Combinee!$G$2:$G$426=1),184)+1)),""))</f>
        <v/>
      </c>
      <c r="E186" s="105">
        <f t="shared" si="2"/>
        <v>0</v>
      </c>
      <c r="F186" s="104" t="str">
        <f>IFERROR(INDEX(Catalogue!$K:$K,MATCH(A186,Catalogue!$A:$A,0)),"")</f>
        <v/>
      </c>
      <c r="G186" s="102"/>
      <c r="H186" s="7"/>
      <c r="I186" s="7"/>
    </row>
    <row r="187" spans="1:9" x14ac:dyDescent="0.25">
      <c r="A187" s="103" t="str">
        <f>IFERROR(INDEX(Liste_Materiel_Combinee!$B:$B,(_xlfn.AGGREGATE(15,6,(ROW(Liste_Materiel_Combinee!$G$2:$G$426)-1)/(Liste_Materiel_Combinee!$G$2:$G$426=1),185)+1)),"")</f>
        <v/>
      </c>
      <c r="B187" s="104" t="str">
        <f>IFERROR(INDEX(Liste_Materiel_Combinee!$C:$C,(_xlfn.AGGREGATE(15,6,(ROW(Liste_Materiel_Combinee!$G$2:$G$426)-1)/(Liste_Materiel_Combinee!$G$2:$G$426=1),185)+1)),"")</f>
        <v/>
      </c>
      <c r="C187" s="104" t="str">
        <f>IF(IFERROR(INDEX(Liste_Materiel_Combinee!$F:$F,(_xlfn.AGGREGATE(15,6,(ROW(Liste_Materiel_Combinee!$G$2:$G$426)-1)/(Liste_Materiel_Combinee!$G$2:$G$426=1),185)+1)),"")="","",ROUNDUP(IFERROR(INDEX(Liste_Materiel_Combinee!$F:$F,(_xlfn.AGGREGATE(15,6,(ROW(Liste_Materiel_Combinee!$G$2:$G$426)-1)/(Liste_Materiel_Combinee!$G$2:$G$426=1),185)+1)),""),0))</f>
        <v/>
      </c>
      <c r="D187" s="104" t="str">
        <f>IF($H$5="EFFACER","",IFERROR(INDEX(Liste_Materiel_Combinee!$E:$E,(_xlfn.AGGREGATE(15,6,(ROW(Liste_Materiel_Combinee!$G$2:$G$426)-1)/(Liste_Materiel_Combinee!$G$2:$G$426=1),185)+1)),""))</f>
        <v/>
      </c>
      <c r="E187" s="105">
        <f t="shared" si="2"/>
        <v>0</v>
      </c>
      <c r="F187" s="104" t="str">
        <f>IFERROR(INDEX(Catalogue!$K:$K,MATCH(A187,Catalogue!$A:$A,0)),"")</f>
        <v/>
      </c>
      <c r="G187" s="102"/>
      <c r="H187" s="7"/>
      <c r="I187" s="7"/>
    </row>
    <row r="188" spans="1:9" x14ac:dyDescent="0.25">
      <c r="A188" s="103" t="str">
        <f>IFERROR(INDEX(Liste_Materiel_Combinee!$B:$B,(_xlfn.AGGREGATE(15,6,(ROW(Liste_Materiel_Combinee!$G$2:$G$426)-1)/(Liste_Materiel_Combinee!$G$2:$G$426=1),186)+1)),"")</f>
        <v/>
      </c>
      <c r="B188" s="104" t="str">
        <f>IFERROR(INDEX(Liste_Materiel_Combinee!$C:$C,(_xlfn.AGGREGATE(15,6,(ROW(Liste_Materiel_Combinee!$G$2:$G$426)-1)/(Liste_Materiel_Combinee!$G$2:$G$426=1),186)+1)),"")</f>
        <v/>
      </c>
      <c r="C188" s="104" t="str">
        <f>IF(IFERROR(INDEX(Liste_Materiel_Combinee!$F:$F,(_xlfn.AGGREGATE(15,6,(ROW(Liste_Materiel_Combinee!$G$2:$G$426)-1)/(Liste_Materiel_Combinee!$G$2:$G$426=1),186)+1)),"")="","",ROUNDUP(IFERROR(INDEX(Liste_Materiel_Combinee!$F:$F,(_xlfn.AGGREGATE(15,6,(ROW(Liste_Materiel_Combinee!$G$2:$G$426)-1)/(Liste_Materiel_Combinee!$G$2:$G$426=1),186)+1)),""),0))</f>
        <v/>
      </c>
      <c r="D188" s="104" t="str">
        <f>IF($H$5="EFFACER","",IFERROR(INDEX(Liste_Materiel_Combinee!$E:$E,(_xlfn.AGGREGATE(15,6,(ROW(Liste_Materiel_Combinee!$G$2:$G$426)-1)/(Liste_Materiel_Combinee!$G$2:$G$426=1),186)+1)),""))</f>
        <v/>
      </c>
      <c r="E188" s="105">
        <f t="shared" si="2"/>
        <v>0</v>
      </c>
      <c r="F188" s="104" t="str">
        <f>IFERROR(INDEX(Catalogue!$K:$K,MATCH(A188,Catalogue!$A:$A,0)),"")</f>
        <v/>
      </c>
      <c r="G188" s="102"/>
      <c r="H188" s="7"/>
      <c r="I188" s="7"/>
    </row>
    <row r="189" spans="1:9" x14ac:dyDescent="0.25">
      <c r="A189" s="103" t="str">
        <f>IFERROR(INDEX(Liste_Materiel_Combinee!$B:$B,(_xlfn.AGGREGATE(15,6,(ROW(Liste_Materiel_Combinee!$G$2:$G$426)-1)/(Liste_Materiel_Combinee!$G$2:$G$426=1),187)+1)),"")</f>
        <v/>
      </c>
      <c r="B189" s="104" t="str">
        <f>IFERROR(INDEX(Liste_Materiel_Combinee!$C:$C,(_xlfn.AGGREGATE(15,6,(ROW(Liste_Materiel_Combinee!$G$2:$G$426)-1)/(Liste_Materiel_Combinee!$G$2:$G$426=1),187)+1)),"")</f>
        <v/>
      </c>
      <c r="C189" s="104" t="str">
        <f>IF(IFERROR(INDEX(Liste_Materiel_Combinee!$F:$F,(_xlfn.AGGREGATE(15,6,(ROW(Liste_Materiel_Combinee!$G$2:$G$426)-1)/(Liste_Materiel_Combinee!$G$2:$G$426=1),187)+1)),"")="","",ROUNDUP(IFERROR(INDEX(Liste_Materiel_Combinee!$F:$F,(_xlfn.AGGREGATE(15,6,(ROW(Liste_Materiel_Combinee!$G$2:$G$426)-1)/(Liste_Materiel_Combinee!$G$2:$G$426=1),187)+1)),""),0))</f>
        <v/>
      </c>
      <c r="D189" s="104" t="str">
        <f>IF($H$5="EFFACER","",IFERROR(INDEX(Liste_Materiel_Combinee!$E:$E,(_xlfn.AGGREGATE(15,6,(ROW(Liste_Materiel_Combinee!$G$2:$G$426)-1)/(Liste_Materiel_Combinee!$G$2:$G$426=1),187)+1)),""))</f>
        <v/>
      </c>
      <c r="E189" s="105">
        <f t="shared" si="2"/>
        <v>0</v>
      </c>
      <c r="F189" s="104" t="str">
        <f>IFERROR(INDEX(Catalogue!$K:$K,MATCH(A189,Catalogue!$A:$A,0)),"")</f>
        <v/>
      </c>
      <c r="G189" s="102"/>
      <c r="H189" s="7"/>
      <c r="I189" s="7"/>
    </row>
    <row r="190" spans="1:9" x14ac:dyDescent="0.25">
      <c r="A190" s="103" t="str">
        <f>IFERROR(INDEX(Liste_Materiel_Combinee!$B:$B,(_xlfn.AGGREGATE(15,6,(ROW(Liste_Materiel_Combinee!$G$2:$G$426)-1)/(Liste_Materiel_Combinee!$G$2:$G$426=1),188)+1)),"")</f>
        <v/>
      </c>
      <c r="B190" s="104" t="str">
        <f>IFERROR(INDEX(Liste_Materiel_Combinee!$C:$C,(_xlfn.AGGREGATE(15,6,(ROW(Liste_Materiel_Combinee!$G$2:$G$426)-1)/(Liste_Materiel_Combinee!$G$2:$G$426=1),188)+1)),"")</f>
        <v/>
      </c>
      <c r="C190" s="104" t="str">
        <f>IF(IFERROR(INDEX(Liste_Materiel_Combinee!$F:$F,(_xlfn.AGGREGATE(15,6,(ROW(Liste_Materiel_Combinee!$G$2:$G$426)-1)/(Liste_Materiel_Combinee!$G$2:$G$426=1),188)+1)),"")="","",ROUNDUP(IFERROR(INDEX(Liste_Materiel_Combinee!$F:$F,(_xlfn.AGGREGATE(15,6,(ROW(Liste_Materiel_Combinee!$G$2:$G$426)-1)/(Liste_Materiel_Combinee!$G$2:$G$426=1),188)+1)),""),0))</f>
        <v/>
      </c>
      <c r="D190" s="104" t="str">
        <f>IF($H$5="EFFACER","",IFERROR(INDEX(Liste_Materiel_Combinee!$E:$E,(_xlfn.AGGREGATE(15,6,(ROW(Liste_Materiel_Combinee!$G$2:$G$426)-1)/(Liste_Materiel_Combinee!$G$2:$G$426=1),188)+1)),""))</f>
        <v/>
      </c>
      <c r="E190" s="105">
        <f t="shared" si="2"/>
        <v>0</v>
      </c>
      <c r="F190" s="104" t="str">
        <f>IFERROR(INDEX(Catalogue!$K:$K,MATCH(A190,Catalogue!$A:$A,0)),"")</f>
        <v/>
      </c>
      <c r="G190" s="102"/>
      <c r="H190" s="7"/>
      <c r="I190" s="7"/>
    </row>
    <row r="191" spans="1:9" x14ac:dyDescent="0.25">
      <c r="A191" s="103" t="str">
        <f>IFERROR(INDEX(Liste_Materiel_Combinee!$B:$B,(_xlfn.AGGREGATE(15,6,(ROW(Liste_Materiel_Combinee!$G$2:$G$426)-1)/(Liste_Materiel_Combinee!$G$2:$G$426=1),189)+1)),"")</f>
        <v/>
      </c>
      <c r="B191" s="104" t="str">
        <f>IFERROR(INDEX(Liste_Materiel_Combinee!$C:$C,(_xlfn.AGGREGATE(15,6,(ROW(Liste_Materiel_Combinee!$G$2:$G$426)-1)/(Liste_Materiel_Combinee!$G$2:$G$426=1),189)+1)),"")</f>
        <v/>
      </c>
      <c r="C191" s="104" t="str">
        <f>IF(IFERROR(INDEX(Liste_Materiel_Combinee!$F:$F,(_xlfn.AGGREGATE(15,6,(ROW(Liste_Materiel_Combinee!$G$2:$G$426)-1)/(Liste_Materiel_Combinee!$G$2:$G$426=1),189)+1)),"")="","",ROUNDUP(IFERROR(INDEX(Liste_Materiel_Combinee!$F:$F,(_xlfn.AGGREGATE(15,6,(ROW(Liste_Materiel_Combinee!$G$2:$G$426)-1)/(Liste_Materiel_Combinee!$G$2:$G$426=1),189)+1)),""),0))</f>
        <v/>
      </c>
      <c r="D191" s="104" t="str">
        <f>IF($H$5="EFFACER","",IFERROR(INDEX(Liste_Materiel_Combinee!$E:$E,(_xlfn.AGGREGATE(15,6,(ROW(Liste_Materiel_Combinee!$G$2:$G$426)-1)/(Liste_Materiel_Combinee!$G$2:$G$426=1),189)+1)),""))</f>
        <v/>
      </c>
      <c r="E191" s="105">
        <f t="shared" si="2"/>
        <v>0</v>
      </c>
      <c r="F191" s="104" t="str">
        <f>IFERROR(INDEX(Catalogue!$K:$K,MATCH(A191,Catalogue!$A:$A,0)),"")</f>
        <v/>
      </c>
      <c r="G191" s="102"/>
      <c r="H191" s="7"/>
      <c r="I191" s="7"/>
    </row>
    <row r="192" spans="1:9" x14ac:dyDescent="0.25">
      <c r="A192" s="103" t="str">
        <f>IFERROR(INDEX(Liste_Materiel_Combinee!$B:$B,(_xlfn.AGGREGATE(15,6,(ROW(Liste_Materiel_Combinee!$G$2:$G$426)-1)/(Liste_Materiel_Combinee!$G$2:$G$426=1),190)+1)),"")</f>
        <v/>
      </c>
      <c r="B192" s="104" t="str">
        <f>IFERROR(INDEX(Liste_Materiel_Combinee!$C:$C,(_xlfn.AGGREGATE(15,6,(ROW(Liste_Materiel_Combinee!$G$2:$G$426)-1)/(Liste_Materiel_Combinee!$G$2:$G$426=1),190)+1)),"")</f>
        <v/>
      </c>
      <c r="C192" s="104" t="str">
        <f>IF(IFERROR(INDEX(Liste_Materiel_Combinee!$F:$F,(_xlfn.AGGREGATE(15,6,(ROW(Liste_Materiel_Combinee!$G$2:$G$426)-1)/(Liste_Materiel_Combinee!$G$2:$G$426=1),190)+1)),"")="","",ROUNDUP(IFERROR(INDEX(Liste_Materiel_Combinee!$F:$F,(_xlfn.AGGREGATE(15,6,(ROW(Liste_Materiel_Combinee!$G$2:$G$426)-1)/(Liste_Materiel_Combinee!$G$2:$G$426=1),190)+1)),""),0))</f>
        <v/>
      </c>
      <c r="D192" s="104" t="str">
        <f>IF($H$5="EFFACER","",IFERROR(INDEX(Liste_Materiel_Combinee!$E:$E,(_xlfn.AGGREGATE(15,6,(ROW(Liste_Materiel_Combinee!$G$2:$G$426)-1)/(Liste_Materiel_Combinee!$G$2:$G$426=1),190)+1)),""))</f>
        <v/>
      </c>
      <c r="E192" s="105">
        <f t="shared" si="2"/>
        <v>0</v>
      </c>
      <c r="F192" s="104" t="str">
        <f>IFERROR(INDEX(Catalogue!$K:$K,MATCH(A192,Catalogue!$A:$A,0)),"")</f>
        <v/>
      </c>
      <c r="G192" s="102"/>
      <c r="H192" s="7"/>
      <c r="I192" s="7"/>
    </row>
    <row r="193" spans="1:9" x14ac:dyDescent="0.25">
      <c r="A193" s="103" t="str">
        <f>IFERROR(INDEX(Liste_Materiel_Combinee!$B:$B,(_xlfn.AGGREGATE(15,6,(ROW(Liste_Materiel_Combinee!$G$2:$G$426)-1)/(Liste_Materiel_Combinee!$G$2:$G$426=1),191)+1)),"")</f>
        <v/>
      </c>
      <c r="B193" s="104" t="str">
        <f>IFERROR(INDEX(Liste_Materiel_Combinee!$C:$C,(_xlfn.AGGREGATE(15,6,(ROW(Liste_Materiel_Combinee!$G$2:$G$426)-1)/(Liste_Materiel_Combinee!$G$2:$G$426=1),191)+1)),"")</f>
        <v/>
      </c>
      <c r="C193" s="104" t="str">
        <f>IF(IFERROR(INDEX(Liste_Materiel_Combinee!$F:$F,(_xlfn.AGGREGATE(15,6,(ROW(Liste_Materiel_Combinee!$G$2:$G$426)-1)/(Liste_Materiel_Combinee!$G$2:$G$426=1),191)+1)),"")="","",ROUNDUP(IFERROR(INDEX(Liste_Materiel_Combinee!$F:$F,(_xlfn.AGGREGATE(15,6,(ROW(Liste_Materiel_Combinee!$G$2:$G$426)-1)/(Liste_Materiel_Combinee!$G$2:$G$426=1),191)+1)),""),0))</f>
        <v/>
      </c>
      <c r="D193" s="104" t="str">
        <f>IF($H$5="EFFACER","",IFERROR(INDEX(Liste_Materiel_Combinee!$E:$E,(_xlfn.AGGREGATE(15,6,(ROW(Liste_Materiel_Combinee!$G$2:$G$426)-1)/(Liste_Materiel_Combinee!$G$2:$G$426=1),191)+1)),""))</f>
        <v/>
      </c>
      <c r="E193" s="105">
        <f t="shared" si="2"/>
        <v>0</v>
      </c>
      <c r="F193" s="104" t="str">
        <f>IFERROR(INDEX(Catalogue!$K:$K,MATCH(A193,Catalogue!$A:$A,0)),"")</f>
        <v/>
      </c>
      <c r="G193" s="102"/>
      <c r="H193" s="7"/>
      <c r="I193" s="7"/>
    </row>
    <row r="194" spans="1:9" x14ac:dyDescent="0.25">
      <c r="A194" s="103" t="str">
        <f>IFERROR(INDEX(Liste_Materiel_Combinee!$B:$B,(_xlfn.AGGREGATE(15,6,(ROW(Liste_Materiel_Combinee!$G$2:$G$426)-1)/(Liste_Materiel_Combinee!$G$2:$G$426=1),192)+1)),"")</f>
        <v/>
      </c>
      <c r="B194" s="104" t="str">
        <f>IFERROR(INDEX(Liste_Materiel_Combinee!$C:$C,(_xlfn.AGGREGATE(15,6,(ROW(Liste_Materiel_Combinee!$G$2:$G$426)-1)/(Liste_Materiel_Combinee!$G$2:$G$426=1),192)+1)),"")</f>
        <v/>
      </c>
      <c r="C194" s="104" t="str">
        <f>IF(IFERROR(INDEX(Liste_Materiel_Combinee!$F:$F,(_xlfn.AGGREGATE(15,6,(ROW(Liste_Materiel_Combinee!$G$2:$G$426)-1)/(Liste_Materiel_Combinee!$G$2:$G$426=1),192)+1)),"")="","",ROUNDUP(IFERROR(INDEX(Liste_Materiel_Combinee!$F:$F,(_xlfn.AGGREGATE(15,6,(ROW(Liste_Materiel_Combinee!$G$2:$G$426)-1)/(Liste_Materiel_Combinee!$G$2:$G$426=1),192)+1)),""),0))</f>
        <v/>
      </c>
      <c r="D194" s="104" t="str">
        <f>IF($H$5="EFFACER","",IFERROR(INDEX(Liste_Materiel_Combinee!$E:$E,(_xlfn.AGGREGATE(15,6,(ROW(Liste_Materiel_Combinee!$G$2:$G$426)-1)/(Liste_Materiel_Combinee!$G$2:$G$426=1),192)+1)),""))</f>
        <v/>
      </c>
      <c r="E194" s="105">
        <f t="shared" si="2"/>
        <v>0</v>
      </c>
      <c r="F194" s="104" t="str">
        <f>IFERROR(INDEX(Catalogue!$K:$K,MATCH(A194,Catalogue!$A:$A,0)),"")</f>
        <v/>
      </c>
      <c r="G194" s="102"/>
      <c r="H194" s="7"/>
      <c r="I194" s="7"/>
    </row>
    <row r="195" spans="1:9" x14ac:dyDescent="0.25">
      <c r="A195" s="103" t="str">
        <f>IFERROR(INDEX(Liste_Materiel_Combinee!$B:$B,(_xlfn.AGGREGATE(15,6,(ROW(Liste_Materiel_Combinee!$G$2:$G$426)-1)/(Liste_Materiel_Combinee!$G$2:$G$426=1),193)+1)),"")</f>
        <v/>
      </c>
      <c r="B195" s="104" t="str">
        <f>IFERROR(INDEX(Liste_Materiel_Combinee!$C:$C,(_xlfn.AGGREGATE(15,6,(ROW(Liste_Materiel_Combinee!$G$2:$G$426)-1)/(Liste_Materiel_Combinee!$G$2:$G$426=1),193)+1)),"")</f>
        <v/>
      </c>
      <c r="C195" s="104" t="str">
        <f>IF(IFERROR(INDEX(Liste_Materiel_Combinee!$F:$F,(_xlfn.AGGREGATE(15,6,(ROW(Liste_Materiel_Combinee!$G$2:$G$426)-1)/(Liste_Materiel_Combinee!$G$2:$G$426=1),193)+1)),"")="","",ROUNDUP(IFERROR(INDEX(Liste_Materiel_Combinee!$F:$F,(_xlfn.AGGREGATE(15,6,(ROW(Liste_Materiel_Combinee!$G$2:$G$426)-1)/(Liste_Materiel_Combinee!$G$2:$G$426=1),193)+1)),""),0))</f>
        <v/>
      </c>
      <c r="D195" s="104" t="str">
        <f>IF($H$5="EFFACER","",IFERROR(INDEX(Liste_Materiel_Combinee!$E:$E,(_xlfn.AGGREGATE(15,6,(ROW(Liste_Materiel_Combinee!$G$2:$G$426)-1)/(Liste_Materiel_Combinee!$G$2:$G$426=1),193)+1)),""))</f>
        <v/>
      </c>
      <c r="E195" s="105">
        <f t="shared" ref="E195:E258" si="3">$H$2</f>
        <v>0</v>
      </c>
      <c r="F195" s="104" t="str">
        <f>IFERROR(INDEX(Catalogue!$K:$K,MATCH(A195,Catalogue!$A:$A,0)),"")</f>
        <v/>
      </c>
      <c r="G195" s="102"/>
      <c r="H195" s="7"/>
      <c r="I195" s="7"/>
    </row>
    <row r="196" spans="1:9" x14ac:dyDescent="0.25">
      <c r="A196" s="103" t="str">
        <f>IFERROR(INDEX(Liste_Materiel_Combinee!$B:$B,(_xlfn.AGGREGATE(15,6,(ROW(Liste_Materiel_Combinee!$G$2:$G$426)-1)/(Liste_Materiel_Combinee!$G$2:$G$426=1),194)+1)),"")</f>
        <v/>
      </c>
      <c r="B196" s="104" t="str">
        <f>IFERROR(INDEX(Liste_Materiel_Combinee!$C:$C,(_xlfn.AGGREGATE(15,6,(ROW(Liste_Materiel_Combinee!$G$2:$G$426)-1)/(Liste_Materiel_Combinee!$G$2:$G$426=1),194)+1)),"")</f>
        <v/>
      </c>
      <c r="C196" s="104" t="str">
        <f>IF(IFERROR(INDEX(Liste_Materiel_Combinee!$F:$F,(_xlfn.AGGREGATE(15,6,(ROW(Liste_Materiel_Combinee!$G$2:$G$426)-1)/(Liste_Materiel_Combinee!$G$2:$G$426=1),194)+1)),"")="","",ROUNDUP(IFERROR(INDEX(Liste_Materiel_Combinee!$F:$F,(_xlfn.AGGREGATE(15,6,(ROW(Liste_Materiel_Combinee!$G$2:$G$426)-1)/(Liste_Materiel_Combinee!$G$2:$G$426=1),194)+1)),""),0))</f>
        <v/>
      </c>
      <c r="D196" s="104" t="str">
        <f>IF($H$5="EFFACER","",IFERROR(INDEX(Liste_Materiel_Combinee!$E:$E,(_xlfn.AGGREGATE(15,6,(ROW(Liste_Materiel_Combinee!$G$2:$G$426)-1)/(Liste_Materiel_Combinee!$G$2:$G$426=1),194)+1)),""))</f>
        <v/>
      </c>
      <c r="E196" s="105">
        <f t="shared" si="3"/>
        <v>0</v>
      </c>
      <c r="F196" s="104" t="str">
        <f>IFERROR(INDEX(Catalogue!$K:$K,MATCH(A196,Catalogue!$A:$A,0)),"")</f>
        <v/>
      </c>
      <c r="G196" s="102"/>
      <c r="H196" s="7"/>
      <c r="I196" s="7"/>
    </row>
    <row r="197" spans="1:9" x14ac:dyDescent="0.25">
      <c r="A197" s="103" t="str">
        <f>IFERROR(INDEX(Liste_Materiel_Combinee!$B:$B,(_xlfn.AGGREGATE(15,6,(ROW(Liste_Materiel_Combinee!$G$2:$G$426)-1)/(Liste_Materiel_Combinee!$G$2:$G$426=1),195)+1)),"")</f>
        <v/>
      </c>
      <c r="B197" s="104" t="str">
        <f>IFERROR(INDEX(Liste_Materiel_Combinee!$C:$C,(_xlfn.AGGREGATE(15,6,(ROW(Liste_Materiel_Combinee!$G$2:$G$426)-1)/(Liste_Materiel_Combinee!$G$2:$G$426=1),195)+1)),"")</f>
        <v/>
      </c>
      <c r="C197" s="104" t="str">
        <f>IF(IFERROR(INDEX(Liste_Materiel_Combinee!$F:$F,(_xlfn.AGGREGATE(15,6,(ROW(Liste_Materiel_Combinee!$G$2:$G$426)-1)/(Liste_Materiel_Combinee!$G$2:$G$426=1),195)+1)),"")="","",ROUNDUP(IFERROR(INDEX(Liste_Materiel_Combinee!$F:$F,(_xlfn.AGGREGATE(15,6,(ROW(Liste_Materiel_Combinee!$G$2:$G$426)-1)/(Liste_Materiel_Combinee!$G$2:$G$426=1),195)+1)),""),0))</f>
        <v/>
      </c>
      <c r="D197" s="104" t="str">
        <f>IF($H$5="EFFACER","",IFERROR(INDEX(Liste_Materiel_Combinee!$E:$E,(_xlfn.AGGREGATE(15,6,(ROW(Liste_Materiel_Combinee!$G$2:$G$426)-1)/(Liste_Materiel_Combinee!$G$2:$G$426=1),195)+1)),""))</f>
        <v/>
      </c>
      <c r="E197" s="105">
        <f t="shared" si="3"/>
        <v>0</v>
      </c>
      <c r="F197" s="104" t="str">
        <f>IFERROR(INDEX(Catalogue!$K:$K,MATCH(A197,Catalogue!$A:$A,0)),"")</f>
        <v/>
      </c>
      <c r="G197" s="102"/>
      <c r="H197" s="7"/>
      <c r="I197" s="7"/>
    </row>
    <row r="198" spans="1:9" x14ac:dyDescent="0.25">
      <c r="A198" s="103" t="str">
        <f>IFERROR(INDEX(Liste_Materiel_Combinee!$B:$B,(_xlfn.AGGREGATE(15,6,(ROW(Liste_Materiel_Combinee!$G$2:$G$426)-1)/(Liste_Materiel_Combinee!$G$2:$G$426=1),196)+1)),"")</f>
        <v/>
      </c>
      <c r="B198" s="104" t="str">
        <f>IFERROR(INDEX(Liste_Materiel_Combinee!$C:$C,(_xlfn.AGGREGATE(15,6,(ROW(Liste_Materiel_Combinee!$G$2:$G$426)-1)/(Liste_Materiel_Combinee!$G$2:$G$426=1),196)+1)),"")</f>
        <v/>
      </c>
      <c r="C198" s="104" t="str">
        <f>IF(IFERROR(INDEX(Liste_Materiel_Combinee!$F:$F,(_xlfn.AGGREGATE(15,6,(ROW(Liste_Materiel_Combinee!$G$2:$G$426)-1)/(Liste_Materiel_Combinee!$G$2:$G$426=1),196)+1)),"")="","",ROUNDUP(IFERROR(INDEX(Liste_Materiel_Combinee!$F:$F,(_xlfn.AGGREGATE(15,6,(ROW(Liste_Materiel_Combinee!$G$2:$G$426)-1)/(Liste_Materiel_Combinee!$G$2:$G$426=1),196)+1)),""),0))</f>
        <v/>
      </c>
      <c r="D198" s="104" t="str">
        <f>IF($H$5="EFFACER","",IFERROR(INDEX(Liste_Materiel_Combinee!$E:$E,(_xlfn.AGGREGATE(15,6,(ROW(Liste_Materiel_Combinee!$G$2:$G$426)-1)/(Liste_Materiel_Combinee!$G$2:$G$426=1),196)+1)),""))</f>
        <v/>
      </c>
      <c r="E198" s="105">
        <f t="shared" si="3"/>
        <v>0</v>
      </c>
      <c r="F198" s="104" t="str">
        <f>IFERROR(INDEX(Catalogue!$K:$K,MATCH(A198,Catalogue!$A:$A,0)),"")</f>
        <v/>
      </c>
      <c r="G198" s="102"/>
      <c r="H198" s="7"/>
      <c r="I198" s="7"/>
    </row>
    <row r="199" spans="1:9" x14ac:dyDescent="0.25">
      <c r="A199" s="103" t="str">
        <f>IFERROR(INDEX(Liste_Materiel_Combinee!$B:$B,(_xlfn.AGGREGATE(15,6,(ROW(Liste_Materiel_Combinee!$G$2:$G$426)-1)/(Liste_Materiel_Combinee!$G$2:$G$426=1),197)+1)),"")</f>
        <v/>
      </c>
      <c r="B199" s="104" t="str">
        <f>IFERROR(INDEX(Liste_Materiel_Combinee!$C:$C,(_xlfn.AGGREGATE(15,6,(ROW(Liste_Materiel_Combinee!$G$2:$G$426)-1)/(Liste_Materiel_Combinee!$G$2:$G$426=1),197)+1)),"")</f>
        <v/>
      </c>
      <c r="C199" s="104" t="str">
        <f>IF(IFERROR(INDEX(Liste_Materiel_Combinee!$F:$F,(_xlfn.AGGREGATE(15,6,(ROW(Liste_Materiel_Combinee!$G$2:$G$426)-1)/(Liste_Materiel_Combinee!$G$2:$G$426=1),197)+1)),"")="","",ROUNDUP(IFERROR(INDEX(Liste_Materiel_Combinee!$F:$F,(_xlfn.AGGREGATE(15,6,(ROW(Liste_Materiel_Combinee!$G$2:$G$426)-1)/(Liste_Materiel_Combinee!$G$2:$G$426=1),197)+1)),""),0))</f>
        <v/>
      </c>
      <c r="D199" s="104" t="str">
        <f>IF($H$5="EFFACER","",IFERROR(INDEX(Liste_Materiel_Combinee!$E:$E,(_xlfn.AGGREGATE(15,6,(ROW(Liste_Materiel_Combinee!$G$2:$G$426)-1)/(Liste_Materiel_Combinee!$G$2:$G$426=1),197)+1)),""))</f>
        <v/>
      </c>
      <c r="E199" s="105">
        <f t="shared" si="3"/>
        <v>0</v>
      </c>
      <c r="F199" s="104" t="str">
        <f>IFERROR(INDEX(Catalogue!$K:$K,MATCH(A199,Catalogue!$A:$A,0)),"")</f>
        <v/>
      </c>
      <c r="G199" s="102"/>
      <c r="H199" s="7"/>
      <c r="I199" s="7"/>
    </row>
    <row r="200" spans="1:9" x14ac:dyDescent="0.25">
      <c r="A200" s="103" t="str">
        <f>IFERROR(INDEX(Liste_Materiel_Combinee!$B:$B,(_xlfn.AGGREGATE(15,6,(ROW(Liste_Materiel_Combinee!$G$2:$G$426)-1)/(Liste_Materiel_Combinee!$G$2:$G$426=1),198)+1)),"")</f>
        <v/>
      </c>
      <c r="B200" s="104" t="str">
        <f>IFERROR(INDEX(Liste_Materiel_Combinee!$C:$C,(_xlfn.AGGREGATE(15,6,(ROW(Liste_Materiel_Combinee!$G$2:$G$426)-1)/(Liste_Materiel_Combinee!$G$2:$G$426=1),198)+1)),"")</f>
        <v/>
      </c>
      <c r="C200" s="104" t="str">
        <f>IF(IFERROR(INDEX(Liste_Materiel_Combinee!$F:$F,(_xlfn.AGGREGATE(15,6,(ROW(Liste_Materiel_Combinee!$G$2:$G$426)-1)/(Liste_Materiel_Combinee!$G$2:$G$426=1),198)+1)),"")="","",ROUNDUP(IFERROR(INDEX(Liste_Materiel_Combinee!$F:$F,(_xlfn.AGGREGATE(15,6,(ROW(Liste_Materiel_Combinee!$G$2:$G$426)-1)/(Liste_Materiel_Combinee!$G$2:$G$426=1),198)+1)),""),0))</f>
        <v/>
      </c>
      <c r="D200" s="104" t="str">
        <f>IF($H$5="EFFACER","",IFERROR(INDEX(Liste_Materiel_Combinee!$E:$E,(_xlfn.AGGREGATE(15,6,(ROW(Liste_Materiel_Combinee!$G$2:$G$426)-1)/(Liste_Materiel_Combinee!$G$2:$G$426=1),198)+1)),""))</f>
        <v/>
      </c>
      <c r="E200" s="105">
        <f t="shared" si="3"/>
        <v>0</v>
      </c>
      <c r="F200" s="104" t="str">
        <f>IFERROR(INDEX(Catalogue!$K:$K,MATCH(A200,Catalogue!$A:$A,0)),"")</f>
        <v/>
      </c>
      <c r="G200" s="102"/>
      <c r="H200" s="7"/>
      <c r="I200" s="7"/>
    </row>
    <row r="201" spans="1:9" x14ac:dyDescent="0.25">
      <c r="A201" s="103" t="str">
        <f>IFERROR(INDEX(Liste_Materiel_Combinee!$B:$B,(_xlfn.AGGREGATE(15,6,(ROW(Liste_Materiel_Combinee!$G$2:$G$426)-1)/(Liste_Materiel_Combinee!$G$2:$G$426=1),199)+1)),"")</f>
        <v/>
      </c>
      <c r="B201" s="104" t="str">
        <f>IFERROR(INDEX(Liste_Materiel_Combinee!$C:$C,(_xlfn.AGGREGATE(15,6,(ROW(Liste_Materiel_Combinee!$G$2:$G$426)-1)/(Liste_Materiel_Combinee!$G$2:$G$426=1),199)+1)),"")</f>
        <v/>
      </c>
      <c r="C201" s="104" t="str">
        <f>IF(IFERROR(INDEX(Liste_Materiel_Combinee!$F:$F,(_xlfn.AGGREGATE(15,6,(ROW(Liste_Materiel_Combinee!$G$2:$G$426)-1)/(Liste_Materiel_Combinee!$G$2:$G$426=1),199)+1)),"")="","",ROUNDUP(IFERROR(INDEX(Liste_Materiel_Combinee!$F:$F,(_xlfn.AGGREGATE(15,6,(ROW(Liste_Materiel_Combinee!$G$2:$G$426)-1)/(Liste_Materiel_Combinee!$G$2:$G$426=1),199)+1)),""),0))</f>
        <v/>
      </c>
      <c r="D201" s="104" t="str">
        <f>IF($H$5="EFFACER","",IFERROR(INDEX(Liste_Materiel_Combinee!$E:$E,(_xlfn.AGGREGATE(15,6,(ROW(Liste_Materiel_Combinee!$G$2:$G$426)-1)/(Liste_Materiel_Combinee!$G$2:$G$426=1),199)+1)),""))</f>
        <v/>
      </c>
      <c r="E201" s="105">
        <f t="shared" si="3"/>
        <v>0</v>
      </c>
      <c r="F201" s="104" t="str">
        <f>IFERROR(INDEX(Catalogue!$K:$K,MATCH(A201,Catalogue!$A:$A,0)),"")</f>
        <v/>
      </c>
      <c r="G201" s="102"/>
      <c r="H201" s="7"/>
      <c r="I201" s="7"/>
    </row>
    <row r="202" spans="1:9" x14ac:dyDescent="0.25">
      <c r="A202" s="103" t="str">
        <f>IFERROR(INDEX(Liste_Materiel_Combinee!$B:$B,(_xlfn.AGGREGATE(15,6,(ROW(Liste_Materiel_Combinee!$G$2:$G$426)-1)/(Liste_Materiel_Combinee!$G$2:$G$426=1),200)+1)),"")</f>
        <v/>
      </c>
      <c r="B202" s="104" t="str">
        <f>IFERROR(INDEX(Liste_Materiel_Combinee!$C:$C,(_xlfn.AGGREGATE(15,6,(ROW(Liste_Materiel_Combinee!$G$2:$G$426)-1)/(Liste_Materiel_Combinee!$G$2:$G$426=1),200)+1)),"")</f>
        <v/>
      </c>
      <c r="C202" s="104" t="str">
        <f>IF(IFERROR(INDEX(Liste_Materiel_Combinee!$F:$F,(_xlfn.AGGREGATE(15,6,(ROW(Liste_Materiel_Combinee!$G$2:$G$426)-1)/(Liste_Materiel_Combinee!$G$2:$G$426=1),200)+1)),"")="","",ROUNDUP(IFERROR(INDEX(Liste_Materiel_Combinee!$F:$F,(_xlfn.AGGREGATE(15,6,(ROW(Liste_Materiel_Combinee!$G$2:$G$426)-1)/(Liste_Materiel_Combinee!$G$2:$G$426=1),200)+1)),""),0))</f>
        <v/>
      </c>
      <c r="D202" s="104" t="str">
        <f>IF($H$5="EFFACER","",IFERROR(INDEX(Liste_Materiel_Combinee!$E:$E,(_xlfn.AGGREGATE(15,6,(ROW(Liste_Materiel_Combinee!$G$2:$G$426)-1)/(Liste_Materiel_Combinee!$G$2:$G$426=1),200)+1)),""))</f>
        <v/>
      </c>
      <c r="E202" s="105">
        <f t="shared" si="3"/>
        <v>0</v>
      </c>
      <c r="F202" s="104" t="str">
        <f>IFERROR(INDEX(Catalogue!$K:$K,MATCH(A202,Catalogue!$A:$A,0)),"")</f>
        <v/>
      </c>
      <c r="G202" s="102"/>
      <c r="H202" s="7"/>
      <c r="I202" s="7"/>
    </row>
    <row r="203" spans="1:9" x14ac:dyDescent="0.25">
      <c r="A203" s="103" t="str">
        <f>IFERROR(INDEX(Liste_Materiel_Combinee!$B:$B,(_xlfn.AGGREGATE(15,6,(ROW(Liste_Materiel_Combinee!$G$2:$G$426)-1)/(Liste_Materiel_Combinee!$G$2:$G$426=1),201)+1)),"")</f>
        <v/>
      </c>
      <c r="B203" s="104" t="str">
        <f>IFERROR(INDEX(Liste_Materiel_Combinee!$C:$C,(_xlfn.AGGREGATE(15,6,(ROW(Liste_Materiel_Combinee!$G$2:$G$426)-1)/(Liste_Materiel_Combinee!$G$2:$G$426=1),201)+1)),"")</f>
        <v/>
      </c>
      <c r="C203" s="104" t="str">
        <f>IF(IFERROR(INDEX(Liste_Materiel_Combinee!$F:$F,(_xlfn.AGGREGATE(15,6,(ROW(Liste_Materiel_Combinee!$G$2:$G$426)-1)/(Liste_Materiel_Combinee!$G$2:$G$426=1),201)+1)),"")="","",ROUNDUP(IFERROR(INDEX(Liste_Materiel_Combinee!$F:$F,(_xlfn.AGGREGATE(15,6,(ROW(Liste_Materiel_Combinee!$G$2:$G$426)-1)/(Liste_Materiel_Combinee!$G$2:$G$426=1),201)+1)),""),0))</f>
        <v/>
      </c>
      <c r="D203" s="104" t="str">
        <f>IF($H$5="EFFACER","",IFERROR(INDEX(Liste_Materiel_Combinee!$E:$E,(_xlfn.AGGREGATE(15,6,(ROW(Liste_Materiel_Combinee!$G$2:$G$426)-1)/(Liste_Materiel_Combinee!$G$2:$G$426=1),201)+1)),""))</f>
        <v/>
      </c>
      <c r="E203" s="105">
        <f t="shared" si="3"/>
        <v>0</v>
      </c>
      <c r="F203" s="104" t="str">
        <f>IFERROR(INDEX(Catalogue!$K:$K,MATCH(A203,Catalogue!$A:$A,0)),"")</f>
        <v/>
      </c>
      <c r="G203" s="102"/>
      <c r="H203" s="7"/>
      <c r="I203" s="7"/>
    </row>
    <row r="204" spans="1:9" x14ac:dyDescent="0.25">
      <c r="A204" s="103" t="str">
        <f>IFERROR(INDEX(Liste_Materiel_Combinee!$B:$B,(_xlfn.AGGREGATE(15,6,(ROW(Liste_Materiel_Combinee!$G$2:$G$426)-1)/(Liste_Materiel_Combinee!$G$2:$G$426=1),202)+1)),"")</f>
        <v/>
      </c>
      <c r="B204" s="104" t="str">
        <f>IFERROR(INDEX(Liste_Materiel_Combinee!$C:$C,(_xlfn.AGGREGATE(15,6,(ROW(Liste_Materiel_Combinee!$G$2:$G$426)-1)/(Liste_Materiel_Combinee!$G$2:$G$426=1),202)+1)),"")</f>
        <v/>
      </c>
      <c r="C204" s="104" t="str">
        <f>IF(IFERROR(INDEX(Liste_Materiel_Combinee!$F:$F,(_xlfn.AGGREGATE(15,6,(ROW(Liste_Materiel_Combinee!$G$2:$G$426)-1)/(Liste_Materiel_Combinee!$G$2:$G$426=1),202)+1)),"")="","",ROUNDUP(IFERROR(INDEX(Liste_Materiel_Combinee!$F:$F,(_xlfn.AGGREGATE(15,6,(ROW(Liste_Materiel_Combinee!$G$2:$G$426)-1)/(Liste_Materiel_Combinee!$G$2:$G$426=1),202)+1)),""),0))</f>
        <v/>
      </c>
      <c r="D204" s="104" t="str">
        <f>IF($H$5="EFFACER","",IFERROR(INDEX(Liste_Materiel_Combinee!$E:$E,(_xlfn.AGGREGATE(15,6,(ROW(Liste_Materiel_Combinee!$G$2:$G$426)-1)/(Liste_Materiel_Combinee!$G$2:$G$426=1),202)+1)),""))</f>
        <v/>
      </c>
      <c r="E204" s="105">
        <f t="shared" si="3"/>
        <v>0</v>
      </c>
      <c r="F204" s="104" t="str">
        <f>IFERROR(INDEX(Catalogue!$K:$K,MATCH(A204,Catalogue!$A:$A,0)),"")</f>
        <v/>
      </c>
      <c r="G204" s="102"/>
      <c r="H204" s="7"/>
      <c r="I204" s="7"/>
    </row>
    <row r="205" spans="1:9" x14ac:dyDescent="0.25">
      <c r="A205" s="103" t="str">
        <f>IFERROR(INDEX(Liste_Materiel_Combinee!$B:$B,(_xlfn.AGGREGATE(15,6,(ROW(Liste_Materiel_Combinee!$G$2:$G$426)-1)/(Liste_Materiel_Combinee!$G$2:$G$426=1),203)+1)),"")</f>
        <v/>
      </c>
      <c r="B205" s="104" t="str">
        <f>IFERROR(INDEX(Liste_Materiel_Combinee!$C:$C,(_xlfn.AGGREGATE(15,6,(ROW(Liste_Materiel_Combinee!$G$2:$G$426)-1)/(Liste_Materiel_Combinee!$G$2:$G$426=1),203)+1)),"")</f>
        <v/>
      </c>
      <c r="C205" s="104" t="str">
        <f>IF(IFERROR(INDEX(Liste_Materiel_Combinee!$F:$F,(_xlfn.AGGREGATE(15,6,(ROW(Liste_Materiel_Combinee!$G$2:$G$426)-1)/(Liste_Materiel_Combinee!$G$2:$G$426=1),203)+1)),"")="","",ROUNDUP(IFERROR(INDEX(Liste_Materiel_Combinee!$F:$F,(_xlfn.AGGREGATE(15,6,(ROW(Liste_Materiel_Combinee!$G$2:$G$426)-1)/(Liste_Materiel_Combinee!$G$2:$G$426=1),203)+1)),""),0))</f>
        <v/>
      </c>
      <c r="D205" s="104" t="str">
        <f>IF($H$5="EFFACER","",IFERROR(INDEX(Liste_Materiel_Combinee!$E:$E,(_xlfn.AGGREGATE(15,6,(ROW(Liste_Materiel_Combinee!$G$2:$G$426)-1)/(Liste_Materiel_Combinee!$G$2:$G$426=1),203)+1)),""))</f>
        <v/>
      </c>
      <c r="E205" s="105">
        <f t="shared" si="3"/>
        <v>0</v>
      </c>
      <c r="F205" s="104" t="str">
        <f>IFERROR(INDEX(Catalogue!$K:$K,MATCH(A205,Catalogue!$A:$A,0)),"")</f>
        <v/>
      </c>
      <c r="G205" s="102"/>
      <c r="H205" s="7"/>
      <c r="I205" s="7"/>
    </row>
    <row r="206" spans="1:9" x14ac:dyDescent="0.25">
      <c r="A206" s="103" t="str">
        <f>IFERROR(INDEX(Liste_Materiel_Combinee!$B:$B,(_xlfn.AGGREGATE(15,6,(ROW(Liste_Materiel_Combinee!$G$2:$G$426)-1)/(Liste_Materiel_Combinee!$G$2:$G$426=1),204)+1)),"")</f>
        <v/>
      </c>
      <c r="B206" s="104" t="str">
        <f>IFERROR(INDEX(Liste_Materiel_Combinee!$C:$C,(_xlfn.AGGREGATE(15,6,(ROW(Liste_Materiel_Combinee!$G$2:$G$426)-1)/(Liste_Materiel_Combinee!$G$2:$G$426=1),204)+1)),"")</f>
        <v/>
      </c>
      <c r="C206" s="104" t="str">
        <f>IF(IFERROR(INDEX(Liste_Materiel_Combinee!$F:$F,(_xlfn.AGGREGATE(15,6,(ROW(Liste_Materiel_Combinee!$G$2:$G$426)-1)/(Liste_Materiel_Combinee!$G$2:$G$426=1),204)+1)),"")="","",ROUNDUP(IFERROR(INDEX(Liste_Materiel_Combinee!$F:$F,(_xlfn.AGGREGATE(15,6,(ROW(Liste_Materiel_Combinee!$G$2:$G$426)-1)/(Liste_Materiel_Combinee!$G$2:$G$426=1),204)+1)),""),0))</f>
        <v/>
      </c>
      <c r="D206" s="104" t="str">
        <f>IF($H$5="EFFACER","",IFERROR(INDEX(Liste_Materiel_Combinee!$E:$E,(_xlfn.AGGREGATE(15,6,(ROW(Liste_Materiel_Combinee!$G$2:$G$426)-1)/(Liste_Materiel_Combinee!$G$2:$G$426=1),204)+1)),""))</f>
        <v/>
      </c>
      <c r="E206" s="105">
        <f t="shared" si="3"/>
        <v>0</v>
      </c>
      <c r="F206" s="104" t="str">
        <f>IFERROR(INDEX(Catalogue!$K:$K,MATCH(A206,Catalogue!$A:$A,0)),"")</f>
        <v/>
      </c>
      <c r="G206" s="102"/>
      <c r="H206" s="7"/>
      <c r="I206" s="7"/>
    </row>
    <row r="207" spans="1:9" x14ac:dyDescent="0.25">
      <c r="A207" s="103" t="str">
        <f>IFERROR(INDEX(Liste_Materiel_Combinee!$B:$B,(_xlfn.AGGREGATE(15,6,(ROW(Liste_Materiel_Combinee!$G$2:$G$426)-1)/(Liste_Materiel_Combinee!$G$2:$G$426=1),205)+1)),"")</f>
        <v/>
      </c>
      <c r="B207" s="104" t="str">
        <f>IFERROR(INDEX(Liste_Materiel_Combinee!$C:$C,(_xlfn.AGGREGATE(15,6,(ROW(Liste_Materiel_Combinee!$G$2:$G$426)-1)/(Liste_Materiel_Combinee!$G$2:$G$426=1),205)+1)),"")</f>
        <v/>
      </c>
      <c r="C207" s="104" t="str">
        <f>IF(IFERROR(INDEX(Liste_Materiel_Combinee!$F:$F,(_xlfn.AGGREGATE(15,6,(ROW(Liste_Materiel_Combinee!$G$2:$G$426)-1)/(Liste_Materiel_Combinee!$G$2:$G$426=1),205)+1)),"")="","",ROUNDUP(IFERROR(INDEX(Liste_Materiel_Combinee!$F:$F,(_xlfn.AGGREGATE(15,6,(ROW(Liste_Materiel_Combinee!$G$2:$G$426)-1)/(Liste_Materiel_Combinee!$G$2:$G$426=1),205)+1)),""),0))</f>
        <v/>
      </c>
      <c r="D207" s="104" t="str">
        <f>IF($H$5="EFFACER","",IFERROR(INDEX(Liste_Materiel_Combinee!$E:$E,(_xlfn.AGGREGATE(15,6,(ROW(Liste_Materiel_Combinee!$G$2:$G$426)-1)/(Liste_Materiel_Combinee!$G$2:$G$426=1),205)+1)),""))</f>
        <v/>
      </c>
      <c r="E207" s="105">
        <f t="shared" si="3"/>
        <v>0</v>
      </c>
      <c r="F207" s="104" t="str">
        <f>IFERROR(INDEX(Catalogue!$K:$K,MATCH(A207,Catalogue!$A:$A,0)),"")</f>
        <v/>
      </c>
      <c r="G207" s="102"/>
      <c r="H207" s="7"/>
      <c r="I207" s="7"/>
    </row>
    <row r="208" spans="1:9" x14ac:dyDescent="0.25">
      <c r="A208" s="103" t="str">
        <f>IFERROR(INDEX(Liste_Materiel_Combinee!$B:$B,(_xlfn.AGGREGATE(15,6,(ROW(Liste_Materiel_Combinee!$G$2:$G$426)-1)/(Liste_Materiel_Combinee!$G$2:$G$426=1),206)+1)),"")</f>
        <v/>
      </c>
      <c r="B208" s="104" t="str">
        <f>IFERROR(INDEX(Liste_Materiel_Combinee!$C:$C,(_xlfn.AGGREGATE(15,6,(ROW(Liste_Materiel_Combinee!$G$2:$G$426)-1)/(Liste_Materiel_Combinee!$G$2:$G$426=1),206)+1)),"")</f>
        <v/>
      </c>
      <c r="C208" s="104" t="str">
        <f>IF(IFERROR(INDEX(Liste_Materiel_Combinee!$F:$F,(_xlfn.AGGREGATE(15,6,(ROW(Liste_Materiel_Combinee!$G$2:$G$426)-1)/(Liste_Materiel_Combinee!$G$2:$G$426=1),206)+1)),"")="","",ROUNDUP(IFERROR(INDEX(Liste_Materiel_Combinee!$F:$F,(_xlfn.AGGREGATE(15,6,(ROW(Liste_Materiel_Combinee!$G$2:$G$426)-1)/(Liste_Materiel_Combinee!$G$2:$G$426=1),206)+1)),""),0))</f>
        <v/>
      </c>
      <c r="D208" s="104" t="str">
        <f>IF($H$5="EFFACER","",IFERROR(INDEX(Liste_Materiel_Combinee!$E:$E,(_xlfn.AGGREGATE(15,6,(ROW(Liste_Materiel_Combinee!$G$2:$G$426)-1)/(Liste_Materiel_Combinee!$G$2:$G$426=1),206)+1)),""))</f>
        <v/>
      </c>
      <c r="E208" s="105">
        <f t="shared" si="3"/>
        <v>0</v>
      </c>
      <c r="F208" s="104" t="str">
        <f>IFERROR(INDEX(Catalogue!$K:$K,MATCH(A208,Catalogue!$A:$A,0)),"")</f>
        <v/>
      </c>
      <c r="G208" s="102"/>
      <c r="H208" s="7"/>
      <c r="I208" s="7"/>
    </row>
    <row r="209" spans="1:9" x14ac:dyDescent="0.25">
      <c r="A209" s="103" t="str">
        <f>IFERROR(INDEX(Liste_Materiel_Combinee!$B:$B,(_xlfn.AGGREGATE(15,6,(ROW(Liste_Materiel_Combinee!$G$2:$G$426)-1)/(Liste_Materiel_Combinee!$G$2:$G$426=1),207)+1)),"")</f>
        <v/>
      </c>
      <c r="B209" s="104" t="str">
        <f>IFERROR(INDEX(Liste_Materiel_Combinee!$C:$C,(_xlfn.AGGREGATE(15,6,(ROW(Liste_Materiel_Combinee!$G$2:$G$426)-1)/(Liste_Materiel_Combinee!$G$2:$G$426=1),207)+1)),"")</f>
        <v/>
      </c>
      <c r="C209" s="104" t="str">
        <f>IF(IFERROR(INDEX(Liste_Materiel_Combinee!$F:$F,(_xlfn.AGGREGATE(15,6,(ROW(Liste_Materiel_Combinee!$G$2:$G$426)-1)/(Liste_Materiel_Combinee!$G$2:$G$426=1),207)+1)),"")="","",ROUNDUP(IFERROR(INDEX(Liste_Materiel_Combinee!$F:$F,(_xlfn.AGGREGATE(15,6,(ROW(Liste_Materiel_Combinee!$G$2:$G$426)-1)/(Liste_Materiel_Combinee!$G$2:$G$426=1),207)+1)),""),0))</f>
        <v/>
      </c>
      <c r="D209" s="104" t="str">
        <f>IF($H$5="EFFACER","",IFERROR(INDEX(Liste_Materiel_Combinee!$E:$E,(_xlfn.AGGREGATE(15,6,(ROW(Liste_Materiel_Combinee!$G$2:$G$426)-1)/(Liste_Materiel_Combinee!$G$2:$G$426=1),207)+1)),""))</f>
        <v/>
      </c>
      <c r="E209" s="105">
        <f t="shared" si="3"/>
        <v>0</v>
      </c>
      <c r="F209" s="104" t="str">
        <f>IFERROR(INDEX(Catalogue!$K:$K,MATCH(A209,Catalogue!$A:$A,0)),"")</f>
        <v/>
      </c>
      <c r="G209" s="102"/>
      <c r="H209" s="7"/>
      <c r="I209" s="7"/>
    </row>
    <row r="210" spans="1:9" x14ac:dyDescent="0.25">
      <c r="A210" s="103" t="str">
        <f>IFERROR(INDEX(Liste_Materiel_Combinee!$B:$B,(_xlfn.AGGREGATE(15,6,(ROW(Liste_Materiel_Combinee!$G$2:$G$426)-1)/(Liste_Materiel_Combinee!$G$2:$G$426=1),208)+1)),"")</f>
        <v/>
      </c>
      <c r="B210" s="104" t="str">
        <f>IFERROR(INDEX(Liste_Materiel_Combinee!$C:$C,(_xlfn.AGGREGATE(15,6,(ROW(Liste_Materiel_Combinee!$G$2:$G$426)-1)/(Liste_Materiel_Combinee!$G$2:$G$426=1),208)+1)),"")</f>
        <v/>
      </c>
      <c r="C210" s="104" t="str">
        <f>IF(IFERROR(INDEX(Liste_Materiel_Combinee!$F:$F,(_xlfn.AGGREGATE(15,6,(ROW(Liste_Materiel_Combinee!$G$2:$G$426)-1)/(Liste_Materiel_Combinee!$G$2:$G$426=1),208)+1)),"")="","",ROUNDUP(IFERROR(INDEX(Liste_Materiel_Combinee!$F:$F,(_xlfn.AGGREGATE(15,6,(ROW(Liste_Materiel_Combinee!$G$2:$G$426)-1)/(Liste_Materiel_Combinee!$G$2:$G$426=1),208)+1)),""),0))</f>
        <v/>
      </c>
      <c r="D210" s="104" t="str">
        <f>IF($H$5="EFFACER","",IFERROR(INDEX(Liste_Materiel_Combinee!$E:$E,(_xlfn.AGGREGATE(15,6,(ROW(Liste_Materiel_Combinee!$G$2:$G$426)-1)/(Liste_Materiel_Combinee!$G$2:$G$426=1),208)+1)),""))</f>
        <v/>
      </c>
      <c r="E210" s="105">
        <f t="shared" si="3"/>
        <v>0</v>
      </c>
      <c r="F210" s="104" t="str">
        <f>IFERROR(INDEX(Catalogue!$K:$K,MATCH(A210,Catalogue!$A:$A,0)),"")</f>
        <v/>
      </c>
      <c r="G210" s="102"/>
      <c r="H210" s="7"/>
      <c r="I210" s="7"/>
    </row>
    <row r="211" spans="1:9" x14ac:dyDescent="0.25">
      <c r="A211" s="103" t="str">
        <f>IFERROR(INDEX(Liste_Materiel_Combinee!$B:$B,(_xlfn.AGGREGATE(15,6,(ROW(Liste_Materiel_Combinee!$G$2:$G$426)-1)/(Liste_Materiel_Combinee!$G$2:$G$426=1),209)+1)),"")</f>
        <v/>
      </c>
      <c r="B211" s="104" t="str">
        <f>IFERROR(INDEX(Liste_Materiel_Combinee!$C:$C,(_xlfn.AGGREGATE(15,6,(ROW(Liste_Materiel_Combinee!$G$2:$G$426)-1)/(Liste_Materiel_Combinee!$G$2:$G$426=1),209)+1)),"")</f>
        <v/>
      </c>
      <c r="C211" s="104" t="str">
        <f>IF(IFERROR(INDEX(Liste_Materiel_Combinee!$F:$F,(_xlfn.AGGREGATE(15,6,(ROW(Liste_Materiel_Combinee!$G$2:$G$426)-1)/(Liste_Materiel_Combinee!$G$2:$G$426=1),209)+1)),"")="","",ROUNDUP(IFERROR(INDEX(Liste_Materiel_Combinee!$F:$F,(_xlfn.AGGREGATE(15,6,(ROW(Liste_Materiel_Combinee!$G$2:$G$426)-1)/(Liste_Materiel_Combinee!$G$2:$G$426=1),209)+1)),""),0))</f>
        <v/>
      </c>
      <c r="D211" s="104" t="str">
        <f>IF($H$5="EFFACER","",IFERROR(INDEX(Liste_Materiel_Combinee!$E:$E,(_xlfn.AGGREGATE(15,6,(ROW(Liste_Materiel_Combinee!$G$2:$G$426)-1)/(Liste_Materiel_Combinee!$G$2:$G$426=1),209)+1)),""))</f>
        <v/>
      </c>
      <c r="E211" s="105">
        <f t="shared" si="3"/>
        <v>0</v>
      </c>
      <c r="F211" s="104" t="str">
        <f>IFERROR(INDEX(Catalogue!$K:$K,MATCH(A211,Catalogue!$A:$A,0)),"")</f>
        <v/>
      </c>
      <c r="G211" s="102"/>
      <c r="H211" s="7"/>
      <c r="I211" s="7"/>
    </row>
    <row r="212" spans="1:9" x14ac:dyDescent="0.25">
      <c r="A212" s="103" t="str">
        <f>IFERROR(INDEX(Liste_Materiel_Combinee!$B:$B,(_xlfn.AGGREGATE(15,6,(ROW(Liste_Materiel_Combinee!$G$2:$G$426)-1)/(Liste_Materiel_Combinee!$G$2:$G$426=1),210)+1)),"")</f>
        <v/>
      </c>
      <c r="B212" s="104" t="str">
        <f>IFERROR(INDEX(Liste_Materiel_Combinee!$C:$C,(_xlfn.AGGREGATE(15,6,(ROW(Liste_Materiel_Combinee!$G$2:$G$426)-1)/(Liste_Materiel_Combinee!$G$2:$G$426=1),210)+1)),"")</f>
        <v/>
      </c>
      <c r="C212" s="104" t="str">
        <f>IF(IFERROR(INDEX(Liste_Materiel_Combinee!$F:$F,(_xlfn.AGGREGATE(15,6,(ROW(Liste_Materiel_Combinee!$G$2:$G$426)-1)/(Liste_Materiel_Combinee!$G$2:$G$426=1),210)+1)),"")="","",ROUNDUP(IFERROR(INDEX(Liste_Materiel_Combinee!$F:$F,(_xlfn.AGGREGATE(15,6,(ROW(Liste_Materiel_Combinee!$G$2:$G$426)-1)/(Liste_Materiel_Combinee!$G$2:$G$426=1),210)+1)),""),0))</f>
        <v/>
      </c>
      <c r="D212" s="104" t="str">
        <f>IF($H$5="EFFACER","",IFERROR(INDEX(Liste_Materiel_Combinee!$E:$E,(_xlfn.AGGREGATE(15,6,(ROW(Liste_Materiel_Combinee!$G$2:$G$426)-1)/(Liste_Materiel_Combinee!$G$2:$G$426=1),210)+1)),""))</f>
        <v/>
      </c>
      <c r="E212" s="105">
        <f t="shared" si="3"/>
        <v>0</v>
      </c>
      <c r="F212" s="104" t="str">
        <f>IFERROR(INDEX(Catalogue!$K:$K,MATCH(A212,Catalogue!$A:$A,0)),"")</f>
        <v/>
      </c>
      <c r="G212" s="102"/>
      <c r="H212" s="7"/>
      <c r="I212" s="7"/>
    </row>
    <row r="213" spans="1:9" x14ac:dyDescent="0.25">
      <c r="A213" s="103" t="str">
        <f>IFERROR(INDEX(Liste_Materiel_Combinee!$B:$B,(_xlfn.AGGREGATE(15,6,(ROW(Liste_Materiel_Combinee!$G$2:$G$426)-1)/(Liste_Materiel_Combinee!$G$2:$G$426=1),211)+1)),"")</f>
        <v/>
      </c>
      <c r="B213" s="104" t="str">
        <f>IFERROR(INDEX(Liste_Materiel_Combinee!$C:$C,(_xlfn.AGGREGATE(15,6,(ROW(Liste_Materiel_Combinee!$G$2:$G$426)-1)/(Liste_Materiel_Combinee!$G$2:$G$426=1),211)+1)),"")</f>
        <v/>
      </c>
      <c r="C213" s="104" t="str">
        <f>IF(IFERROR(INDEX(Liste_Materiel_Combinee!$F:$F,(_xlfn.AGGREGATE(15,6,(ROW(Liste_Materiel_Combinee!$G$2:$G$426)-1)/(Liste_Materiel_Combinee!$G$2:$G$426=1),211)+1)),"")="","",ROUNDUP(IFERROR(INDEX(Liste_Materiel_Combinee!$F:$F,(_xlfn.AGGREGATE(15,6,(ROW(Liste_Materiel_Combinee!$G$2:$G$426)-1)/(Liste_Materiel_Combinee!$G$2:$G$426=1),211)+1)),""),0))</f>
        <v/>
      </c>
      <c r="D213" s="104" t="str">
        <f>IF($H$5="EFFACER","",IFERROR(INDEX(Liste_Materiel_Combinee!$E:$E,(_xlfn.AGGREGATE(15,6,(ROW(Liste_Materiel_Combinee!$G$2:$G$426)-1)/(Liste_Materiel_Combinee!$G$2:$G$426=1),211)+1)),""))</f>
        <v/>
      </c>
      <c r="E213" s="105">
        <f t="shared" si="3"/>
        <v>0</v>
      </c>
      <c r="F213" s="104" t="str">
        <f>IFERROR(INDEX(Catalogue!$K:$K,MATCH(A213,Catalogue!$A:$A,0)),"")</f>
        <v/>
      </c>
      <c r="G213" s="102"/>
      <c r="H213" s="7"/>
      <c r="I213" s="7"/>
    </row>
    <row r="214" spans="1:9" x14ac:dyDescent="0.25">
      <c r="A214" s="103" t="str">
        <f>IFERROR(INDEX(Liste_Materiel_Combinee!$B:$B,(_xlfn.AGGREGATE(15,6,(ROW(Liste_Materiel_Combinee!$G$2:$G$426)-1)/(Liste_Materiel_Combinee!$G$2:$G$426=1),212)+1)),"")</f>
        <v/>
      </c>
      <c r="B214" s="104" t="str">
        <f>IFERROR(INDEX(Liste_Materiel_Combinee!$C:$C,(_xlfn.AGGREGATE(15,6,(ROW(Liste_Materiel_Combinee!$G$2:$G$426)-1)/(Liste_Materiel_Combinee!$G$2:$G$426=1),212)+1)),"")</f>
        <v/>
      </c>
      <c r="C214" s="104" t="str">
        <f>IF(IFERROR(INDEX(Liste_Materiel_Combinee!$F:$F,(_xlfn.AGGREGATE(15,6,(ROW(Liste_Materiel_Combinee!$G$2:$G$426)-1)/(Liste_Materiel_Combinee!$G$2:$G$426=1),212)+1)),"")="","",ROUNDUP(IFERROR(INDEX(Liste_Materiel_Combinee!$F:$F,(_xlfn.AGGREGATE(15,6,(ROW(Liste_Materiel_Combinee!$G$2:$G$426)-1)/(Liste_Materiel_Combinee!$G$2:$G$426=1),212)+1)),""),0))</f>
        <v/>
      </c>
      <c r="D214" s="104" t="str">
        <f>IF($H$5="EFFACER","",IFERROR(INDEX(Liste_Materiel_Combinee!$E:$E,(_xlfn.AGGREGATE(15,6,(ROW(Liste_Materiel_Combinee!$G$2:$G$426)-1)/(Liste_Materiel_Combinee!$G$2:$G$426=1),212)+1)),""))</f>
        <v/>
      </c>
      <c r="E214" s="105">
        <f t="shared" si="3"/>
        <v>0</v>
      </c>
      <c r="F214" s="104" t="str">
        <f>IFERROR(INDEX(Catalogue!$K:$K,MATCH(A214,Catalogue!$A:$A,0)),"")</f>
        <v/>
      </c>
      <c r="G214" s="102"/>
      <c r="H214" s="7"/>
      <c r="I214" s="7"/>
    </row>
    <row r="215" spans="1:9" x14ac:dyDescent="0.25">
      <c r="A215" s="103" t="str">
        <f>IFERROR(INDEX(Liste_Materiel_Combinee!$B:$B,(_xlfn.AGGREGATE(15,6,(ROW(Liste_Materiel_Combinee!$G$2:$G$426)-1)/(Liste_Materiel_Combinee!$G$2:$G$426=1),213)+1)),"")</f>
        <v/>
      </c>
      <c r="B215" s="104" t="str">
        <f>IFERROR(INDEX(Liste_Materiel_Combinee!$C:$C,(_xlfn.AGGREGATE(15,6,(ROW(Liste_Materiel_Combinee!$G$2:$G$426)-1)/(Liste_Materiel_Combinee!$G$2:$G$426=1),213)+1)),"")</f>
        <v/>
      </c>
      <c r="C215" s="104" t="str">
        <f>IF(IFERROR(INDEX(Liste_Materiel_Combinee!$F:$F,(_xlfn.AGGREGATE(15,6,(ROW(Liste_Materiel_Combinee!$G$2:$G$426)-1)/(Liste_Materiel_Combinee!$G$2:$G$426=1),213)+1)),"")="","",ROUNDUP(IFERROR(INDEX(Liste_Materiel_Combinee!$F:$F,(_xlfn.AGGREGATE(15,6,(ROW(Liste_Materiel_Combinee!$G$2:$G$426)-1)/(Liste_Materiel_Combinee!$G$2:$G$426=1),213)+1)),""),0))</f>
        <v/>
      </c>
      <c r="D215" s="104" t="str">
        <f>IF($H$5="EFFACER","",IFERROR(INDEX(Liste_Materiel_Combinee!$E:$E,(_xlfn.AGGREGATE(15,6,(ROW(Liste_Materiel_Combinee!$G$2:$G$426)-1)/(Liste_Materiel_Combinee!$G$2:$G$426=1),213)+1)),""))</f>
        <v/>
      </c>
      <c r="E215" s="105">
        <f t="shared" si="3"/>
        <v>0</v>
      </c>
      <c r="F215" s="104" t="str">
        <f>IFERROR(INDEX(Catalogue!$K:$K,MATCH(A215,Catalogue!$A:$A,0)),"")</f>
        <v/>
      </c>
      <c r="G215" s="102"/>
      <c r="H215" s="7"/>
      <c r="I215" s="7"/>
    </row>
    <row r="216" spans="1:9" x14ac:dyDescent="0.25">
      <c r="A216" s="103" t="str">
        <f>IFERROR(INDEX(Liste_Materiel_Combinee!$B:$B,(_xlfn.AGGREGATE(15,6,(ROW(Liste_Materiel_Combinee!$G$2:$G$426)-1)/(Liste_Materiel_Combinee!$G$2:$G$426=1),214)+1)),"")</f>
        <v/>
      </c>
      <c r="B216" s="104" t="str">
        <f>IFERROR(INDEX(Liste_Materiel_Combinee!$C:$C,(_xlfn.AGGREGATE(15,6,(ROW(Liste_Materiel_Combinee!$G$2:$G$426)-1)/(Liste_Materiel_Combinee!$G$2:$G$426=1),214)+1)),"")</f>
        <v/>
      </c>
      <c r="C216" s="104" t="str">
        <f>IF(IFERROR(INDEX(Liste_Materiel_Combinee!$F:$F,(_xlfn.AGGREGATE(15,6,(ROW(Liste_Materiel_Combinee!$G$2:$G$426)-1)/(Liste_Materiel_Combinee!$G$2:$G$426=1),214)+1)),"")="","",ROUNDUP(IFERROR(INDEX(Liste_Materiel_Combinee!$F:$F,(_xlfn.AGGREGATE(15,6,(ROW(Liste_Materiel_Combinee!$G$2:$G$426)-1)/(Liste_Materiel_Combinee!$G$2:$G$426=1),214)+1)),""),0))</f>
        <v/>
      </c>
      <c r="D216" s="104" t="str">
        <f>IF($H$5="EFFACER","",IFERROR(INDEX(Liste_Materiel_Combinee!$E:$E,(_xlfn.AGGREGATE(15,6,(ROW(Liste_Materiel_Combinee!$G$2:$G$426)-1)/(Liste_Materiel_Combinee!$G$2:$G$426=1),214)+1)),""))</f>
        <v/>
      </c>
      <c r="E216" s="105">
        <f t="shared" si="3"/>
        <v>0</v>
      </c>
      <c r="F216" s="104" t="str">
        <f>IFERROR(INDEX(Catalogue!$K:$K,MATCH(A216,Catalogue!$A:$A,0)),"")</f>
        <v/>
      </c>
      <c r="G216" s="102"/>
      <c r="H216" s="7"/>
      <c r="I216" s="7"/>
    </row>
    <row r="217" spans="1:9" x14ac:dyDescent="0.25">
      <c r="A217" s="103" t="str">
        <f>IFERROR(INDEX(Liste_Materiel_Combinee!$B:$B,(_xlfn.AGGREGATE(15,6,(ROW(Liste_Materiel_Combinee!$G$2:$G$426)-1)/(Liste_Materiel_Combinee!$G$2:$G$426=1),215)+1)),"")</f>
        <v/>
      </c>
      <c r="B217" s="104" t="str">
        <f>IFERROR(INDEX(Liste_Materiel_Combinee!$C:$C,(_xlfn.AGGREGATE(15,6,(ROW(Liste_Materiel_Combinee!$G$2:$G$426)-1)/(Liste_Materiel_Combinee!$G$2:$G$426=1),215)+1)),"")</f>
        <v/>
      </c>
      <c r="C217" s="104" t="str">
        <f>IF(IFERROR(INDEX(Liste_Materiel_Combinee!$F:$F,(_xlfn.AGGREGATE(15,6,(ROW(Liste_Materiel_Combinee!$G$2:$G$426)-1)/(Liste_Materiel_Combinee!$G$2:$G$426=1),215)+1)),"")="","",ROUNDUP(IFERROR(INDEX(Liste_Materiel_Combinee!$F:$F,(_xlfn.AGGREGATE(15,6,(ROW(Liste_Materiel_Combinee!$G$2:$G$426)-1)/(Liste_Materiel_Combinee!$G$2:$G$426=1),215)+1)),""),0))</f>
        <v/>
      </c>
      <c r="D217" s="104" t="str">
        <f>IF($H$5="EFFACER","",IFERROR(INDEX(Liste_Materiel_Combinee!$E:$E,(_xlfn.AGGREGATE(15,6,(ROW(Liste_Materiel_Combinee!$G$2:$G$426)-1)/(Liste_Materiel_Combinee!$G$2:$G$426=1),215)+1)),""))</f>
        <v/>
      </c>
      <c r="E217" s="105">
        <f t="shared" si="3"/>
        <v>0</v>
      </c>
      <c r="F217" s="104" t="str">
        <f>IFERROR(INDEX(Catalogue!$K:$K,MATCH(A217,Catalogue!$A:$A,0)),"")</f>
        <v/>
      </c>
      <c r="G217" s="102"/>
      <c r="H217" s="7"/>
      <c r="I217" s="7"/>
    </row>
    <row r="218" spans="1:9" x14ac:dyDescent="0.25">
      <c r="A218" s="103" t="str">
        <f>IFERROR(INDEX(Liste_Materiel_Combinee!$B:$B,(_xlfn.AGGREGATE(15,6,(ROW(Liste_Materiel_Combinee!$G$2:$G$426)-1)/(Liste_Materiel_Combinee!$G$2:$G$426=1),216)+1)),"")</f>
        <v/>
      </c>
      <c r="B218" s="104" t="str">
        <f>IFERROR(INDEX(Liste_Materiel_Combinee!$C:$C,(_xlfn.AGGREGATE(15,6,(ROW(Liste_Materiel_Combinee!$G$2:$G$426)-1)/(Liste_Materiel_Combinee!$G$2:$G$426=1),216)+1)),"")</f>
        <v/>
      </c>
      <c r="C218" s="104" t="str">
        <f>IF(IFERROR(INDEX(Liste_Materiel_Combinee!$F:$F,(_xlfn.AGGREGATE(15,6,(ROW(Liste_Materiel_Combinee!$G$2:$G$426)-1)/(Liste_Materiel_Combinee!$G$2:$G$426=1),216)+1)),"")="","",ROUNDUP(IFERROR(INDEX(Liste_Materiel_Combinee!$F:$F,(_xlfn.AGGREGATE(15,6,(ROW(Liste_Materiel_Combinee!$G$2:$G$426)-1)/(Liste_Materiel_Combinee!$G$2:$G$426=1),216)+1)),""),0))</f>
        <v/>
      </c>
      <c r="D218" s="104" t="str">
        <f>IF($H$5="EFFACER","",IFERROR(INDEX(Liste_Materiel_Combinee!$E:$E,(_xlfn.AGGREGATE(15,6,(ROW(Liste_Materiel_Combinee!$G$2:$G$426)-1)/(Liste_Materiel_Combinee!$G$2:$G$426=1),216)+1)),""))</f>
        <v/>
      </c>
      <c r="E218" s="105">
        <f t="shared" si="3"/>
        <v>0</v>
      </c>
      <c r="F218" s="104" t="str">
        <f>IFERROR(INDEX(Catalogue!$K:$K,MATCH(A218,Catalogue!$A:$A,0)),"")</f>
        <v/>
      </c>
      <c r="G218" s="102"/>
      <c r="H218" s="7"/>
      <c r="I218" s="7"/>
    </row>
    <row r="219" spans="1:9" x14ac:dyDescent="0.25">
      <c r="A219" s="103" t="str">
        <f>IFERROR(INDEX(Liste_Materiel_Combinee!$B:$B,(_xlfn.AGGREGATE(15,6,(ROW(Liste_Materiel_Combinee!$G$2:$G$426)-1)/(Liste_Materiel_Combinee!$G$2:$G$426=1),217)+1)),"")</f>
        <v/>
      </c>
      <c r="B219" s="104" t="str">
        <f>IFERROR(INDEX(Liste_Materiel_Combinee!$C:$C,(_xlfn.AGGREGATE(15,6,(ROW(Liste_Materiel_Combinee!$G$2:$G$426)-1)/(Liste_Materiel_Combinee!$G$2:$G$426=1),217)+1)),"")</f>
        <v/>
      </c>
      <c r="C219" s="104" t="str">
        <f>IF(IFERROR(INDEX(Liste_Materiel_Combinee!$F:$F,(_xlfn.AGGREGATE(15,6,(ROW(Liste_Materiel_Combinee!$G$2:$G$426)-1)/(Liste_Materiel_Combinee!$G$2:$G$426=1),217)+1)),"")="","",ROUNDUP(IFERROR(INDEX(Liste_Materiel_Combinee!$F:$F,(_xlfn.AGGREGATE(15,6,(ROW(Liste_Materiel_Combinee!$G$2:$G$426)-1)/(Liste_Materiel_Combinee!$G$2:$G$426=1),217)+1)),""),0))</f>
        <v/>
      </c>
      <c r="D219" s="104" t="str">
        <f>IF($H$5="EFFACER","",IFERROR(INDEX(Liste_Materiel_Combinee!$E:$E,(_xlfn.AGGREGATE(15,6,(ROW(Liste_Materiel_Combinee!$G$2:$G$426)-1)/(Liste_Materiel_Combinee!$G$2:$G$426=1),217)+1)),""))</f>
        <v/>
      </c>
      <c r="E219" s="105">
        <f t="shared" si="3"/>
        <v>0</v>
      </c>
      <c r="F219" s="104" t="str">
        <f>IFERROR(INDEX(Catalogue!$K:$K,MATCH(A219,Catalogue!$A:$A,0)),"")</f>
        <v/>
      </c>
      <c r="G219" s="102"/>
      <c r="H219" s="7"/>
      <c r="I219" s="7"/>
    </row>
    <row r="220" spans="1:9" x14ac:dyDescent="0.25">
      <c r="A220" s="103" t="str">
        <f>IFERROR(INDEX(Liste_Materiel_Combinee!$B:$B,(_xlfn.AGGREGATE(15,6,(ROW(Liste_Materiel_Combinee!$G$2:$G$426)-1)/(Liste_Materiel_Combinee!$G$2:$G$426=1),218)+1)),"")</f>
        <v/>
      </c>
      <c r="B220" s="104" t="str">
        <f>IFERROR(INDEX(Liste_Materiel_Combinee!$C:$C,(_xlfn.AGGREGATE(15,6,(ROW(Liste_Materiel_Combinee!$G$2:$G$426)-1)/(Liste_Materiel_Combinee!$G$2:$G$426=1),218)+1)),"")</f>
        <v/>
      </c>
      <c r="C220" s="104" t="str">
        <f>IF(IFERROR(INDEX(Liste_Materiel_Combinee!$F:$F,(_xlfn.AGGREGATE(15,6,(ROW(Liste_Materiel_Combinee!$G$2:$G$426)-1)/(Liste_Materiel_Combinee!$G$2:$G$426=1),218)+1)),"")="","",ROUNDUP(IFERROR(INDEX(Liste_Materiel_Combinee!$F:$F,(_xlfn.AGGREGATE(15,6,(ROW(Liste_Materiel_Combinee!$G$2:$G$426)-1)/(Liste_Materiel_Combinee!$G$2:$G$426=1),218)+1)),""),0))</f>
        <v/>
      </c>
      <c r="D220" s="104" t="str">
        <f>IF($H$5="EFFACER","",IFERROR(INDEX(Liste_Materiel_Combinee!$E:$E,(_xlfn.AGGREGATE(15,6,(ROW(Liste_Materiel_Combinee!$G$2:$G$426)-1)/(Liste_Materiel_Combinee!$G$2:$G$426=1),218)+1)),""))</f>
        <v/>
      </c>
      <c r="E220" s="105">
        <f t="shared" si="3"/>
        <v>0</v>
      </c>
      <c r="F220" s="104" t="str">
        <f>IFERROR(INDEX(Catalogue!$K:$K,MATCH(A220,Catalogue!$A:$A,0)),"")</f>
        <v/>
      </c>
      <c r="G220" s="102"/>
      <c r="H220" s="7"/>
      <c r="I220" s="7"/>
    </row>
    <row r="221" spans="1:9" x14ac:dyDescent="0.25">
      <c r="A221" s="103" t="str">
        <f>IFERROR(INDEX(Liste_Materiel_Combinee!$B:$B,(_xlfn.AGGREGATE(15,6,(ROW(Liste_Materiel_Combinee!$G$2:$G$426)-1)/(Liste_Materiel_Combinee!$G$2:$G$426=1),219)+1)),"")</f>
        <v/>
      </c>
      <c r="B221" s="104" t="str">
        <f>IFERROR(INDEX(Liste_Materiel_Combinee!$C:$C,(_xlfn.AGGREGATE(15,6,(ROW(Liste_Materiel_Combinee!$G$2:$G$426)-1)/(Liste_Materiel_Combinee!$G$2:$G$426=1),219)+1)),"")</f>
        <v/>
      </c>
      <c r="C221" s="104" t="str">
        <f>IF(IFERROR(INDEX(Liste_Materiel_Combinee!$F:$F,(_xlfn.AGGREGATE(15,6,(ROW(Liste_Materiel_Combinee!$G$2:$G$426)-1)/(Liste_Materiel_Combinee!$G$2:$G$426=1),219)+1)),"")="","",ROUNDUP(IFERROR(INDEX(Liste_Materiel_Combinee!$F:$F,(_xlfn.AGGREGATE(15,6,(ROW(Liste_Materiel_Combinee!$G$2:$G$426)-1)/(Liste_Materiel_Combinee!$G$2:$G$426=1),219)+1)),""),0))</f>
        <v/>
      </c>
      <c r="D221" s="104" t="str">
        <f>IF($H$5="EFFACER","",IFERROR(INDEX(Liste_Materiel_Combinee!$E:$E,(_xlfn.AGGREGATE(15,6,(ROW(Liste_Materiel_Combinee!$G$2:$G$426)-1)/(Liste_Materiel_Combinee!$G$2:$G$426=1),219)+1)),""))</f>
        <v/>
      </c>
      <c r="E221" s="105">
        <f t="shared" si="3"/>
        <v>0</v>
      </c>
      <c r="F221" s="104" t="str">
        <f>IFERROR(INDEX(Catalogue!$K:$K,MATCH(A221,Catalogue!$A:$A,0)),"")</f>
        <v/>
      </c>
      <c r="G221" s="102"/>
      <c r="H221" s="7"/>
      <c r="I221" s="7"/>
    </row>
    <row r="222" spans="1:9" x14ac:dyDescent="0.25">
      <c r="A222" s="103" t="str">
        <f>IFERROR(INDEX(Liste_Materiel_Combinee!$B:$B,(_xlfn.AGGREGATE(15,6,(ROW(Liste_Materiel_Combinee!$G$2:$G$426)-1)/(Liste_Materiel_Combinee!$G$2:$G$426=1),220)+1)),"")</f>
        <v/>
      </c>
      <c r="B222" s="104" t="str">
        <f>IFERROR(INDEX(Liste_Materiel_Combinee!$C:$C,(_xlfn.AGGREGATE(15,6,(ROW(Liste_Materiel_Combinee!$G$2:$G$426)-1)/(Liste_Materiel_Combinee!$G$2:$G$426=1),220)+1)),"")</f>
        <v/>
      </c>
      <c r="C222" s="104" t="str">
        <f>IF(IFERROR(INDEX(Liste_Materiel_Combinee!$F:$F,(_xlfn.AGGREGATE(15,6,(ROW(Liste_Materiel_Combinee!$G$2:$G$426)-1)/(Liste_Materiel_Combinee!$G$2:$G$426=1),220)+1)),"")="","",ROUNDUP(IFERROR(INDEX(Liste_Materiel_Combinee!$F:$F,(_xlfn.AGGREGATE(15,6,(ROW(Liste_Materiel_Combinee!$G$2:$G$426)-1)/(Liste_Materiel_Combinee!$G$2:$G$426=1),220)+1)),""),0))</f>
        <v/>
      </c>
      <c r="D222" s="104" t="str">
        <f>IF($H$5="EFFACER","",IFERROR(INDEX(Liste_Materiel_Combinee!$E:$E,(_xlfn.AGGREGATE(15,6,(ROW(Liste_Materiel_Combinee!$G$2:$G$426)-1)/(Liste_Materiel_Combinee!$G$2:$G$426=1),220)+1)),""))</f>
        <v/>
      </c>
      <c r="E222" s="105">
        <f t="shared" si="3"/>
        <v>0</v>
      </c>
      <c r="F222" s="104" t="str">
        <f>IFERROR(INDEX(Catalogue!$K:$K,MATCH(A222,Catalogue!$A:$A,0)),"")</f>
        <v/>
      </c>
      <c r="G222" s="102"/>
      <c r="H222" s="7"/>
      <c r="I222" s="7"/>
    </row>
    <row r="223" spans="1:9" x14ac:dyDescent="0.25">
      <c r="A223" s="103" t="str">
        <f>IFERROR(INDEX(Liste_Materiel_Combinee!$B:$B,(_xlfn.AGGREGATE(15,6,(ROW(Liste_Materiel_Combinee!$G$2:$G$426)-1)/(Liste_Materiel_Combinee!$G$2:$G$426=1),221)+1)),"")</f>
        <v/>
      </c>
      <c r="B223" s="104" t="str">
        <f>IFERROR(INDEX(Liste_Materiel_Combinee!$C:$C,(_xlfn.AGGREGATE(15,6,(ROW(Liste_Materiel_Combinee!$G$2:$G$426)-1)/(Liste_Materiel_Combinee!$G$2:$G$426=1),221)+1)),"")</f>
        <v/>
      </c>
      <c r="C223" s="104" t="str">
        <f>IF(IFERROR(INDEX(Liste_Materiel_Combinee!$F:$F,(_xlfn.AGGREGATE(15,6,(ROW(Liste_Materiel_Combinee!$G$2:$G$426)-1)/(Liste_Materiel_Combinee!$G$2:$G$426=1),221)+1)),"")="","",ROUNDUP(IFERROR(INDEX(Liste_Materiel_Combinee!$F:$F,(_xlfn.AGGREGATE(15,6,(ROW(Liste_Materiel_Combinee!$G$2:$G$426)-1)/(Liste_Materiel_Combinee!$G$2:$G$426=1),221)+1)),""),0))</f>
        <v/>
      </c>
      <c r="D223" s="104" t="str">
        <f>IF($H$5="EFFACER","",IFERROR(INDEX(Liste_Materiel_Combinee!$E:$E,(_xlfn.AGGREGATE(15,6,(ROW(Liste_Materiel_Combinee!$G$2:$G$426)-1)/(Liste_Materiel_Combinee!$G$2:$G$426=1),221)+1)),""))</f>
        <v/>
      </c>
      <c r="E223" s="105">
        <f t="shared" si="3"/>
        <v>0</v>
      </c>
      <c r="F223" s="104" t="str">
        <f>IFERROR(INDEX(Catalogue!$K:$K,MATCH(A223,Catalogue!$A:$A,0)),"")</f>
        <v/>
      </c>
      <c r="G223" s="102"/>
      <c r="H223" s="7"/>
      <c r="I223" s="7"/>
    </row>
    <row r="224" spans="1:9" x14ac:dyDescent="0.25">
      <c r="A224" s="103" t="str">
        <f>IFERROR(INDEX(Liste_Materiel_Combinee!$B:$B,(_xlfn.AGGREGATE(15,6,(ROW(Liste_Materiel_Combinee!$G$2:$G$426)-1)/(Liste_Materiel_Combinee!$G$2:$G$426=1),222)+1)),"")</f>
        <v/>
      </c>
      <c r="B224" s="104" t="str">
        <f>IFERROR(INDEX(Liste_Materiel_Combinee!$C:$C,(_xlfn.AGGREGATE(15,6,(ROW(Liste_Materiel_Combinee!$G$2:$G$426)-1)/(Liste_Materiel_Combinee!$G$2:$G$426=1),222)+1)),"")</f>
        <v/>
      </c>
      <c r="C224" s="104" t="str">
        <f>IF(IFERROR(INDEX(Liste_Materiel_Combinee!$F:$F,(_xlfn.AGGREGATE(15,6,(ROW(Liste_Materiel_Combinee!$G$2:$G$426)-1)/(Liste_Materiel_Combinee!$G$2:$G$426=1),222)+1)),"")="","",ROUNDUP(IFERROR(INDEX(Liste_Materiel_Combinee!$F:$F,(_xlfn.AGGREGATE(15,6,(ROW(Liste_Materiel_Combinee!$G$2:$G$426)-1)/(Liste_Materiel_Combinee!$G$2:$G$426=1),222)+1)),""),0))</f>
        <v/>
      </c>
      <c r="D224" s="104" t="str">
        <f>IF($H$5="EFFACER","",IFERROR(INDEX(Liste_Materiel_Combinee!$E:$E,(_xlfn.AGGREGATE(15,6,(ROW(Liste_Materiel_Combinee!$G$2:$G$426)-1)/(Liste_Materiel_Combinee!$G$2:$G$426=1),222)+1)),""))</f>
        <v/>
      </c>
      <c r="E224" s="105">
        <f t="shared" si="3"/>
        <v>0</v>
      </c>
      <c r="F224" s="104" t="str">
        <f>IFERROR(INDEX(Catalogue!$K:$K,MATCH(A224,Catalogue!$A:$A,0)),"")</f>
        <v/>
      </c>
      <c r="G224" s="102"/>
      <c r="H224" s="7"/>
      <c r="I224" s="7"/>
    </row>
    <row r="225" spans="1:9" x14ac:dyDescent="0.25">
      <c r="A225" s="103" t="str">
        <f>IFERROR(INDEX(Liste_Materiel_Combinee!$B:$B,(_xlfn.AGGREGATE(15,6,(ROW(Liste_Materiel_Combinee!$G$2:$G$426)-1)/(Liste_Materiel_Combinee!$G$2:$G$426=1),223)+1)),"")</f>
        <v/>
      </c>
      <c r="B225" s="104" t="str">
        <f>IFERROR(INDEX(Liste_Materiel_Combinee!$C:$C,(_xlfn.AGGREGATE(15,6,(ROW(Liste_Materiel_Combinee!$G$2:$G$426)-1)/(Liste_Materiel_Combinee!$G$2:$G$426=1),223)+1)),"")</f>
        <v/>
      </c>
      <c r="C225" s="104" t="str">
        <f>IF(IFERROR(INDEX(Liste_Materiel_Combinee!$F:$F,(_xlfn.AGGREGATE(15,6,(ROW(Liste_Materiel_Combinee!$G$2:$G$426)-1)/(Liste_Materiel_Combinee!$G$2:$G$426=1),223)+1)),"")="","",ROUNDUP(IFERROR(INDEX(Liste_Materiel_Combinee!$F:$F,(_xlfn.AGGREGATE(15,6,(ROW(Liste_Materiel_Combinee!$G$2:$G$426)-1)/(Liste_Materiel_Combinee!$G$2:$G$426=1),223)+1)),""),0))</f>
        <v/>
      </c>
      <c r="D225" s="104" t="str">
        <f>IF($H$5="EFFACER","",IFERROR(INDEX(Liste_Materiel_Combinee!$E:$E,(_xlfn.AGGREGATE(15,6,(ROW(Liste_Materiel_Combinee!$G$2:$G$426)-1)/(Liste_Materiel_Combinee!$G$2:$G$426=1),223)+1)),""))</f>
        <v/>
      </c>
      <c r="E225" s="105">
        <f t="shared" si="3"/>
        <v>0</v>
      </c>
      <c r="F225" s="104" t="str">
        <f>IFERROR(INDEX(Catalogue!$K:$K,MATCH(A225,Catalogue!$A:$A,0)),"")</f>
        <v/>
      </c>
      <c r="G225" s="102"/>
      <c r="H225" s="7"/>
      <c r="I225" s="7"/>
    </row>
    <row r="226" spans="1:9" x14ac:dyDescent="0.25">
      <c r="A226" s="103" t="str">
        <f>IFERROR(INDEX(Liste_Materiel_Combinee!$B:$B,(_xlfn.AGGREGATE(15,6,(ROW(Liste_Materiel_Combinee!$G$2:$G$426)-1)/(Liste_Materiel_Combinee!$G$2:$G$426=1),224)+1)),"")</f>
        <v/>
      </c>
      <c r="B226" s="104" t="str">
        <f>IFERROR(INDEX(Liste_Materiel_Combinee!$C:$C,(_xlfn.AGGREGATE(15,6,(ROW(Liste_Materiel_Combinee!$G$2:$G$426)-1)/(Liste_Materiel_Combinee!$G$2:$G$426=1),224)+1)),"")</f>
        <v/>
      </c>
      <c r="C226" s="104" t="str">
        <f>IF(IFERROR(INDEX(Liste_Materiel_Combinee!$F:$F,(_xlfn.AGGREGATE(15,6,(ROW(Liste_Materiel_Combinee!$G$2:$G$426)-1)/(Liste_Materiel_Combinee!$G$2:$G$426=1),224)+1)),"")="","",ROUNDUP(IFERROR(INDEX(Liste_Materiel_Combinee!$F:$F,(_xlfn.AGGREGATE(15,6,(ROW(Liste_Materiel_Combinee!$G$2:$G$426)-1)/(Liste_Materiel_Combinee!$G$2:$G$426=1),224)+1)),""),0))</f>
        <v/>
      </c>
      <c r="D226" s="104" t="str">
        <f>IF($H$5="EFFACER","",IFERROR(INDEX(Liste_Materiel_Combinee!$E:$E,(_xlfn.AGGREGATE(15,6,(ROW(Liste_Materiel_Combinee!$G$2:$G$426)-1)/(Liste_Materiel_Combinee!$G$2:$G$426=1),224)+1)),""))</f>
        <v/>
      </c>
      <c r="E226" s="105">
        <f t="shared" si="3"/>
        <v>0</v>
      </c>
      <c r="F226" s="104" t="str">
        <f>IFERROR(INDEX(Catalogue!$K:$K,MATCH(A226,Catalogue!$A:$A,0)),"")</f>
        <v/>
      </c>
      <c r="G226" s="102"/>
      <c r="H226" s="7"/>
      <c r="I226" s="7"/>
    </row>
    <row r="227" spans="1:9" x14ac:dyDescent="0.25">
      <c r="A227" s="103" t="str">
        <f>IFERROR(INDEX(Liste_Materiel_Combinee!$B:$B,(_xlfn.AGGREGATE(15,6,(ROW(Liste_Materiel_Combinee!$G$2:$G$426)-1)/(Liste_Materiel_Combinee!$G$2:$G$426=1),225)+1)),"")</f>
        <v/>
      </c>
      <c r="B227" s="104" t="str">
        <f>IFERROR(INDEX(Liste_Materiel_Combinee!$C:$C,(_xlfn.AGGREGATE(15,6,(ROW(Liste_Materiel_Combinee!$G$2:$G$426)-1)/(Liste_Materiel_Combinee!$G$2:$G$426=1),225)+1)),"")</f>
        <v/>
      </c>
      <c r="C227" s="104" t="str">
        <f>IF(IFERROR(INDEX(Liste_Materiel_Combinee!$F:$F,(_xlfn.AGGREGATE(15,6,(ROW(Liste_Materiel_Combinee!$G$2:$G$426)-1)/(Liste_Materiel_Combinee!$G$2:$G$426=1),225)+1)),"")="","",ROUNDUP(IFERROR(INDEX(Liste_Materiel_Combinee!$F:$F,(_xlfn.AGGREGATE(15,6,(ROW(Liste_Materiel_Combinee!$G$2:$G$426)-1)/(Liste_Materiel_Combinee!$G$2:$G$426=1),225)+1)),""),0))</f>
        <v/>
      </c>
      <c r="D227" s="104" t="str">
        <f>IF($H$5="EFFACER","",IFERROR(INDEX(Liste_Materiel_Combinee!$E:$E,(_xlfn.AGGREGATE(15,6,(ROW(Liste_Materiel_Combinee!$G$2:$G$426)-1)/(Liste_Materiel_Combinee!$G$2:$G$426=1),225)+1)),""))</f>
        <v/>
      </c>
      <c r="E227" s="105">
        <f t="shared" si="3"/>
        <v>0</v>
      </c>
      <c r="F227" s="104" t="str">
        <f>IFERROR(INDEX(Catalogue!$K:$K,MATCH(A227,Catalogue!$A:$A,0)),"")</f>
        <v/>
      </c>
      <c r="G227" s="102"/>
      <c r="H227" s="7"/>
      <c r="I227" s="7"/>
    </row>
    <row r="228" spans="1:9" x14ac:dyDescent="0.25">
      <c r="A228" s="103" t="str">
        <f>IFERROR(INDEX(Liste_Materiel_Combinee!$B:$B,(_xlfn.AGGREGATE(15,6,(ROW(Liste_Materiel_Combinee!$G$2:$G$426)-1)/(Liste_Materiel_Combinee!$G$2:$G$426=1),226)+1)),"")</f>
        <v/>
      </c>
      <c r="B228" s="104" t="str">
        <f>IFERROR(INDEX(Liste_Materiel_Combinee!$C:$C,(_xlfn.AGGREGATE(15,6,(ROW(Liste_Materiel_Combinee!$G$2:$G$426)-1)/(Liste_Materiel_Combinee!$G$2:$G$426=1),226)+1)),"")</f>
        <v/>
      </c>
      <c r="C228" s="104" t="str">
        <f>IF(IFERROR(INDEX(Liste_Materiel_Combinee!$F:$F,(_xlfn.AGGREGATE(15,6,(ROW(Liste_Materiel_Combinee!$G$2:$G$426)-1)/(Liste_Materiel_Combinee!$G$2:$G$426=1),226)+1)),"")="","",ROUNDUP(IFERROR(INDEX(Liste_Materiel_Combinee!$F:$F,(_xlfn.AGGREGATE(15,6,(ROW(Liste_Materiel_Combinee!$G$2:$G$426)-1)/(Liste_Materiel_Combinee!$G$2:$G$426=1),226)+1)),""),0))</f>
        <v/>
      </c>
      <c r="D228" s="104" t="str">
        <f>IF($H$5="EFFACER","",IFERROR(INDEX(Liste_Materiel_Combinee!$E:$E,(_xlfn.AGGREGATE(15,6,(ROW(Liste_Materiel_Combinee!$G$2:$G$426)-1)/(Liste_Materiel_Combinee!$G$2:$G$426=1),226)+1)),""))</f>
        <v/>
      </c>
      <c r="E228" s="105">
        <f t="shared" si="3"/>
        <v>0</v>
      </c>
      <c r="F228" s="104" t="str">
        <f>IFERROR(INDEX(Catalogue!$K:$K,MATCH(A228,Catalogue!$A:$A,0)),"")</f>
        <v/>
      </c>
      <c r="G228" s="102"/>
      <c r="H228" s="7"/>
      <c r="I228" s="7"/>
    </row>
    <row r="229" spans="1:9" x14ac:dyDescent="0.25">
      <c r="A229" s="103" t="str">
        <f>IFERROR(INDEX(Liste_Materiel_Combinee!$B:$B,(_xlfn.AGGREGATE(15,6,(ROW(Liste_Materiel_Combinee!$G$2:$G$426)-1)/(Liste_Materiel_Combinee!$G$2:$G$426=1),227)+1)),"")</f>
        <v/>
      </c>
      <c r="B229" s="104" t="str">
        <f>IFERROR(INDEX(Liste_Materiel_Combinee!$C:$C,(_xlfn.AGGREGATE(15,6,(ROW(Liste_Materiel_Combinee!$G$2:$G$426)-1)/(Liste_Materiel_Combinee!$G$2:$G$426=1),227)+1)),"")</f>
        <v/>
      </c>
      <c r="C229" s="104" t="str">
        <f>IF(IFERROR(INDEX(Liste_Materiel_Combinee!$F:$F,(_xlfn.AGGREGATE(15,6,(ROW(Liste_Materiel_Combinee!$G$2:$G$426)-1)/(Liste_Materiel_Combinee!$G$2:$G$426=1),227)+1)),"")="","",ROUNDUP(IFERROR(INDEX(Liste_Materiel_Combinee!$F:$F,(_xlfn.AGGREGATE(15,6,(ROW(Liste_Materiel_Combinee!$G$2:$G$426)-1)/(Liste_Materiel_Combinee!$G$2:$G$426=1),227)+1)),""),0))</f>
        <v/>
      </c>
      <c r="D229" s="104" t="str">
        <f>IF($H$5="EFFACER","",IFERROR(INDEX(Liste_Materiel_Combinee!$E:$E,(_xlfn.AGGREGATE(15,6,(ROW(Liste_Materiel_Combinee!$G$2:$G$426)-1)/(Liste_Materiel_Combinee!$G$2:$G$426=1),227)+1)),""))</f>
        <v/>
      </c>
      <c r="E229" s="105">
        <f t="shared" si="3"/>
        <v>0</v>
      </c>
      <c r="F229" s="104" t="str">
        <f>IFERROR(INDEX(Catalogue!$K:$K,MATCH(A229,Catalogue!$A:$A,0)),"")</f>
        <v/>
      </c>
      <c r="G229" s="102"/>
      <c r="H229" s="7"/>
      <c r="I229" s="7"/>
    </row>
    <row r="230" spans="1:9" x14ac:dyDescent="0.25">
      <c r="A230" s="103" t="str">
        <f>IFERROR(INDEX(Liste_Materiel_Combinee!$B:$B,(_xlfn.AGGREGATE(15,6,(ROW(Liste_Materiel_Combinee!$G$2:$G$426)-1)/(Liste_Materiel_Combinee!$G$2:$G$426=1),228)+1)),"")</f>
        <v/>
      </c>
      <c r="B230" s="104" t="str">
        <f>IFERROR(INDEX(Liste_Materiel_Combinee!$C:$C,(_xlfn.AGGREGATE(15,6,(ROW(Liste_Materiel_Combinee!$G$2:$G$426)-1)/(Liste_Materiel_Combinee!$G$2:$G$426=1),228)+1)),"")</f>
        <v/>
      </c>
      <c r="C230" s="104" t="str">
        <f>IF(IFERROR(INDEX(Liste_Materiel_Combinee!$F:$F,(_xlfn.AGGREGATE(15,6,(ROW(Liste_Materiel_Combinee!$G$2:$G$426)-1)/(Liste_Materiel_Combinee!$G$2:$G$426=1),228)+1)),"")="","",ROUNDUP(IFERROR(INDEX(Liste_Materiel_Combinee!$F:$F,(_xlfn.AGGREGATE(15,6,(ROW(Liste_Materiel_Combinee!$G$2:$G$426)-1)/(Liste_Materiel_Combinee!$G$2:$G$426=1),228)+1)),""),0))</f>
        <v/>
      </c>
      <c r="D230" s="104" t="str">
        <f>IF($H$5="EFFACER","",IFERROR(INDEX(Liste_Materiel_Combinee!$E:$E,(_xlfn.AGGREGATE(15,6,(ROW(Liste_Materiel_Combinee!$G$2:$G$426)-1)/(Liste_Materiel_Combinee!$G$2:$G$426=1),228)+1)),""))</f>
        <v/>
      </c>
      <c r="E230" s="105">
        <f t="shared" si="3"/>
        <v>0</v>
      </c>
      <c r="F230" s="104" t="str">
        <f>IFERROR(INDEX(Catalogue!$K:$K,MATCH(A230,Catalogue!$A:$A,0)),"")</f>
        <v/>
      </c>
      <c r="G230" s="102"/>
      <c r="H230" s="7"/>
      <c r="I230" s="7"/>
    </row>
    <row r="231" spans="1:9" x14ac:dyDescent="0.25">
      <c r="A231" s="103" t="str">
        <f>IFERROR(INDEX(Liste_Materiel_Combinee!$B:$B,(_xlfn.AGGREGATE(15,6,(ROW(Liste_Materiel_Combinee!$G$2:$G$426)-1)/(Liste_Materiel_Combinee!$G$2:$G$426=1),229)+1)),"")</f>
        <v/>
      </c>
      <c r="B231" s="104" t="str">
        <f>IFERROR(INDEX(Liste_Materiel_Combinee!$C:$C,(_xlfn.AGGREGATE(15,6,(ROW(Liste_Materiel_Combinee!$G$2:$G$426)-1)/(Liste_Materiel_Combinee!$G$2:$G$426=1),229)+1)),"")</f>
        <v/>
      </c>
      <c r="C231" s="104" t="str">
        <f>IF(IFERROR(INDEX(Liste_Materiel_Combinee!$F:$F,(_xlfn.AGGREGATE(15,6,(ROW(Liste_Materiel_Combinee!$G$2:$G$426)-1)/(Liste_Materiel_Combinee!$G$2:$G$426=1),229)+1)),"")="","",ROUNDUP(IFERROR(INDEX(Liste_Materiel_Combinee!$F:$F,(_xlfn.AGGREGATE(15,6,(ROW(Liste_Materiel_Combinee!$G$2:$G$426)-1)/(Liste_Materiel_Combinee!$G$2:$G$426=1),229)+1)),""),0))</f>
        <v/>
      </c>
      <c r="D231" s="104" t="str">
        <f>IF($H$5="EFFACER","",IFERROR(INDEX(Liste_Materiel_Combinee!$E:$E,(_xlfn.AGGREGATE(15,6,(ROW(Liste_Materiel_Combinee!$G$2:$G$426)-1)/(Liste_Materiel_Combinee!$G$2:$G$426=1),229)+1)),""))</f>
        <v/>
      </c>
      <c r="E231" s="105">
        <f t="shared" si="3"/>
        <v>0</v>
      </c>
      <c r="F231" s="104" t="str">
        <f>IFERROR(INDEX(Catalogue!$K:$K,MATCH(A231,Catalogue!$A:$A,0)),"")</f>
        <v/>
      </c>
      <c r="G231" s="102"/>
      <c r="H231" s="7"/>
      <c r="I231" s="7"/>
    </row>
    <row r="232" spans="1:9" x14ac:dyDescent="0.25">
      <c r="A232" s="103" t="str">
        <f>IFERROR(INDEX(Liste_Materiel_Combinee!$B:$B,(_xlfn.AGGREGATE(15,6,(ROW(Liste_Materiel_Combinee!$G$2:$G$426)-1)/(Liste_Materiel_Combinee!$G$2:$G$426=1),230)+1)),"")</f>
        <v/>
      </c>
      <c r="B232" s="104" t="str">
        <f>IFERROR(INDEX(Liste_Materiel_Combinee!$C:$C,(_xlfn.AGGREGATE(15,6,(ROW(Liste_Materiel_Combinee!$G$2:$G$426)-1)/(Liste_Materiel_Combinee!$G$2:$G$426=1),230)+1)),"")</f>
        <v/>
      </c>
      <c r="C232" s="104" t="str">
        <f>IF(IFERROR(INDEX(Liste_Materiel_Combinee!$F:$F,(_xlfn.AGGREGATE(15,6,(ROW(Liste_Materiel_Combinee!$G$2:$G$426)-1)/(Liste_Materiel_Combinee!$G$2:$G$426=1),230)+1)),"")="","",ROUNDUP(IFERROR(INDEX(Liste_Materiel_Combinee!$F:$F,(_xlfn.AGGREGATE(15,6,(ROW(Liste_Materiel_Combinee!$G$2:$G$426)-1)/(Liste_Materiel_Combinee!$G$2:$G$426=1),230)+1)),""),0))</f>
        <v/>
      </c>
      <c r="D232" s="104" t="str">
        <f>IF($H$5="EFFACER","",IFERROR(INDEX(Liste_Materiel_Combinee!$E:$E,(_xlfn.AGGREGATE(15,6,(ROW(Liste_Materiel_Combinee!$G$2:$G$426)-1)/(Liste_Materiel_Combinee!$G$2:$G$426=1),230)+1)),""))</f>
        <v/>
      </c>
      <c r="E232" s="105">
        <f t="shared" si="3"/>
        <v>0</v>
      </c>
      <c r="F232" s="104" t="str">
        <f>IFERROR(INDEX(Catalogue!$K:$K,MATCH(A232,Catalogue!$A:$A,0)),"")</f>
        <v/>
      </c>
      <c r="G232" s="102"/>
      <c r="H232" s="7"/>
      <c r="I232" s="7"/>
    </row>
    <row r="233" spans="1:9" x14ac:dyDescent="0.25">
      <c r="A233" s="103" t="str">
        <f>IFERROR(INDEX(Liste_Materiel_Combinee!$B:$B,(_xlfn.AGGREGATE(15,6,(ROW(Liste_Materiel_Combinee!$G$2:$G$426)-1)/(Liste_Materiel_Combinee!$G$2:$G$426=1),231)+1)),"")</f>
        <v/>
      </c>
      <c r="B233" s="104" t="str">
        <f>IFERROR(INDEX(Liste_Materiel_Combinee!$C:$C,(_xlfn.AGGREGATE(15,6,(ROW(Liste_Materiel_Combinee!$G$2:$G$426)-1)/(Liste_Materiel_Combinee!$G$2:$G$426=1),231)+1)),"")</f>
        <v/>
      </c>
      <c r="C233" s="104" t="str">
        <f>IF(IFERROR(INDEX(Liste_Materiel_Combinee!$F:$F,(_xlfn.AGGREGATE(15,6,(ROW(Liste_Materiel_Combinee!$G$2:$G$426)-1)/(Liste_Materiel_Combinee!$G$2:$G$426=1),231)+1)),"")="","",ROUNDUP(IFERROR(INDEX(Liste_Materiel_Combinee!$F:$F,(_xlfn.AGGREGATE(15,6,(ROW(Liste_Materiel_Combinee!$G$2:$G$426)-1)/(Liste_Materiel_Combinee!$G$2:$G$426=1),231)+1)),""),0))</f>
        <v/>
      </c>
      <c r="D233" s="104" t="str">
        <f>IF($H$5="EFFACER","",IFERROR(INDEX(Liste_Materiel_Combinee!$E:$E,(_xlfn.AGGREGATE(15,6,(ROW(Liste_Materiel_Combinee!$G$2:$G$426)-1)/(Liste_Materiel_Combinee!$G$2:$G$426=1),231)+1)),""))</f>
        <v/>
      </c>
      <c r="E233" s="105">
        <f t="shared" si="3"/>
        <v>0</v>
      </c>
      <c r="F233" s="104" t="str">
        <f>IFERROR(INDEX(Catalogue!$K:$K,MATCH(A233,Catalogue!$A:$A,0)),"")</f>
        <v/>
      </c>
      <c r="G233" s="102"/>
      <c r="H233" s="7"/>
      <c r="I233" s="7"/>
    </row>
    <row r="234" spans="1:9" x14ac:dyDescent="0.25">
      <c r="A234" s="103" t="str">
        <f>IFERROR(INDEX(Liste_Materiel_Combinee!$B:$B,(_xlfn.AGGREGATE(15,6,(ROW(Liste_Materiel_Combinee!$G$2:$G$426)-1)/(Liste_Materiel_Combinee!$G$2:$G$426=1),232)+1)),"")</f>
        <v/>
      </c>
      <c r="B234" s="104" t="str">
        <f>IFERROR(INDEX(Liste_Materiel_Combinee!$C:$C,(_xlfn.AGGREGATE(15,6,(ROW(Liste_Materiel_Combinee!$G$2:$G$426)-1)/(Liste_Materiel_Combinee!$G$2:$G$426=1),232)+1)),"")</f>
        <v/>
      </c>
      <c r="C234" s="104" t="str">
        <f>IF(IFERROR(INDEX(Liste_Materiel_Combinee!$F:$F,(_xlfn.AGGREGATE(15,6,(ROW(Liste_Materiel_Combinee!$G$2:$G$426)-1)/(Liste_Materiel_Combinee!$G$2:$G$426=1),232)+1)),"")="","",ROUNDUP(IFERROR(INDEX(Liste_Materiel_Combinee!$F:$F,(_xlfn.AGGREGATE(15,6,(ROW(Liste_Materiel_Combinee!$G$2:$G$426)-1)/(Liste_Materiel_Combinee!$G$2:$G$426=1),232)+1)),""),0))</f>
        <v/>
      </c>
      <c r="D234" s="104" t="str">
        <f>IF($H$5="EFFACER","",IFERROR(INDEX(Liste_Materiel_Combinee!$E:$E,(_xlfn.AGGREGATE(15,6,(ROW(Liste_Materiel_Combinee!$G$2:$G$426)-1)/(Liste_Materiel_Combinee!$G$2:$G$426=1),232)+1)),""))</f>
        <v/>
      </c>
      <c r="E234" s="105">
        <f t="shared" si="3"/>
        <v>0</v>
      </c>
      <c r="F234" s="104" t="str">
        <f>IFERROR(INDEX(Catalogue!$K:$K,MATCH(A234,Catalogue!$A:$A,0)),"")</f>
        <v/>
      </c>
      <c r="G234" s="102"/>
      <c r="H234" s="7"/>
      <c r="I234" s="7"/>
    </row>
    <row r="235" spans="1:9" x14ac:dyDescent="0.25">
      <c r="A235" s="103" t="str">
        <f>IFERROR(INDEX(Liste_Materiel_Combinee!$B:$B,(_xlfn.AGGREGATE(15,6,(ROW(Liste_Materiel_Combinee!$G$2:$G$426)-1)/(Liste_Materiel_Combinee!$G$2:$G$426=1),233)+1)),"")</f>
        <v/>
      </c>
      <c r="B235" s="104" t="str">
        <f>IFERROR(INDEX(Liste_Materiel_Combinee!$C:$C,(_xlfn.AGGREGATE(15,6,(ROW(Liste_Materiel_Combinee!$G$2:$G$426)-1)/(Liste_Materiel_Combinee!$G$2:$G$426=1),233)+1)),"")</f>
        <v/>
      </c>
      <c r="C235" s="104" t="str">
        <f>IF(IFERROR(INDEX(Liste_Materiel_Combinee!$F:$F,(_xlfn.AGGREGATE(15,6,(ROW(Liste_Materiel_Combinee!$G$2:$G$426)-1)/(Liste_Materiel_Combinee!$G$2:$G$426=1),233)+1)),"")="","",ROUNDUP(IFERROR(INDEX(Liste_Materiel_Combinee!$F:$F,(_xlfn.AGGREGATE(15,6,(ROW(Liste_Materiel_Combinee!$G$2:$G$426)-1)/(Liste_Materiel_Combinee!$G$2:$G$426=1),233)+1)),""),0))</f>
        <v/>
      </c>
      <c r="D235" s="104" t="str">
        <f>IF($H$5="EFFACER","",IFERROR(INDEX(Liste_Materiel_Combinee!$E:$E,(_xlfn.AGGREGATE(15,6,(ROW(Liste_Materiel_Combinee!$G$2:$G$426)-1)/(Liste_Materiel_Combinee!$G$2:$G$426=1),233)+1)),""))</f>
        <v/>
      </c>
      <c r="E235" s="105">
        <f t="shared" si="3"/>
        <v>0</v>
      </c>
      <c r="F235" s="104" t="str">
        <f>IFERROR(INDEX(Catalogue!$K:$K,MATCH(A235,Catalogue!$A:$A,0)),"")</f>
        <v/>
      </c>
      <c r="G235" s="102"/>
      <c r="H235" s="7"/>
      <c r="I235" s="7"/>
    </row>
    <row r="236" spans="1:9" x14ac:dyDescent="0.25">
      <c r="A236" s="103" t="str">
        <f>IFERROR(INDEX(Liste_Materiel_Combinee!$B:$B,(_xlfn.AGGREGATE(15,6,(ROW(Liste_Materiel_Combinee!$G$2:$G$426)-1)/(Liste_Materiel_Combinee!$G$2:$G$426=1),234)+1)),"")</f>
        <v/>
      </c>
      <c r="B236" s="104" t="str">
        <f>IFERROR(INDEX(Liste_Materiel_Combinee!$C:$C,(_xlfn.AGGREGATE(15,6,(ROW(Liste_Materiel_Combinee!$G$2:$G$426)-1)/(Liste_Materiel_Combinee!$G$2:$G$426=1),234)+1)),"")</f>
        <v/>
      </c>
      <c r="C236" s="104" t="str">
        <f>IF(IFERROR(INDEX(Liste_Materiel_Combinee!$F:$F,(_xlfn.AGGREGATE(15,6,(ROW(Liste_Materiel_Combinee!$G$2:$G$426)-1)/(Liste_Materiel_Combinee!$G$2:$G$426=1),234)+1)),"")="","",ROUNDUP(IFERROR(INDEX(Liste_Materiel_Combinee!$F:$F,(_xlfn.AGGREGATE(15,6,(ROW(Liste_Materiel_Combinee!$G$2:$G$426)-1)/(Liste_Materiel_Combinee!$G$2:$G$426=1),234)+1)),""),0))</f>
        <v/>
      </c>
      <c r="D236" s="104" t="str">
        <f>IF($H$5="EFFACER","",IFERROR(INDEX(Liste_Materiel_Combinee!$E:$E,(_xlfn.AGGREGATE(15,6,(ROW(Liste_Materiel_Combinee!$G$2:$G$426)-1)/(Liste_Materiel_Combinee!$G$2:$G$426=1),234)+1)),""))</f>
        <v/>
      </c>
      <c r="E236" s="105">
        <f t="shared" si="3"/>
        <v>0</v>
      </c>
      <c r="F236" s="104" t="str">
        <f>IFERROR(INDEX(Catalogue!$K:$K,MATCH(A236,Catalogue!$A:$A,0)),"")</f>
        <v/>
      </c>
      <c r="G236" s="102"/>
      <c r="H236" s="7"/>
      <c r="I236" s="7"/>
    </row>
    <row r="237" spans="1:9" x14ac:dyDescent="0.25">
      <c r="A237" s="103" t="str">
        <f>IFERROR(INDEX(Liste_Materiel_Combinee!$B:$B,(_xlfn.AGGREGATE(15,6,(ROW(Liste_Materiel_Combinee!$G$2:$G$426)-1)/(Liste_Materiel_Combinee!$G$2:$G$426=1),235)+1)),"")</f>
        <v/>
      </c>
      <c r="B237" s="104" t="str">
        <f>IFERROR(INDEX(Liste_Materiel_Combinee!$C:$C,(_xlfn.AGGREGATE(15,6,(ROW(Liste_Materiel_Combinee!$G$2:$G$426)-1)/(Liste_Materiel_Combinee!$G$2:$G$426=1),235)+1)),"")</f>
        <v/>
      </c>
      <c r="C237" s="104" t="str">
        <f>IF(IFERROR(INDEX(Liste_Materiel_Combinee!$F:$F,(_xlfn.AGGREGATE(15,6,(ROW(Liste_Materiel_Combinee!$G$2:$G$426)-1)/(Liste_Materiel_Combinee!$G$2:$G$426=1),235)+1)),"")="","",ROUNDUP(IFERROR(INDEX(Liste_Materiel_Combinee!$F:$F,(_xlfn.AGGREGATE(15,6,(ROW(Liste_Materiel_Combinee!$G$2:$G$426)-1)/(Liste_Materiel_Combinee!$G$2:$G$426=1),235)+1)),""),0))</f>
        <v/>
      </c>
      <c r="D237" s="104" t="str">
        <f>IF($H$5="EFFACER","",IFERROR(INDEX(Liste_Materiel_Combinee!$E:$E,(_xlfn.AGGREGATE(15,6,(ROW(Liste_Materiel_Combinee!$G$2:$G$426)-1)/(Liste_Materiel_Combinee!$G$2:$G$426=1),235)+1)),""))</f>
        <v/>
      </c>
      <c r="E237" s="105">
        <f t="shared" si="3"/>
        <v>0</v>
      </c>
      <c r="F237" s="104" t="str">
        <f>IFERROR(INDEX(Catalogue!$K:$K,MATCH(A237,Catalogue!$A:$A,0)),"")</f>
        <v/>
      </c>
      <c r="G237" s="102"/>
      <c r="H237" s="7"/>
      <c r="I237" s="7"/>
    </row>
    <row r="238" spans="1:9" x14ac:dyDescent="0.25">
      <c r="A238" s="103" t="str">
        <f>IFERROR(INDEX(Liste_Materiel_Combinee!$B:$B,(_xlfn.AGGREGATE(15,6,(ROW(Liste_Materiel_Combinee!$G$2:$G$426)-1)/(Liste_Materiel_Combinee!$G$2:$G$426=1),236)+1)),"")</f>
        <v/>
      </c>
      <c r="B238" s="104" t="str">
        <f>IFERROR(INDEX(Liste_Materiel_Combinee!$C:$C,(_xlfn.AGGREGATE(15,6,(ROW(Liste_Materiel_Combinee!$G$2:$G$426)-1)/(Liste_Materiel_Combinee!$G$2:$G$426=1),236)+1)),"")</f>
        <v/>
      </c>
      <c r="C238" s="104" t="str">
        <f>IF(IFERROR(INDEX(Liste_Materiel_Combinee!$F:$F,(_xlfn.AGGREGATE(15,6,(ROW(Liste_Materiel_Combinee!$G$2:$G$426)-1)/(Liste_Materiel_Combinee!$G$2:$G$426=1),236)+1)),"")="","",ROUNDUP(IFERROR(INDEX(Liste_Materiel_Combinee!$F:$F,(_xlfn.AGGREGATE(15,6,(ROW(Liste_Materiel_Combinee!$G$2:$G$426)-1)/(Liste_Materiel_Combinee!$G$2:$G$426=1),236)+1)),""),0))</f>
        <v/>
      </c>
      <c r="D238" s="104" t="str">
        <f>IF($H$5="EFFACER","",IFERROR(INDEX(Liste_Materiel_Combinee!$E:$E,(_xlfn.AGGREGATE(15,6,(ROW(Liste_Materiel_Combinee!$G$2:$G$426)-1)/(Liste_Materiel_Combinee!$G$2:$G$426=1),236)+1)),""))</f>
        <v/>
      </c>
      <c r="E238" s="105">
        <f t="shared" si="3"/>
        <v>0</v>
      </c>
      <c r="F238" s="104" t="str">
        <f>IFERROR(INDEX(Catalogue!$K:$K,MATCH(A238,Catalogue!$A:$A,0)),"")</f>
        <v/>
      </c>
      <c r="G238" s="102"/>
      <c r="H238" s="7"/>
      <c r="I238" s="7"/>
    </row>
    <row r="239" spans="1:9" x14ac:dyDescent="0.25">
      <c r="A239" s="103" t="str">
        <f>IFERROR(INDEX(Liste_Materiel_Combinee!$B:$B,(_xlfn.AGGREGATE(15,6,(ROW(Liste_Materiel_Combinee!$G$2:$G$426)-1)/(Liste_Materiel_Combinee!$G$2:$G$426=1),237)+1)),"")</f>
        <v/>
      </c>
      <c r="B239" s="104" t="str">
        <f>IFERROR(INDEX(Liste_Materiel_Combinee!$C:$C,(_xlfn.AGGREGATE(15,6,(ROW(Liste_Materiel_Combinee!$G$2:$G$426)-1)/(Liste_Materiel_Combinee!$G$2:$G$426=1),237)+1)),"")</f>
        <v/>
      </c>
      <c r="C239" s="104" t="str">
        <f>IF(IFERROR(INDEX(Liste_Materiel_Combinee!$F:$F,(_xlfn.AGGREGATE(15,6,(ROW(Liste_Materiel_Combinee!$G$2:$G$426)-1)/(Liste_Materiel_Combinee!$G$2:$G$426=1),237)+1)),"")="","",ROUNDUP(IFERROR(INDEX(Liste_Materiel_Combinee!$F:$F,(_xlfn.AGGREGATE(15,6,(ROW(Liste_Materiel_Combinee!$G$2:$G$426)-1)/(Liste_Materiel_Combinee!$G$2:$G$426=1),237)+1)),""),0))</f>
        <v/>
      </c>
      <c r="D239" s="104" t="str">
        <f>IF($H$5="EFFACER","",IFERROR(INDEX(Liste_Materiel_Combinee!$E:$E,(_xlfn.AGGREGATE(15,6,(ROW(Liste_Materiel_Combinee!$G$2:$G$426)-1)/(Liste_Materiel_Combinee!$G$2:$G$426=1),237)+1)),""))</f>
        <v/>
      </c>
      <c r="E239" s="105">
        <f t="shared" si="3"/>
        <v>0</v>
      </c>
      <c r="F239" s="104" t="str">
        <f>IFERROR(INDEX(Catalogue!$K:$K,MATCH(A239,Catalogue!$A:$A,0)),"")</f>
        <v/>
      </c>
      <c r="G239" s="102"/>
      <c r="H239" s="7"/>
      <c r="I239" s="7"/>
    </row>
    <row r="240" spans="1:9" x14ac:dyDescent="0.25">
      <c r="A240" s="103" t="str">
        <f>IFERROR(INDEX(Liste_Materiel_Combinee!$B:$B,(_xlfn.AGGREGATE(15,6,(ROW(Liste_Materiel_Combinee!$G$2:$G$426)-1)/(Liste_Materiel_Combinee!$G$2:$G$426=1),238)+1)),"")</f>
        <v/>
      </c>
      <c r="B240" s="104" t="str">
        <f>IFERROR(INDEX(Liste_Materiel_Combinee!$C:$C,(_xlfn.AGGREGATE(15,6,(ROW(Liste_Materiel_Combinee!$G$2:$G$426)-1)/(Liste_Materiel_Combinee!$G$2:$G$426=1),238)+1)),"")</f>
        <v/>
      </c>
      <c r="C240" s="104" t="str">
        <f>IF(IFERROR(INDEX(Liste_Materiel_Combinee!$F:$F,(_xlfn.AGGREGATE(15,6,(ROW(Liste_Materiel_Combinee!$G$2:$G$426)-1)/(Liste_Materiel_Combinee!$G$2:$G$426=1),238)+1)),"")="","",ROUNDUP(IFERROR(INDEX(Liste_Materiel_Combinee!$F:$F,(_xlfn.AGGREGATE(15,6,(ROW(Liste_Materiel_Combinee!$G$2:$G$426)-1)/(Liste_Materiel_Combinee!$G$2:$G$426=1),238)+1)),""),0))</f>
        <v/>
      </c>
      <c r="D240" s="104" t="str">
        <f>IF($H$5="EFFACER","",IFERROR(INDEX(Liste_Materiel_Combinee!$E:$E,(_xlfn.AGGREGATE(15,6,(ROW(Liste_Materiel_Combinee!$G$2:$G$426)-1)/(Liste_Materiel_Combinee!$G$2:$G$426=1),238)+1)),""))</f>
        <v/>
      </c>
      <c r="E240" s="105">
        <f t="shared" si="3"/>
        <v>0</v>
      </c>
      <c r="F240" s="104" t="str">
        <f>IFERROR(INDEX(Catalogue!$K:$K,MATCH(A240,Catalogue!$A:$A,0)),"")</f>
        <v/>
      </c>
      <c r="G240" s="102"/>
      <c r="H240" s="7"/>
      <c r="I240" s="7"/>
    </row>
    <row r="241" spans="1:9" x14ac:dyDescent="0.25">
      <c r="A241" s="103" t="str">
        <f>IFERROR(INDEX(Liste_Materiel_Combinee!$B:$B,(_xlfn.AGGREGATE(15,6,(ROW(Liste_Materiel_Combinee!$G$2:$G$426)-1)/(Liste_Materiel_Combinee!$G$2:$G$426=1),239)+1)),"")</f>
        <v/>
      </c>
      <c r="B241" s="104" t="str">
        <f>IFERROR(INDEX(Liste_Materiel_Combinee!$C:$C,(_xlfn.AGGREGATE(15,6,(ROW(Liste_Materiel_Combinee!$G$2:$G$426)-1)/(Liste_Materiel_Combinee!$G$2:$G$426=1),239)+1)),"")</f>
        <v/>
      </c>
      <c r="C241" s="104" t="str">
        <f>IF(IFERROR(INDEX(Liste_Materiel_Combinee!$F:$F,(_xlfn.AGGREGATE(15,6,(ROW(Liste_Materiel_Combinee!$G$2:$G$426)-1)/(Liste_Materiel_Combinee!$G$2:$G$426=1),239)+1)),"")="","",ROUNDUP(IFERROR(INDEX(Liste_Materiel_Combinee!$F:$F,(_xlfn.AGGREGATE(15,6,(ROW(Liste_Materiel_Combinee!$G$2:$G$426)-1)/(Liste_Materiel_Combinee!$G$2:$G$426=1),239)+1)),""),0))</f>
        <v/>
      </c>
      <c r="D241" s="104" t="str">
        <f>IF($H$5="EFFACER","",IFERROR(INDEX(Liste_Materiel_Combinee!$E:$E,(_xlfn.AGGREGATE(15,6,(ROW(Liste_Materiel_Combinee!$G$2:$G$426)-1)/(Liste_Materiel_Combinee!$G$2:$G$426=1),239)+1)),""))</f>
        <v/>
      </c>
      <c r="E241" s="105">
        <f t="shared" si="3"/>
        <v>0</v>
      </c>
      <c r="F241" s="104" t="str">
        <f>IFERROR(INDEX(Catalogue!$K:$K,MATCH(A241,Catalogue!$A:$A,0)),"")</f>
        <v/>
      </c>
      <c r="G241" s="102"/>
      <c r="H241" s="7"/>
      <c r="I241" s="7"/>
    </row>
    <row r="242" spans="1:9" x14ac:dyDescent="0.25">
      <c r="A242" s="103" t="str">
        <f>IFERROR(INDEX(Liste_Materiel_Combinee!$B:$B,(_xlfn.AGGREGATE(15,6,(ROW(Liste_Materiel_Combinee!$G$2:$G$426)-1)/(Liste_Materiel_Combinee!$G$2:$G$426=1),240)+1)),"")</f>
        <v/>
      </c>
      <c r="B242" s="104" t="str">
        <f>IFERROR(INDEX(Liste_Materiel_Combinee!$C:$C,(_xlfn.AGGREGATE(15,6,(ROW(Liste_Materiel_Combinee!$G$2:$G$426)-1)/(Liste_Materiel_Combinee!$G$2:$G$426=1),240)+1)),"")</f>
        <v/>
      </c>
      <c r="C242" s="104" t="str">
        <f>IF(IFERROR(INDEX(Liste_Materiel_Combinee!$F:$F,(_xlfn.AGGREGATE(15,6,(ROW(Liste_Materiel_Combinee!$G$2:$G$426)-1)/(Liste_Materiel_Combinee!$G$2:$G$426=1),240)+1)),"")="","",ROUNDUP(IFERROR(INDEX(Liste_Materiel_Combinee!$F:$F,(_xlfn.AGGREGATE(15,6,(ROW(Liste_Materiel_Combinee!$G$2:$G$426)-1)/(Liste_Materiel_Combinee!$G$2:$G$426=1),240)+1)),""),0))</f>
        <v/>
      </c>
      <c r="D242" s="104" t="str">
        <f>IF($H$5="EFFACER","",IFERROR(INDEX(Liste_Materiel_Combinee!$E:$E,(_xlfn.AGGREGATE(15,6,(ROW(Liste_Materiel_Combinee!$G$2:$G$426)-1)/(Liste_Materiel_Combinee!$G$2:$G$426=1),240)+1)),""))</f>
        <v/>
      </c>
      <c r="E242" s="105">
        <f t="shared" si="3"/>
        <v>0</v>
      </c>
      <c r="F242" s="104" t="str">
        <f>IFERROR(INDEX(Catalogue!$K:$K,MATCH(A242,Catalogue!$A:$A,0)),"")</f>
        <v/>
      </c>
      <c r="G242" s="102"/>
      <c r="H242" s="7"/>
      <c r="I242" s="7"/>
    </row>
    <row r="243" spans="1:9" x14ac:dyDescent="0.25">
      <c r="A243" s="103" t="str">
        <f>IFERROR(INDEX(Liste_Materiel_Combinee!$B:$B,(_xlfn.AGGREGATE(15,6,(ROW(Liste_Materiel_Combinee!$G$2:$G$426)-1)/(Liste_Materiel_Combinee!$G$2:$G$426=1),241)+1)),"")</f>
        <v/>
      </c>
      <c r="B243" s="104" t="str">
        <f>IFERROR(INDEX(Liste_Materiel_Combinee!$C:$C,(_xlfn.AGGREGATE(15,6,(ROW(Liste_Materiel_Combinee!$G$2:$G$426)-1)/(Liste_Materiel_Combinee!$G$2:$G$426=1),241)+1)),"")</f>
        <v/>
      </c>
      <c r="C243" s="104" t="str">
        <f>IF(IFERROR(INDEX(Liste_Materiel_Combinee!$F:$F,(_xlfn.AGGREGATE(15,6,(ROW(Liste_Materiel_Combinee!$G$2:$G$426)-1)/(Liste_Materiel_Combinee!$G$2:$G$426=1),241)+1)),"")="","",ROUNDUP(IFERROR(INDEX(Liste_Materiel_Combinee!$F:$F,(_xlfn.AGGREGATE(15,6,(ROW(Liste_Materiel_Combinee!$G$2:$G$426)-1)/(Liste_Materiel_Combinee!$G$2:$G$426=1),241)+1)),""),0))</f>
        <v/>
      </c>
      <c r="D243" s="104" t="str">
        <f>IF($H$5="EFFACER","",IFERROR(INDEX(Liste_Materiel_Combinee!$E:$E,(_xlfn.AGGREGATE(15,6,(ROW(Liste_Materiel_Combinee!$G$2:$G$426)-1)/(Liste_Materiel_Combinee!$G$2:$G$426=1),241)+1)),""))</f>
        <v/>
      </c>
      <c r="E243" s="105">
        <f t="shared" si="3"/>
        <v>0</v>
      </c>
      <c r="F243" s="104" t="str">
        <f>IFERROR(INDEX(Catalogue!$K:$K,MATCH(A243,Catalogue!$A:$A,0)),"")</f>
        <v/>
      </c>
      <c r="G243" s="102"/>
      <c r="H243" s="7"/>
      <c r="I243" s="7"/>
    </row>
    <row r="244" spans="1:9" x14ac:dyDescent="0.25">
      <c r="A244" s="103" t="str">
        <f>IFERROR(INDEX(Liste_Materiel_Combinee!$B:$B,(_xlfn.AGGREGATE(15,6,(ROW(Liste_Materiel_Combinee!$G$2:$G$426)-1)/(Liste_Materiel_Combinee!$G$2:$G$426=1),242)+1)),"")</f>
        <v/>
      </c>
      <c r="B244" s="104" t="str">
        <f>IFERROR(INDEX(Liste_Materiel_Combinee!$C:$C,(_xlfn.AGGREGATE(15,6,(ROW(Liste_Materiel_Combinee!$G$2:$G$426)-1)/(Liste_Materiel_Combinee!$G$2:$G$426=1),242)+1)),"")</f>
        <v/>
      </c>
      <c r="C244" s="104" t="str">
        <f>IF(IFERROR(INDEX(Liste_Materiel_Combinee!$F:$F,(_xlfn.AGGREGATE(15,6,(ROW(Liste_Materiel_Combinee!$G$2:$G$426)-1)/(Liste_Materiel_Combinee!$G$2:$G$426=1),242)+1)),"")="","",ROUNDUP(IFERROR(INDEX(Liste_Materiel_Combinee!$F:$F,(_xlfn.AGGREGATE(15,6,(ROW(Liste_Materiel_Combinee!$G$2:$G$426)-1)/(Liste_Materiel_Combinee!$G$2:$G$426=1),242)+1)),""),0))</f>
        <v/>
      </c>
      <c r="D244" s="104" t="str">
        <f>IF($H$5="EFFACER","",IFERROR(INDEX(Liste_Materiel_Combinee!$E:$E,(_xlfn.AGGREGATE(15,6,(ROW(Liste_Materiel_Combinee!$G$2:$G$426)-1)/(Liste_Materiel_Combinee!$G$2:$G$426=1),242)+1)),""))</f>
        <v/>
      </c>
      <c r="E244" s="105">
        <f t="shared" si="3"/>
        <v>0</v>
      </c>
      <c r="F244" s="104" t="str">
        <f>IFERROR(INDEX(Catalogue!$K:$K,MATCH(A244,Catalogue!$A:$A,0)),"")</f>
        <v/>
      </c>
      <c r="G244" s="102"/>
      <c r="H244" s="7"/>
      <c r="I244" s="7"/>
    </row>
    <row r="245" spans="1:9" x14ac:dyDescent="0.25">
      <c r="A245" s="103" t="str">
        <f>IFERROR(INDEX(Liste_Materiel_Combinee!$B:$B,(_xlfn.AGGREGATE(15,6,(ROW(Liste_Materiel_Combinee!$G$2:$G$426)-1)/(Liste_Materiel_Combinee!$G$2:$G$426=1),243)+1)),"")</f>
        <v/>
      </c>
      <c r="B245" s="104" t="str">
        <f>IFERROR(INDEX(Liste_Materiel_Combinee!$C:$C,(_xlfn.AGGREGATE(15,6,(ROW(Liste_Materiel_Combinee!$G$2:$G$426)-1)/(Liste_Materiel_Combinee!$G$2:$G$426=1),243)+1)),"")</f>
        <v/>
      </c>
      <c r="C245" s="104" t="str">
        <f>IF(IFERROR(INDEX(Liste_Materiel_Combinee!$F:$F,(_xlfn.AGGREGATE(15,6,(ROW(Liste_Materiel_Combinee!$G$2:$G$426)-1)/(Liste_Materiel_Combinee!$G$2:$G$426=1),243)+1)),"")="","",ROUNDUP(IFERROR(INDEX(Liste_Materiel_Combinee!$F:$F,(_xlfn.AGGREGATE(15,6,(ROW(Liste_Materiel_Combinee!$G$2:$G$426)-1)/(Liste_Materiel_Combinee!$G$2:$G$426=1),243)+1)),""),0))</f>
        <v/>
      </c>
      <c r="D245" s="104" t="str">
        <f>IF($H$5="EFFACER","",IFERROR(INDEX(Liste_Materiel_Combinee!$E:$E,(_xlfn.AGGREGATE(15,6,(ROW(Liste_Materiel_Combinee!$G$2:$G$426)-1)/(Liste_Materiel_Combinee!$G$2:$G$426=1),243)+1)),""))</f>
        <v/>
      </c>
      <c r="E245" s="105">
        <f t="shared" si="3"/>
        <v>0</v>
      </c>
      <c r="F245" s="104" t="str">
        <f>IFERROR(INDEX(Catalogue!$K:$K,MATCH(A245,Catalogue!$A:$A,0)),"")</f>
        <v/>
      </c>
      <c r="G245" s="102"/>
      <c r="H245" s="7"/>
      <c r="I245" s="7"/>
    </row>
    <row r="246" spans="1:9" x14ac:dyDescent="0.25">
      <c r="A246" s="103" t="str">
        <f>IFERROR(INDEX(Liste_Materiel_Combinee!$B:$B,(_xlfn.AGGREGATE(15,6,(ROW(Liste_Materiel_Combinee!$G$2:$G$426)-1)/(Liste_Materiel_Combinee!$G$2:$G$426=1),244)+1)),"")</f>
        <v/>
      </c>
      <c r="B246" s="104" t="str">
        <f>IFERROR(INDEX(Liste_Materiel_Combinee!$C:$C,(_xlfn.AGGREGATE(15,6,(ROW(Liste_Materiel_Combinee!$G$2:$G$426)-1)/(Liste_Materiel_Combinee!$G$2:$G$426=1),244)+1)),"")</f>
        <v/>
      </c>
      <c r="C246" s="104" t="str">
        <f>IF(IFERROR(INDEX(Liste_Materiel_Combinee!$F:$F,(_xlfn.AGGREGATE(15,6,(ROW(Liste_Materiel_Combinee!$G$2:$G$426)-1)/(Liste_Materiel_Combinee!$G$2:$G$426=1),244)+1)),"")="","",ROUNDUP(IFERROR(INDEX(Liste_Materiel_Combinee!$F:$F,(_xlfn.AGGREGATE(15,6,(ROW(Liste_Materiel_Combinee!$G$2:$G$426)-1)/(Liste_Materiel_Combinee!$G$2:$G$426=1),244)+1)),""),0))</f>
        <v/>
      </c>
      <c r="D246" s="104" t="str">
        <f>IF($H$5="EFFACER","",IFERROR(INDEX(Liste_Materiel_Combinee!$E:$E,(_xlfn.AGGREGATE(15,6,(ROW(Liste_Materiel_Combinee!$G$2:$G$426)-1)/(Liste_Materiel_Combinee!$G$2:$G$426=1),244)+1)),""))</f>
        <v/>
      </c>
      <c r="E246" s="105">
        <f t="shared" si="3"/>
        <v>0</v>
      </c>
      <c r="F246" s="104" t="str">
        <f>IFERROR(INDEX(Catalogue!$K:$K,MATCH(A246,Catalogue!$A:$A,0)),"")</f>
        <v/>
      </c>
      <c r="G246" s="102"/>
      <c r="H246" s="7"/>
      <c r="I246" s="7"/>
    </row>
    <row r="247" spans="1:9" x14ac:dyDescent="0.25">
      <c r="A247" s="103" t="str">
        <f>IFERROR(INDEX(Liste_Materiel_Combinee!$B:$B,(_xlfn.AGGREGATE(15,6,(ROW(Liste_Materiel_Combinee!$G$2:$G$426)-1)/(Liste_Materiel_Combinee!$G$2:$G$426=1),245)+1)),"")</f>
        <v/>
      </c>
      <c r="B247" s="104" t="str">
        <f>IFERROR(INDEX(Liste_Materiel_Combinee!$C:$C,(_xlfn.AGGREGATE(15,6,(ROW(Liste_Materiel_Combinee!$G$2:$G$426)-1)/(Liste_Materiel_Combinee!$G$2:$G$426=1),245)+1)),"")</f>
        <v/>
      </c>
      <c r="C247" s="104" t="str">
        <f>IF(IFERROR(INDEX(Liste_Materiel_Combinee!$F:$F,(_xlfn.AGGREGATE(15,6,(ROW(Liste_Materiel_Combinee!$G$2:$G$426)-1)/(Liste_Materiel_Combinee!$G$2:$G$426=1),245)+1)),"")="","",ROUNDUP(IFERROR(INDEX(Liste_Materiel_Combinee!$F:$F,(_xlfn.AGGREGATE(15,6,(ROW(Liste_Materiel_Combinee!$G$2:$G$426)-1)/(Liste_Materiel_Combinee!$G$2:$G$426=1),245)+1)),""),0))</f>
        <v/>
      </c>
      <c r="D247" s="104" t="str">
        <f>IF($H$5="EFFACER","",IFERROR(INDEX(Liste_Materiel_Combinee!$E:$E,(_xlfn.AGGREGATE(15,6,(ROW(Liste_Materiel_Combinee!$G$2:$G$426)-1)/(Liste_Materiel_Combinee!$G$2:$G$426=1),245)+1)),""))</f>
        <v/>
      </c>
      <c r="E247" s="105">
        <f t="shared" si="3"/>
        <v>0</v>
      </c>
      <c r="F247" s="104" t="str">
        <f>IFERROR(INDEX(Catalogue!$K:$K,MATCH(A247,Catalogue!$A:$A,0)),"")</f>
        <v/>
      </c>
      <c r="G247" s="102"/>
      <c r="H247" s="7"/>
      <c r="I247" s="7"/>
    </row>
    <row r="248" spans="1:9" x14ac:dyDescent="0.25">
      <c r="A248" s="103" t="str">
        <f>IFERROR(INDEX(Liste_Materiel_Combinee!$B:$B,(_xlfn.AGGREGATE(15,6,(ROW(Liste_Materiel_Combinee!$G$2:$G$426)-1)/(Liste_Materiel_Combinee!$G$2:$G$426=1),246)+1)),"")</f>
        <v/>
      </c>
      <c r="B248" s="104" t="str">
        <f>IFERROR(INDEX(Liste_Materiel_Combinee!$C:$C,(_xlfn.AGGREGATE(15,6,(ROW(Liste_Materiel_Combinee!$G$2:$G$426)-1)/(Liste_Materiel_Combinee!$G$2:$G$426=1),246)+1)),"")</f>
        <v/>
      </c>
      <c r="C248" s="104" t="str">
        <f>IF(IFERROR(INDEX(Liste_Materiel_Combinee!$F:$F,(_xlfn.AGGREGATE(15,6,(ROW(Liste_Materiel_Combinee!$G$2:$G$426)-1)/(Liste_Materiel_Combinee!$G$2:$G$426=1),246)+1)),"")="","",ROUNDUP(IFERROR(INDEX(Liste_Materiel_Combinee!$F:$F,(_xlfn.AGGREGATE(15,6,(ROW(Liste_Materiel_Combinee!$G$2:$G$426)-1)/(Liste_Materiel_Combinee!$G$2:$G$426=1),246)+1)),""),0))</f>
        <v/>
      </c>
      <c r="D248" s="104" t="str">
        <f>IF($H$5="EFFACER","",IFERROR(INDEX(Liste_Materiel_Combinee!$E:$E,(_xlfn.AGGREGATE(15,6,(ROW(Liste_Materiel_Combinee!$G$2:$G$426)-1)/(Liste_Materiel_Combinee!$G$2:$G$426=1),246)+1)),""))</f>
        <v/>
      </c>
      <c r="E248" s="105">
        <f t="shared" si="3"/>
        <v>0</v>
      </c>
      <c r="F248" s="104" t="str">
        <f>IFERROR(INDEX(Catalogue!$K:$K,MATCH(A248,Catalogue!$A:$A,0)),"")</f>
        <v/>
      </c>
      <c r="G248" s="102"/>
      <c r="H248" s="7"/>
      <c r="I248" s="7"/>
    </row>
    <row r="249" spans="1:9" x14ac:dyDescent="0.25">
      <c r="A249" s="103" t="str">
        <f>IFERROR(INDEX(Liste_Materiel_Combinee!$B:$B,(_xlfn.AGGREGATE(15,6,(ROW(Liste_Materiel_Combinee!$G$2:$G$426)-1)/(Liste_Materiel_Combinee!$G$2:$G$426=1),247)+1)),"")</f>
        <v/>
      </c>
      <c r="B249" s="104" t="str">
        <f>IFERROR(INDEX(Liste_Materiel_Combinee!$C:$C,(_xlfn.AGGREGATE(15,6,(ROW(Liste_Materiel_Combinee!$G$2:$G$426)-1)/(Liste_Materiel_Combinee!$G$2:$G$426=1),247)+1)),"")</f>
        <v/>
      </c>
      <c r="C249" s="104" t="str">
        <f>IF(IFERROR(INDEX(Liste_Materiel_Combinee!$F:$F,(_xlfn.AGGREGATE(15,6,(ROW(Liste_Materiel_Combinee!$G$2:$G$426)-1)/(Liste_Materiel_Combinee!$G$2:$G$426=1),247)+1)),"")="","",ROUNDUP(IFERROR(INDEX(Liste_Materiel_Combinee!$F:$F,(_xlfn.AGGREGATE(15,6,(ROW(Liste_Materiel_Combinee!$G$2:$G$426)-1)/(Liste_Materiel_Combinee!$G$2:$G$426=1),247)+1)),""),0))</f>
        <v/>
      </c>
      <c r="D249" s="104" t="str">
        <f>IF($H$5="EFFACER","",IFERROR(INDEX(Liste_Materiel_Combinee!$E:$E,(_xlfn.AGGREGATE(15,6,(ROW(Liste_Materiel_Combinee!$G$2:$G$426)-1)/(Liste_Materiel_Combinee!$G$2:$G$426=1),247)+1)),""))</f>
        <v/>
      </c>
      <c r="E249" s="105">
        <f t="shared" si="3"/>
        <v>0</v>
      </c>
      <c r="F249" s="104" t="str">
        <f>IFERROR(INDEX(Catalogue!$K:$K,MATCH(A249,Catalogue!$A:$A,0)),"")</f>
        <v/>
      </c>
      <c r="G249" s="102"/>
      <c r="H249" s="7"/>
      <c r="I249" s="7"/>
    </row>
    <row r="250" spans="1:9" x14ac:dyDescent="0.25">
      <c r="A250" s="103" t="str">
        <f>IFERROR(INDEX(Liste_Materiel_Combinee!$B:$B,(_xlfn.AGGREGATE(15,6,(ROW(Liste_Materiel_Combinee!$G$2:$G$426)-1)/(Liste_Materiel_Combinee!$G$2:$G$426=1),248)+1)),"")</f>
        <v/>
      </c>
      <c r="B250" s="104" t="str">
        <f>IFERROR(INDEX(Liste_Materiel_Combinee!$C:$C,(_xlfn.AGGREGATE(15,6,(ROW(Liste_Materiel_Combinee!$G$2:$G$426)-1)/(Liste_Materiel_Combinee!$G$2:$G$426=1),248)+1)),"")</f>
        <v/>
      </c>
      <c r="C250" s="104" t="str">
        <f>IF(IFERROR(INDEX(Liste_Materiel_Combinee!$F:$F,(_xlfn.AGGREGATE(15,6,(ROW(Liste_Materiel_Combinee!$G$2:$G$426)-1)/(Liste_Materiel_Combinee!$G$2:$G$426=1),248)+1)),"")="","",ROUNDUP(IFERROR(INDEX(Liste_Materiel_Combinee!$F:$F,(_xlfn.AGGREGATE(15,6,(ROW(Liste_Materiel_Combinee!$G$2:$G$426)-1)/(Liste_Materiel_Combinee!$G$2:$G$426=1),248)+1)),""),0))</f>
        <v/>
      </c>
      <c r="D250" s="104" t="str">
        <f>IF($H$5="EFFACER","",IFERROR(INDEX(Liste_Materiel_Combinee!$E:$E,(_xlfn.AGGREGATE(15,6,(ROW(Liste_Materiel_Combinee!$G$2:$G$426)-1)/(Liste_Materiel_Combinee!$G$2:$G$426=1),248)+1)),""))</f>
        <v/>
      </c>
      <c r="E250" s="105">
        <f t="shared" si="3"/>
        <v>0</v>
      </c>
      <c r="F250" s="104" t="str">
        <f>IFERROR(INDEX(Catalogue!$K:$K,MATCH(A250,Catalogue!$A:$A,0)),"")</f>
        <v/>
      </c>
      <c r="G250" s="102"/>
      <c r="H250" s="7"/>
      <c r="I250" s="7"/>
    </row>
    <row r="251" spans="1:9" x14ac:dyDescent="0.25">
      <c r="A251" s="103" t="str">
        <f>IFERROR(INDEX(Liste_Materiel_Combinee!$B:$B,(_xlfn.AGGREGATE(15,6,(ROW(Liste_Materiel_Combinee!$G$2:$G$426)-1)/(Liste_Materiel_Combinee!$G$2:$G$426=1),249)+1)),"")</f>
        <v/>
      </c>
      <c r="B251" s="104" t="str">
        <f>IFERROR(INDEX(Liste_Materiel_Combinee!$C:$C,(_xlfn.AGGREGATE(15,6,(ROW(Liste_Materiel_Combinee!$G$2:$G$426)-1)/(Liste_Materiel_Combinee!$G$2:$G$426=1),249)+1)),"")</f>
        <v/>
      </c>
      <c r="C251" s="104" t="str">
        <f>IF(IFERROR(INDEX(Liste_Materiel_Combinee!$F:$F,(_xlfn.AGGREGATE(15,6,(ROW(Liste_Materiel_Combinee!$G$2:$G$426)-1)/(Liste_Materiel_Combinee!$G$2:$G$426=1),249)+1)),"")="","",ROUNDUP(IFERROR(INDEX(Liste_Materiel_Combinee!$F:$F,(_xlfn.AGGREGATE(15,6,(ROW(Liste_Materiel_Combinee!$G$2:$G$426)-1)/(Liste_Materiel_Combinee!$G$2:$G$426=1),249)+1)),""),0))</f>
        <v/>
      </c>
      <c r="D251" s="104" t="str">
        <f>IF($H$5="EFFACER","",IFERROR(INDEX(Liste_Materiel_Combinee!$E:$E,(_xlfn.AGGREGATE(15,6,(ROW(Liste_Materiel_Combinee!$G$2:$G$426)-1)/(Liste_Materiel_Combinee!$G$2:$G$426=1),249)+1)),""))</f>
        <v/>
      </c>
      <c r="E251" s="105">
        <f t="shared" si="3"/>
        <v>0</v>
      </c>
      <c r="F251" s="104" t="str">
        <f>IFERROR(INDEX(Catalogue!$K:$K,MATCH(A251,Catalogue!$A:$A,0)),"")</f>
        <v/>
      </c>
      <c r="G251" s="102"/>
      <c r="H251" s="7"/>
      <c r="I251" s="7"/>
    </row>
    <row r="252" spans="1:9" x14ac:dyDescent="0.25">
      <c r="A252" s="103" t="str">
        <f>IFERROR(INDEX(Liste_Materiel_Combinee!$B:$B,(_xlfn.AGGREGATE(15,6,(ROW(Liste_Materiel_Combinee!$G$2:$G$426)-1)/(Liste_Materiel_Combinee!$G$2:$G$426=1),250)+1)),"")</f>
        <v/>
      </c>
      <c r="B252" s="104" t="str">
        <f>IFERROR(INDEX(Liste_Materiel_Combinee!$C:$C,(_xlfn.AGGREGATE(15,6,(ROW(Liste_Materiel_Combinee!$G$2:$G$426)-1)/(Liste_Materiel_Combinee!$G$2:$G$426=1),250)+1)),"")</f>
        <v/>
      </c>
      <c r="C252" s="104" t="str">
        <f>IF(IFERROR(INDEX(Liste_Materiel_Combinee!$F:$F,(_xlfn.AGGREGATE(15,6,(ROW(Liste_Materiel_Combinee!$G$2:$G$426)-1)/(Liste_Materiel_Combinee!$G$2:$G$426=1),250)+1)),"")="","",ROUNDUP(IFERROR(INDEX(Liste_Materiel_Combinee!$F:$F,(_xlfn.AGGREGATE(15,6,(ROW(Liste_Materiel_Combinee!$G$2:$G$426)-1)/(Liste_Materiel_Combinee!$G$2:$G$426=1),250)+1)),""),0))</f>
        <v/>
      </c>
      <c r="D252" s="104" t="str">
        <f>IF($H$5="EFFACER","",IFERROR(INDEX(Liste_Materiel_Combinee!$E:$E,(_xlfn.AGGREGATE(15,6,(ROW(Liste_Materiel_Combinee!$G$2:$G$426)-1)/(Liste_Materiel_Combinee!$G$2:$G$426=1),250)+1)),""))</f>
        <v/>
      </c>
      <c r="E252" s="105">
        <f t="shared" si="3"/>
        <v>0</v>
      </c>
      <c r="F252" s="104" t="str">
        <f>IFERROR(INDEX(Catalogue!$K:$K,MATCH(A252,Catalogue!$A:$A,0)),"")</f>
        <v/>
      </c>
      <c r="G252" s="102"/>
      <c r="H252" s="7"/>
      <c r="I252" s="7"/>
    </row>
    <row r="253" spans="1:9" x14ac:dyDescent="0.25">
      <c r="A253" s="103" t="str">
        <f>IFERROR(INDEX(Liste_Materiel_Combinee!$B:$B,(_xlfn.AGGREGATE(15,6,(ROW(Liste_Materiel_Combinee!$G$2:$G$426)-1)/(Liste_Materiel_Combinee!$G$2:$G$426=1),251)+1)),"")</f>
        <v/>
      </c>
      <c r="B253" s="104" t="str">
        <f>IFERROR(INDEX(Liste_Materiel_Combinee!$C:$C,(_xlfn.AGGREGATE(15,6,(ROW(Liste_Materiel_Combinee!$G$2:$G$426)-1)/(Liste_Materiel_Combinee!$G$2:$G$426=1),251)+1)),"")</f>
        <v/>
      </c>
      <c r="C253" s="104" t="str">
        <f>IF(IFERROR(INDEX(Liste_Materiel_Combinee!$F:$F,(_xlfn.AGGREGATE(15,6,(ROW(Liste_Materiel_Combinee!$G$2:$G$426)-1)/(Liste_Materiel_Combinee!$G$2:$G$426=1),251)+1)),"")="","",ROUNDUP(IFERROR(INDEX(Liste_Materiel_Combinee!$F:$F,(_xlfn.AGGREGATE(15,6,(ROW(Liste_Materiel_Combinee!$G$2:$G$426)-1)/(Liste_Materiel_Combinee!$G$2:$G$426=1),251)+1)),""),0))</f>
        <v/>
      </c>
      <c r="D253" s="104" t="str">
        <f>IF($H$5="EFFACER","",IFERROR(INDEX(Liste_Materiel_Combinee!$E:$E,(_xlfn.AGGREGATE(15,6,(ROW(Liste_Materiel_Combinee!$G$2:$G$426)-1)/(Liste_Materiel_Combinee!$G$2:$G$426=1),251)+1)),""))</f>
        <v/>
      </c>
      <c r="E253" s="105">
        <f t="shared" si="3"/>
        <v>0</v>
      </c>
      <c r="F253" s="104" t="str">
        <f>IFERROR(INDEX(Catalogue!$K:$K,MATCH(A253,Catalogue!$A:$A,0)),"")</f>
        <v/>
      </c>
      <c r="G253" s="102"/>
      <c r="H253" s="7"/>
      <c r="I253" s="7"/>
    </row>
    <row r="254" spans="1:9" x14ac:dyDescent="0.25">
      <c r="A254" s="103" t="str">
        <f>IFERROR(INDEX(Liste_Materiel_Combinee!$B:$B,(_xlfn.AGGREGATE(15,6,(ROW(Liste_Materiel_Combinee!$G$2:$G$426)-1)/(Liste_Materiel_Combinee!$G$2:$G$426=1),252)+1)),"")</f>
        <v/>
      </c>
      <c r="B254" s="104" t="str">
        <f>IFERROR(INDEX(Liste_Materiel_Combinee!$C:$C,(_xlfn.AGGREGATE(15,6,(ROW(Liste_Materiel_Combinee!$G$2:$G$426)-1)/(Liste_Materiel_Combinee!$G$2:$G$426=1),252)+1)),"")</f>
        <v/>
      </c>
      <c r="C254" s="104" t="str">
        <f>IF(IFERROR(INDEX(Liste_Materiel_Combinee!$F:$F,(_xlfn.AGGREGATE(15,6,(ROW(Liste_Materiel_Combinee!$G$2:$G$426)-1)/(Liste_Materiel_Combinee!$G$2:$G$426=1),252)+1)),"")="","",ROUNDUP(IFERROR(INDEX(Liste_Materiel_Combinee!$F:$F,(_xlfn.AGGREGATE(15,6,(ROW(Liste_Materiel_Combinee!$G$2:$G$426)-1)/(Liste_Materiel_Combinee!$G$2:$G$426=1),252)+1)),""),0))</f>
        <v/>
      </c>
      <c r="D254" s="104" t="str">
        <f>IF($H$5="EFFACER","",IFERROR(INDEX(Liste_Materiel_Combinee!$E:$E,(_xlfn.AGGREGATE(15,6,(ROW(Liste_Materiel_Combinee!$G$2:$G$426)-1)/(Liste_Materiel_Combinee!$G$2:$G$426=1),252)+1)),""))</f>
        <v/>
      </c>
      <c r="E254" s="105">
        <f t="shared" si="3"/>
        <v>0</v>
      </c>
      <c r="F254" s="104" t="str">
        <f>IFERROR(INDEX(Catalogue!$K:$K,MATCH(A254,Catalogue!$A:$A,0)),"")</f>
        <v/>
      </c>
      <c r="G254" s="102"/>
      <c r="H254" s="7"/>
      <c r="I254" s="7"/>
    </row>
    <row r="255" spans="1:9" x14ac:dyDescent="0.25">
      <c r="A255" s="103" t="str">
        <f>IFERROR(INDEX(Liste_Materiel_Combinee!$B:$B,(_xlfn.AGGREGATE(15,6,(ROW(Liste_Materiel_Combinee!$G$2:$G$426)-1)/(Liste_Materiel_Combinee!$G$2:$G$426=1),253)+1)),"")</f>
        <v/>
      </c>
      <c r="B255" s="104" t="str">
        <f>IFERROR(INDEX(Liste_Materiel_Combinee!$C:$C,(_xlfn.AGGREGATE(15,6,(ROW(Liste_Materiel_Combinee!$G$2:$G$426)-1)/(Liste_Materiel_Combinee!$G$2:$G$426=1),253)+1)),"")</f>
        <v/>
      </c>
      <c r="C255" s="104" t="str">
        <f>IF(IFERROR(INDEX(Liste_Materiel_Combinee!$F:$F,(_xlfn.AGGREGATE(15,6,(ROW(Liste_Materiel_Combinee!$G$2:$G$426)-1)/(Liste_Materiel_Combinee!$G$2:$G$426=1),253)+1)),"")="","",ROUNDUP(IFERROR(INDEX(Liste_Materiel_Combinee!$F:$F,(_xlfn.AGGREGATE(15,6,(ROW(Liste_Materiel_Combinee!$G$2:$G$426)-1)/(Liste_Materiel_Combinee!$G$2:$G$426=1),253)+1)),""),0))</f>
        <v/>
      </c>
      <c r="D255" s="104" t="str">
        <f>IF($H$5="EFFACER","",IFERROR(INDEX(Liste_Materiel_Combinee!$E:$E,(_xlfn.AGGREGATE(15,6,(ROW(Liste_Materiel_Combinee!$G$2:$G$426)-1)/(Liste_Materiel_Combinee!$G$2:$G$426=1),253)+1)),""))</f>
        <v/>
      </c>
      <c r="E255" s="105">
        <f t="shared" si="3"/>
        <v>0</v>
      </c>
      <c r="F255" s="104" t="str">
        <f>IFERROR(INDEX(Catalogue!$K:$K,MATCH(A255,Catalogue!$A:$A,0)),"")</f>
        <v/>
      </c>
      <c r="G255" s="102"/>
      <c r="H255" s="7"/>
      <c r="I255" s="7"/>
    </row>
    <row r="256" spans="1:9" x14ac:dyDescent="0.25">
      <c r="A256" s="103" t="str">
        <f>IFERROR(INDEX(Liste_Materiel_Combinee!$B:$B,(_xlfn.AGGREGATE(15,6,(ROW(Liste_Materiel_Combinee!$G$2:$G$426)-1)/(Liste_Materiel_Combinee!$G$2:$G$426=1),254)+1)),"")</f>
        <v/>
      </c>
      <c r="B256" s="104" t="str">
        <f>IFERROR(INDEX(Liste_Materiel_Combinee!$C:$C,(_xlfn.AGGREGATE(15,6,(ROW(Liste_Materiel_Combinee!$G$2:$G$426)-1)/(Liste_Materiel_Combinee!$G$2:$G$426=1),254)+1)),"")</f>
        <v/>
      </c>
      <c r="C256" s="104" t="str">
        <f>IF(IFERROR(INDEX(Liste_Materiel_Combinee!$F:$F,(_xlfn.AGGREGATE(15,6,(ROW(Liste_Materiel_Combinee!$G$2:$G$426)-1)/(Liste_Materiel_Combinee!$G$2:$G$426=1),254)+1)),"")="","",ROUNDUP(IFERROR(INDEX(Liste_Materiel_Combinee!$F:$F,(_xlfn.AGGREGATE(15,6,(ROW(Liste_Materiel_Combinee!$G$2:$G$426)-1)/(Liste_Materiel_Combinee!$G$2:$G$426=1),254)+1)),""),0))</f>
        <v/>
      </c>
      <c r="D256" s="104" t="str">
        <f>IF($H$5="EFFACER","",IFERROR(INDEX(Liste_Materiel_Combinee!$E:$E,(_xlfn.AGGREGATE(15,6,(ROW(Liste_Materiel_Combinee!$G$2:$G$426)-1)/(Liste_Materiel_Combinee!$G$2:$G$426=1),254)+1)),""))</f>
        <v/>
      </c>
      <c r="E256" s="105">
        <f t="shared" si="3"/>
        <v>0</v>
      </c>
      <c r="F256" s="104" t="str">
        <f>IFERROR(INDEX(Catalogue!$K:$K,MATCH(A256,Catalogue!$A:$A,0)),"")</f>
        <v/>
      </c>
      <c r="G256" s="102"/>
      <c r="H256" s="7"/>
      <c r="I256" s="7"/>
    </row>
    <row r="257" spans="1:9" x14ac:dyDescent="0.25">
      <c r="A257" s="103" t="str">
        <f>IFERROR(INDEX(Liste_Materiel_Combinee!$B:$B,(_xlfn.AGGREGATE(15,6,(ROW(Liste_Materiel_Combinee!$G$2:$G$426)-1)/(Liste_Materiel_Combinee!$G$2:$G$426=1),255)+1)),"")</f>
        <v/>
      </c>
      <c r="B257" s="104" t="str">
        <f>IFERROR(INDEX(Liste_Materiel_Combinee!$C:$C,(_xlfn.AGGREGATE(15,6,(ROW(Liste_Materiel_Combinee!$G$2:$G$426)-1)/(Liste_Materiel_Combinee!$G$2:$G$426=1),255)+1)),"")</f>
        <v/>
      </c>
      <c r="C257" s="104" t="str">
        <f>IF(IFERROR(INDEX(Liste_Materiel_Combinee!$F:$F,(_xlfn.AGGREGATE(15,6,(ROW(Liste_Materiel_Combinee!$G$2:$G$426)-1)/(Liste_Materiel_Combinee!$G$2:$G$426=1),255)+1)),"")="","",ROUNDUP(IFERROR(INDEX(Liste_Materiel_Combinee!$F:$F,(_xlfn.AGGREGATE(15,6,(ROW(Liste_Materiel_Combinee!$G$2:$G$426)-1)/(Liste_Materiel_Combinee!$G$2:$G$426=1),255)+1)),""),0))</f>
        <v/>
      </c>
      <c r="D257" s="104" t="str">
        <f>IF($H$5="EFFACER","",IFERROR(INDEX(Liste_Materiel_Combinee!$E:$E,(_xlfn.AGGREGATE(15,6,(ROW(Liste_Materiel_Combinee!$G$2:$G$426)-1)/(Liste_Materiel_Combinee!$G$2:$G$426=1),255)+1)),""))</f>
        <v/>
      </c>
      <c r="E257" s="105">
        <f t="shared" si="3"/>
        <v>0</v>
      </c>
      <c r="F257" s="104" t="str">
        <f>IFERROR(INDEX(Catalogue!$K:$K,MATCH(A257,Catalogue!$A:$A,0)),"")</f>
        <v/>
      </c>
      <c r="G257" s="102"/>
      <c r="H257" s="7"/>
      <c r="I257" s="7"/>
    </row>
    <row r="258" spans="1:9" x14ac:dyDescent="0.25">
      <c r="A258" s="103" t="str">
        <f>IFERROR(INDEX(Liste_Materiel_Combinee!$B:$B,(_xlfn.AGGREGATE(15,6,(ROW(Liste_Materiel_Combinee!$G$2:$G$426)-1)/(Liste_Materiel_Combinee!$G$2:$G$426=1),256)+1)),"")</f>
        <v/>
      </c>
      <c r="B258" s="104" t="str">
        <f>IFERROR(INDEX(Liste_Materiel_Combinee!$C:$C,(_xlfn.AGGREGATE(15,6,(ROW(Liste_Materiel_Combinee!$G$2:$G$426)-1)/(Liste_Materiel_Combinee!$G$2:$G$426=1),256)+1)),"")</f>
        <v/>
      </c>
      <c r="C258" s="104" t="str">
        <f>IF(IFERROR(INDEX(Liste_Materiel_Combinee!$F:$F,(_xlfn.AGGREGATE(15,6,(ROW(Liste_Materiel_Combinee!$G$2:$G$426)-1)/(Liste_Materiel_Combinee!$G$2:$G$426=1),256)+1)),"")="","",ROUNDUP(IFERROR(INDEX(Liste_Materiel_Combinee!$F:$F,(_xlfn.AGGREGATE(15,6,(ROW(Liste_Materiel_Combinee!$G$2:$G$426)-1)/(Liste_Materiel_Combinee!$G$2:$G$426=1),256)+1)),""),0))</f>
        <v/>
      </c>
      <c r="D258" s="104" t="str">
        <f>IF($H$5="EFFACER","",IFERROR(INDEX(Liste_Materiel_Combinee!$E:$E,(_xlfn.AGGREGATE(15,6,(ROW(Liste_Materiel_Combinee!$G$2:$G$426)-1)/(Liste_Materiel_Combinee!$G$2:$G$426=1),256)+1)),""))</f>
        <v/>
      </c>
      <c r="E258" s="105">
        <f t="shared" si="3"/>
        <v>0</v>
      </c>
      <c r="F258" s="104" t="str">
        <f>IFERROR(INDEX(Catalogue!$K:$K,MATCH(A258,Catalogue!$A:$A,0)),"")</f>
        <v/>
      </c>
      <c r="G258" s="102"/>
      <c r="H258" s="7"/>
      <c r="I258" s="7"/>
    </row>
    <row r="259" spans="1:9" x14ac:dyDescent="0.25">
      <c r="A259" s="103" t="str">
        <f>IFERROR(INDEX(Liste_Materiel_Combinee!$B:$B,(_xlfn.AGGREGATE(15,6,(ROW(Liste_Materiel_Combinee!$G$2:$G$426)-1)/(Liste_Materiel_Combinee!$G$2:$G$426=1),257)+1)),"")</f>
        <v/>
      </c>
      <c r="B259" s="104" t="str">
        <f>IFERROR(INDEX(Liste_Materiel_Combinee!$C:$C,(_xlfn.AGGREGATE(15,6,(ROW(Liste_Materiel_Combinee!$G$2:$G$426)-1)/(Liste_Materiel_Combinee!$G$2:$G$426=1),257)+1)),"")</f>
        <v/>
      </c>
      <c r="C259" s="104" t="str">
        <f>IF(IFERROR(INDEX(Liste_Materiel_Combinee!$F:$F,(_xlfn.AGGREGATE(15,6,(ROW(Liste_Materiel_Combinee!$G$2:$G$426)-1)/(Liste_Materiel_Combinee!$G$2:$G$426=1),257)+1)),"")="","",ROUNDUP(IFERROR(INDEX(Liste_Materiel_Combinee!$F:$F,(_xlfn.AGGREGATE(15,6,(ROW(Liste_Materiel_Combinee!$G$2:$G$426)-1)/(Liste_Materiel_Combinee!$G$2:$G$426=1),257)+1)),""),0))</f>
        <v/>
      </c>
      <c r="D259" s="104" t="str">
        <f>IF($H$5="EFFACER","",IFERROR(INDEX(Liste_Materiel_Combinee!$E:$E,(_xlfn.AGGREGATE(15,6,(ROW(Liste_Materiel_Combinee!$G$2:$G$426)-1)/(Liste_Materiel_Combinee!$G$2:$G$426=1),257)+1)),""))</f>
        <v/>
      </c>
      <c r="E259" s="105">
        <f t="shared" ref="E259:E322" si="4">$H$2</f>
        <v>0</v>
      </c>
      <c r="F259" s="104" t="str">
        <f>IFERROR(INDEX(Catalogue!$K:$K,MATCH(A259,Catalogue!$A:$A,0)),"")</f>
        <v/>
      </c>
      <c r="G259" s="102"/>
      <c r="H259" s="7"/>
      <c r="I259" s="7"/>
    </row>
    <row r="260" spans="1:9" x14ac:dyDescent="0.25">
      <c r="A260" s="103" t="str">
        <f>IFERROR(INDEX(Liste_Materiel_Combinee!$B:$B,(_xlfn.AGGREGATE(15,6,(ROW(Liste_Materiel_Combinee!$G$2:$G$426)-1)/(Liste_Materiel_Combinee!$G$2:$G$426=1),258)+1)),"")</f>
        <v/>
      </c>
      <c r="B260" s="104" t="str">
        <f>IFERROR(INDEX(Liste_Materiel_Combinee!$C:$C,(_xlfn.AGGREGATE(15,6,(ROW(Liste_Materiel_Combinee!$G$2:$G$426)-1)/(Liste_Materiel_Combinee!$G$2:$G$426=1),258)+1)),"")</f>
        <v/>
      </c>
      <c r="C260" s="104" t="str">
        <f>IF(IFERROR(INDEX(Liste_Materiel_Combinee!$F:$F,(_xlfn.AGGREGATE(15,6,(ROW(Liste_Materiel_Combinee!$G$2:$G$426)-1)/(Liste_Materiel_Combinee!$G$2:$G$426=1),258)+1)),"")="","",ROUNDUP(IFERROR(INDEX(Liste_Materiel_Combinee!$F:$F,(_xlfn.AGGREGATE(15,6,(ROW(Liste_Materiel_Combinee!$G$2:$G$426)-1)/(Liste_Materiel_Combinee!$G$2:$G$426=1),258)+1)),""),0))</f>
        <v/>
      </c>
      <c r="D260" s="104" t="str">
        <f>IF($H$5="EFFACER","",IFERROR(INDEX(Liste_Materiel_Combinee!$E:$E,(_xlfn.AGGREGATE(15,6,(ROW(Liste_Materiel_Combinee!$G$2:$G$426)-1)/(Liste_Materiel_Combinee!$G$2:$G$426=1),258)+1)),""))</f>
        <v/>
      </c>
      <c r="E260" s="105">
        <f t="shared" si="4"/>
        <v>0</v>
      </c>
      <c r="F260" s="104" t="str">
        <f>IFERROR(INDEX(Catalogue!$K:$K,MATCH(A260,Catalogue!$A:$A,0)),"")</f>
        <v/>
      </c>
      <c r="G260" s="102"/>
      <c r="H260" s="7"/>
      <c r="I260" s="7"/>
    </row>
    <row r="261" spans="1:9" x14ac:dyDescent="0.25">
      <c r="A261" s="103" t="str">
        <f>IFERROR(INDEX(Liste_Materiel_Combinee!$B:$B,(_xlfn.AGGREGATE(15,6,(ROW(Liste_Materiel_Combinee!$G$2:$G$426)-1)/(Liste_Materiel_Combinee!$G$2:$G$426=1),259)+1)),"")</f>
        <v/>
      </c>
      <c r="B261" s="104" t="str">
        <f>IFERROR(INDEX(Liste_Materiel_Combinee!$C:$C,(_xlfn.AGGREGATE(15,6,(ROW(Liste_Materiel_Combinee!$G$2:$G$426)-1)/(Liste_Materiel_Combinee!$G$2:$G$426=1),259)+1)),"")</f>
        <v/>
      </c>
      <c r="C261" s="104" t="str">
        <f>IF(IFERROR(INDEX(Liste_Materiel_Combinee!$F:$F,(_xlfn.AGGREGATE(15,6,(ROW(Liste_Materiel_Combinee!$G$2:$G$426)-1)/(Liste_Materiel_Combinee!$G$2:$G$426=1),259)+1)),"")="","",ROUNDUP(IFERROR(INDEX(Liste_Materiel_Combinee!$F:$F,(_xlfn.AGGREGATE(15,6,(ROW(Liste_Materiel_Combinee!$G$2:$G$426)-1)/(Liste_Materiel_Combinee!$G$2:$G$426=1),259)+1)),""),0))</f>
        <v/>
      </c>
      <c r="D261" s="104" t="str">
        <f>IF($H$5="EFFACER","",IFERROR(INDEX(Liste_Materiel_Combinee!$E:$E,(_xlfn.AGGREGATE(15,6,(ROW(Liste_Materiel_Combinee!$G$2:$G$426)-1)/(Liste_Materiel_Combinee!$G$2:$G$426=1),259)+1)),""))</f>
        <v/>
      </c>
      <c r="E261" s="105">
        <f t="shared" si="4"/>
        <v>0</v>
      </c>
      <c r="F261" s="104" t="str">
        <f>IFERROR(INDEX(Catalogue!$K:$K,MATCH(A261,Catalogue!$A:$A,0)),"")</f>
        <v/>
      </c>
      <c r="G261" s="102"/>
      <c r="H261" s="7"/>
      <c r="I261" s="7"/>
    </row>
    <row r="262" spans="1:9" x14ac:dyDescent="0.25">
      <c r="A262" s="103" t="str">
        <f>IFERROR(INDEX(Liste_Materiel_Combinee!$B:$B,(_xlfn.AGGREGATE(15,6,(ROW(Liste_Materiel_Combinee!$G$2:$G$426)-1)/(Liste_Materiel_Combinee!$G$2:$G$426=1),260)+1)),"")</f>
        <v/>
      </c>
      <c r="B262" s="104" t="str">
        <f>IFERROR(INDEX(Liste_Materiel_Combinee!$C:$C,(_xlfn.AGGREGATE(15,6,(ROW(Liste_Materiel_Combinee!$G$2:$G$426)-1)/(Liste_Materiel_Combinee!$G$2:$G$426=1),260)+1)),"")</f>
        <v/>
      </c>
      <c r="C262" s="104" t="str">
        <f>IF(IFERROR(INDEX(Liste_Materiel_Combinee!$F:$F,(_xlfn.AGGREGATE(15,6,(ROW(Liste_Materiel_Combinee!$G$2:$G$426)-1)/(Liste_Materiel_Combinee!$G$2:$G$426=1),260)+1)),"")="","",ROUNDUP(IFERROR(INDEX(Liste_Materiel_Combinee!$F:$F,(_xlfn.AGGREGATE(15,6,(ROW(Liste_Materiel_Combinee!$G$2:$G$426)-1)/(Liste_Materiel_Combinee!$G$2:$G$426=1),260)+1)),""),0))</f>
        <v/>
      </c>
      <c r="D262" s="104" t="str">
        <f>IF($H$5="EFFACER","",IFERROR(INDEX(Liste_Materiel_Combinee!$E:$E,(_xlfn.AGGREGATE(15,6,(ROW(Liste_Materiel_Combinee!$G$2:$G$426)-1)/(Liste_Materiel_Combinee!$G$2:$G$426=1),260)+1)),""))</f>
        <v/>
      </c>
      <c r="E262" s="105">
        <f t="shared" si="4"/>
        <v>0</v>
      </c>
      <c r="F262" s="104" t="str">
        <f>IFERROR(INDEX(Catalogue!$K:$K,MATCH(A262,Catalogue!$A:$A,0)),"")</f>
        <v/>
      </c>
      <c r="G262" s="102"/>
      <c r="H262" s="7"/>
      <c r="I262" s="7"/>
    </row>
    <row r="263" spans="1:9" x14ac:dyDescent="0.25">
      <c r="A263" s="103" t="str">
        <f>IFERROR(INDEX(Liste_Materiel_Combinee!$B:$B,(_xlfn.AGGREGATE(15,6,(ROW(Liste_Materiel_Combinee!$G$2:$G$426)-1)/(Liste_Materiel_Combinee!$G$2:$G$426=1),261)+1)),"")</f>
        <v/>
      </c>
      <c r="B263" s="104" t="str">
        <f>IFERROR(INDEX(Liste_Materiel_Combinee!$C:$C,(_xlfn.AGGREGATE(15,6,(ROW(Liste_Materiel_Combinee!$G$2:$G$426)-1)/(Liste_Materiel_Combinee!$G$2:$G$426=1),261)+1)),"")</f>
        <v/>
      </c>
      <c r="C263" s="104" t="str">
        <f>IF(IFERROR(INDEX(Liste_Materiel_Combinee!$F:$F,(_xlfn.AGGREGATE(15,6,(ROW(Liste_Materiel_Combinee!$G$2:$G$426)-1)/(Liste_Materiel_Combinee!$G$2:$G$426=1),261)+1)),"")="","",ROUNDUP(IFERROR(INDEX(Liste_Materiel_Combinee!$F:$F,(_xlfn.AGGREGATE(15,6,(ROW(Liste_Materiel_Combinee!$G$2:$G$426)-1)/(Liste_Materiel_Combinee!$G$2:$G$426=1),261)+1)),""),0))</f>
        <v/>
      </c>
      <c r="D263" s="104" t="str">
        <f>IF($H$5="EFFACER","",IFERROR(INDEX(Liste_Materiel_Combinee!$E:$E,(_xlfn.AGGREGATE(15,6,(ROW(Liste_Materiel_Combinee!$G$2:$G$426)-1)/(Liste_Materiel_Combinee!$G$2:$G$426=1),261)+1)),""))</f>
        <v/>
      </c>
      <c r="E263" s="105">
        <f t="shared" si="4"/>
        <v>0</v>
      </c>
      <c r="F263" s="104" t="str">
        <f>IFERROR(INDEX(Catalogue!$K:$K,MATCH(A263,Catalogue!$A:$A,0)),"")</f>
        <v/>
      </c>
      <c r="G263" s="102"/>
      <c r="H263" s="7"/>
      <c r="I263" s="7"/>
    </row>
    <row r="264" spans="1:9" x14ac:dyDescent="0.25">
      <c r="A264" s="103" t="str">
        <f>IFERROR(INDEX(Liste_Materiel_Combinee!$B:$B,(_xlfn.AGGREGATE(15,6,(ROW(Liste_Materiel_Combinee!$G$2:$G$426)-1)/(Liste_Materiel_Combinee!$G$2:$G$426=1),262)+1)),"")</f>
        <v/>
      </c>
      <c r="B264" s="104" t="str">
        <f>IFERROR(INDEX(Liste_Materiel_Combinee!$C:$C,(_xlfn.AGGREGATE(15,6,(ROW(Liste_Materiel_Combinee!$G$2:$G$426)-1)/(Liste_Materiel_Combinee!$G$2:$G$426=1),262)+1)),"")</f>
        <v/>
      </c>
      <c r="C264" s="104" t="str">
        <f>IF(IFERROR(INDEX(Liste_Materiel_Combinee!$F:$F,(_xlfn.AGGREGATE(15,6,(ROW(Liste_Materiel_Combinee!$G$2:$G$426)-1)/(Liste_Materiel_Combinee!$G$2:$G$426=1),262)+1)),"")="","",ROUNDUP(IFERROR(INDEX(Liste_Materiel_Combinee!$F:$F,(_xlfn.AGGREGATE(15,6,(ROW(Liste_Materiel_Combinee!$G$2:$G$426)-1)/(Liste_Materiel_Combinee!$G$2:$G$426=1),262)+1)),""),0))</f>
        <v/>
      </c>
      <c r="D264" s="104" t="str">
        <f>IF($H$5="EFFACER","",IFERROR(INDEX(Liste_Materiel_Combinee!$E:$E,(_xlfn.AGGREGATE(15,6,(ROW(Liste_Materiel_Combinee!$G$2:$G$426)-1)/(Liste_Materiel_Combinee!$G$2:$G$426=1),262)+1)),""))</f>
        <v/>
      </c>
      <c r="E264" s="105">
        <f t="shared" si="4"/>
        <v>0</v>
      </c>
      <c r="F264" s="104" t="str">
        <f>IFERROR(INDEX(Catalogue!$K:$K,MATCH(A264,Catalogue!$A:$A,0)),"")</f>
        <v/>
      </c>
      <c r="G264" s="102"/>
      <c r="H264" s="7"/>
      <c r="I264" s="7"/>
    </row>
    <row r="265" spans="1:9" x14ac:dyDescent="0.25">
      <c r="A265" s="103" t="str">
        <f>IFERROR(INDEX(Liste_Materiel_Combinee!$B:$B,(_xlfn.AGGREGATE(15,6,(ROW(Liste_Materiel_Combinee!$G$2:$G$426)-1)/(Liste_Materiel_Combinee!$G$2:$G$426=1),263)+1)),"")</f>
        <v/>
      </c>
      <c r="B265" s="104" t="str">
        <f>IFERROR(INDEX(Liste_Materiel_Combinee!$C:$C,(_xlfn.AGGREGATE(15,6,(ROW(Liste_Materiel_Combinee!$G$2:$G$426)-1)/(Liste_Materiel_Combinee!$G$2:$G$426=1),263)+1)),"")</f>
        <v/>
      </c>
      <c r="C265" s="104" t="str">
        <f>IF(IFERROR(INDEX(Liste_Materiel_Combinee!$F:$F,(_xlfn.AGGREGATE(15,6,(ROW(Liste_Materiel_Combinee!$G$2:$G$426)-1)/(Liste_Materiel_Combinee!$G$2:$G$426=1),263)+1)),"")="","",ROUNDUP(IFERROR(INDEX(Liste_Materiel_Combinee!$F:$F,(_xlfn.AGGREGATE(15,6,(ROW(Liste_Materiel_Combinee!$G$2:$G$426)-1)/(Liste_Materiel_Combinee!$G$2:$G$426=1),263)+1)),""),0))</f>
        <v/>
      </c>
      <c r="D265" s="104" t="str">
        <f>IF($H$5="EFFACER","",IFERROR(INDEX(Liste_Materiel_Combinee!$E:$E,(_xlfn.AGGREGATE(15,6,(ROW(Liste_Materiel_Combinee!$G$2:$G$426)-1)/(Liste_Materiel_Combinee!$G$2:$G$426=1),263)+1)),""))</f>
        <v/>
      </c>
      <c r="E265" s="105">
        <f t="shared" si="4"/>
        <v>0</v>
      </c>
      <c r="F265" s="104" t="str">
        <f>IFERROR(INDEX(Catalogue!$K:$K,MATCH(A265,Catalogue!$A:$A,0)),"")</f>
        <v/>
      </c>
      <c r="G265" s="102"/>
      <c r="H265" s="7"/>
      <c r="I265" s="7"/>
    </row>
    <row r="266" spans="1:9" x14ac:dyDescent="0.25">
      <c r="A266" s="103" t="str">
        <f>IFERROR(INDEX(Liste_Materiel_Combinee!$B:$B,(_xlfn.AGGREGATE(15,6,(ROW(Liste_Materiel_Combinee!$G$2:$G$426)-1)/(Liste_Materiel_Combinee!$G$2:$G$426=1),264)+1)),"")</f>
        <v/>
      </c>
      <c r="B266" s="104" t="str">
        <f>IFERROR(INDEX(Liste_Materiel_Combinee!$C:$C,(_xlfn.AGGREGATE(15,6,(ROW(Liste_Materiel_Combinee!$G$2:$G$426)-1)/(Liste_Materiel_Combinee!$G$2:$G$426=1),264)+1)),"")</f>
        <v/>
      </c>
      <c r="C266" s="104" t="str">
        <f>IF(IFERROR(INDEX(Liste_Materiel_Combinee!$F:$F,(_xlfn.AGGREGATE(15,6,(ROW(Liste_Materiel_Combinee!$G$2:$G$426)-1)/(Liste_Materiel_Combinee!$G$2:$G$426=1),264)+1)),"")="","",ROUNDUP(IFERROR(INDEX(Liste_Materiel_Combinee!$F:$F,(_xlfn.AGGREGATE(15,6,(ROW(Liste_Materiel_Combinee!$G$2:$G$426)-1)/(Liste_Materiel_Combinee!$G$2:$G$426=1),264)+1)),""),0))</f>
        <v/>
      </c>
      <c r="D266" s="104" t="str">
        <f>IF($H$5="EFFACER","",IFERROR(INDEX(Liste_Materiel_Combinee!$E:$E,(_xlfn.AGGREGATE(15,6,(ROW(Liste_Materiel_Combinee!$G$2:$G$426)-1)/(Liste_Materiel_Combinee!$G$2:$G$426=1),264)+1)),""))</f>
        <v/>
      </c>
      <c r="E266" s="105">
        <f t="shared" si="4"/>
        <v>0</v>
      </c>
      <c r="F266" s="104" t="str">
        <f>IFERROR(INDEX(Catalogue!$K:$K,MATCH(A266,Catalogue!$A:$A,0)),"")</f>
        <v/>
      </c>
      <c r="G266" s="102"/>
      <c r="H266" s="7"/>
      <c r="I266" s="7"/>
    </row>
    <row r="267" spans="1:9" x14ac:dyDescent="0.25">
      <c r="A267" s="103" t="str">
        <f>IFERROR(INDEX(Liste_Materiel_Combinee!$B:$B,(_xlfn.AGGREGATE(15,6,(ROW(Liste_Materiel_Combinee!$G$2:$G$426)-1)/(Liste_Materiel_Combinee!$G$2:$G$426=1),265)+1)),"")</f>
        <v/>
      </c>
      <c r="B267" s="104" t="str">
        <f>IFERROR(INDEX(Liste_Materiel_Combinee!$C:$C,(_xlfn.AGGREGATE(15,6,(ROW(Liste_Materiel_Combinee!$G$2:$G$426)-1)/(Liste_Materiel_Combinee!$G$2:$G$426=1),265)+1)),"")</f>
        <v/>
      </c>
      <c r="C267" s="104" t="str">
        <f>IF(IFERROR(INDEX(Liste_Materiel_Combinee!$F:$F,(_xlfn.AGGREGATE(15,6,(ROW(Liste_Materiel_Combinee!$G$2:$G$426)-1)/(Liste_Materiel_Combinee!$G$2:$G$426=1),265)+1)),"")="","",ROUNDUP(IFERROR(INDEX(Liste_Materiel_Combinee!$F:$F,(_xlfn.AGGREGATE(15,6,(ROW(Liste_Materiel_Combinee!$G$2:$G$426)-1)/(Liste_Materiel_Combinee!$G$2:$G$426=1),265)+1)),""),0))</f>
        <v/>
      </c>
      <c r="D267" s="104" t="str">
        <f>IF($H$5="EFFACER","",IFERROR(INDEX(Liste_Materiel_Combinee!$E:$E,(_xlfn.AGGREGATE(15,6,(ROW(Liste_Materiel_Combinee!$G$2:$G$426)-1)/(Liste_Materiel_Combinee!$G$2:$G$426=1),265)+1)),""))</f>
        <v/>
      </c>
      <c r="E267" s="105">
        <f t="shared" si="4"/>
        <v>0</v>
      </c>
      <c r="F267" s="104" t="str">
        <f>IFERROR(INDEX(Catalogue!$K:$K,MATCH(A267,Catalogue!$A:$A,0)),"")</f>
        <v/>
      </c>
      <c r="G267" s="102"/>
      <c r="H267" s="7"/>
      <c r="I267" s="7"/>
    </row>
    <row r="268" spans="1:9" x14ac:dyDescent="0.25">
      <c r="A268" s="103" t="str">
        <f>IFERROR(INDEX(Liste_Materiel_Combinee!$B:$B,(_xlfn.AGGREGATE(15,6,(ROW(Liste_Materiel_Combinee!$G$2:$G$426)-1)/(Liste_Materiel_Combinee!$G$2:$G$426=1),266)+1)),"")</f>
        <v/>
      </c>
      <c r="B268" s="104" t="str">
        <f>IFERROR(INDEX(Liste_Materiel_Combinee!$C:$C,(_xlfn.AGGREGATE(15,6,(ROW(Liste_Materiel_Combinee!$G$2:$G$426)-1)/(Liste_Materiel_Combinee!$G$2:$G$426=1),266)+1)),"")</f>
        <v/>
      </c>
      <c r="C268" s="104" t="str">
        <f>IF(IFERROR(INDEX(Liste_Materiel_Combinee!$F:$F,(_xlfn.AGGREGATE(15,6,(ROW(Liste_Materiel_Combinee!$G$2:$G$426)-1)/(Liste_Materiel_Combinee!$G$2:$G$426=1),266)+1)),"")="","",ROUNDUP(IFERROR(INDEX(Liste_Materiel_Combinee!$F:$F,(_xlfn.AGGREGATE(15,6,(ROW(Liste_Materiel_Combinee!$G$2:$G$426)-1)/(Liste_Materiel_Combinee!$G$2:$G$426=1),266)+1)),""),0))</f>
        <v/>
      </c>
      <c r="D268" s="104" t="str">
        <f>IF($H$5="EFFACER","",IFERROR(INDEX(Liste_Materiel_Combinee!$E:$E,(_xlfn.AGGREGATE(15,6,(ROW(Liste_Materiel_Combinee!$G$2:$G$426)-1)/(Liste_Materiel_Combinee!$G$2:$G$426=1),266)+1)),""))</f>
        <v/>
      </c>
      <c r="E268" s="105">
        <f t="shared" si="4"/>
        <v>0</v>
      </c>
      <c r="F268" s="104" t="str">
        <f>IFERROR(INDEX(Catalogue!$K:$K,MATCH(A268,Catalogue!$A:$A,0)),"")</f>
        <v/>
      </c>
      <c r="G268" s="102"/>
      <c r="H268" s="7"/>
      <c r="I268" s="7"/>
    </row>
    <row r="269" spans="1:9" x14ac:dyDescent="0.25">
      <c r="A269" s="103" t="str">
        <f>IFERROR(INDEX(Liste_Materiel_Combinee!$B:$B,(_xlfn.AGGREGATE(15,6,(ROW(Liste_Materiel_Combinee!$G$2:$G$426)-1)/(Liste_Materiel_Combinee!$G$2:$G$426=1),267)+1)),"")</f>
        <v/>
      </c>
      <c r="B269" s="104" t="str">
        <f>IFERROR(INDEX(Liste_Materiel_Combinee!$C:$C,(_xlfn.AGGREGATE(15,6,(ROW(Liste_Materiel_Combinee!$G$2:$G$426)-1)/(Liste_Materiel_Combinee!$G$2:$G$426=1),267)+1)),"")</f>
        <v/>
      </c>
      <c r="C269" s="104" t="str">
        <f>IF(IFERROR(INDEX(Liste_Materiel_Combinee!$F:$F,(_xlfn.AGGREGATE(15,6,(ROW(Liste_Materiel_Combinee!$G$2:$G$426)-1)/(Liste_Materiel_Combinee!$G$2:$G$426=1),267)+1)),"")="","",ROUNDUP(IFERROR(INDEX(Liste_Materiel_Combinee!$F:$F,(_xlfn.AGGREGATE(15,6,(ROW(Liste_Materiel_Combinee!$G$2:$G$426)-1)/(Liste_Materiel_Combinee!$G$2:$G$426=1),267)+1)),""),0))</f>
        <v/>
      </c>
      <c r="D269" s="104" t="str">
        <f>IF($H$5="EFFACER","",IFERROR(INDEX(Liste_Materiel_Combinee!$E:$E,(_xlfn.AGGREGATE(15,6,(ROW(Liste_Materiel_Combinee!$G$2:$G$426)-1)/(Liste_Materiel_Combinee!$G$2:$G$426=1),267)+1)),""))</f>
        <v/>
      </c>
      <c r="E269" s="105">
        <f t="shared" si="4"/>
        <v>0</v>
      </c>
      <c r="F269" s="104" t="str">
        <f>IFERROR(INDEX(Catalogue!$K:$K,MATCH(A269,Catalogue!$A:$A,0)),"")</f>
        <v/>
      </c>
      <c r="G269" s="102"/>
      <c r="H269" s="7"/>
      <c r="I269" s="7"/>
    </row>
    <row r="270" spans="1:9" x14ac:dyDescent="0.25">
      <c r="A270" s="103" t="str">
        <f>IFERROR(INDEX(Liste_Materiel_Combinee!$B:$B,(_xlfn.AGGREGATE(15,6,(ROW(Liste_Materiel_Combinee!$G$2:$G$426)-1)/(Liste_Materiel_Combinee!$G$2:$G$426=1),268)+1)),"")</f>
        <v/>
      </c>
      <c r="B270" s="104" t="str">
        <f>IFERROR(INDEX(Liste_Materiel_Combinee!$C:$C,(_xlfn.AGGREGATE(15,6,(ROW(Liste_Materiel_Combinee!$G$2:$G$426)-1)/(Liste_Materiel_Combinee!$G$2:$G$426=1),268)+1)),"")</f>
        <v/>
      </c>
      <c r="C270" s="104" t="str">
        <f>IF(IFERROR(INDEX(Liste_Materiel_Combinee!$F:$F,(_xlfn.AGGREGATE(15,6,(ROW(Liste_Materiel_Combinee!$G$2:$G$426)-1)/(Liste_Materiel_Combinee!$G$2:$G$426=1),268)+1)),"")="","",ROUNDUP(IFERROR(INDEX(Liste_Materiel_Combinee!$F:$F,(_xlfn.AGGREGATE(15,6,(ROW(Liste_Materiel_Combinee!$G$2:$G$426)-1)/(Liste_Materiel_Combinee!$G$2:$G$426=1),268)+1)),""),0))</f>
        <v/>
      </c>
      <c r="D270" s="104" t="str">
        <f>IF($H$5="EFFACER","",IFERROR(INDEX(Liste_Materiel_Combinee!$E:$E,(_xlfn.AGGREGATE(15,6,(ROW(Liste_Materiel_Combinee!$G$2:$G$426)-1)/(Liste_Materiel_Combinee!$G$2:$G$426=1),268)+1)),""))</f>
        <v/>
      </c>
      <c r="E270" s="105">
        <f t="shared" si="4"/>
        <v>0</v>
      </c>
      <c r="F270" s="104" t="str">
        <f>IFERROR(INDEX(Catalogue!$K:$K,MATCH(A270,Catalogue!$A:$A,0)),"")</f>
        <v/>
      </c>
      <c r="G270" s="102"/>
      <c r="H270" s="7"/>
      <c r="I270" s="7"/>
    </row>
    <row r="271" spans="1:9" x14ac:dyDescent="0.25">
      <c r="A271" s="103" t="str">
        <f>IFERROR(INDEX(Liste_Materiel_Combinee!$B:$B,(_xlfn.AGGREGATE(15,6,(ROW(Liste_Materiel_Combinee!$G$2:$G$426)-1)/(Liste_Materiel_Combinee!$G$2:$G$426=1),269)+1)),"")</f>
        <v/>
      </c>
      <c r="B271" s="104" t="str">
        <f>IFERROR(INDEX(Liste_Materiel_Combinee!$C:$C,(_xlfn.AGGREGATE(15,6,(ROW(Liste_Materiel_Combinee!$G$2:$G$426)-1)/(Liste_Materiel_Combinee!$G$2:$G$426=1),269)+1)),"")</f>
        <v/>
      </c>
      <c r="C271" s="104" t="str">
        <f>IF(IFERROR(INDEX(Liste_Materiel_Combinee!$F:$F,(_xlfn.AGGREGATE(15,6,(ROW(Liste_Materiel_Combinee!$G$2:$G$426)-1)/(Liste_Materiel_Combinee!$G$2:$G$426=1),269)+1)),"")="","",ROUNDUP(IFERROR(INDEX(Liste_Materiel_Combinee!$F:$F,(_xlfn.AGGREGATE(15,6,(ROW(Liste_Materiel_Combinee!$G$2:$G$426)-1)/(Liste_Materiel_Combinee!$G$2:$G$426=1),269)+1)),""),0))</f>
        <v/>
      </c>
      <c r="D271" s="104" t="str">
        <f>IF($H$5="EFFACER","",IFERROR(INDEX(Liste_Materiel_Combinee!$E:$E,(_xlfn.AGGREGATE(15,6,(ROW(Liste_Materiel_Combinee!$G$2:$G$426)-1)/(Liste_Materiel_Combinee!$G$2:$G$426=1),269)+1)),""))</f>
        <v/>
      </c>
      <c r="E271" s="105">
        <f t="shared" si="4"/>
        <v>0</v>
      </c>
      <c r="F271" s="104" t="str">
        <f>IFERROR(INDEX(Catalogue!$K:$K,MATCH(A271,Catalogue!$A:$A,0)),"")</f>
        <v/>
      </c>
      <c r="G271" s="102"/>
      <c r="H271" s="7"/>
      <c r="I271" s="7"/>
    </row>
    <row r="272" spans="1:9" x14ac:dyDescent="0.25">
      <c r="A272" s="103" t="str">
        <f>IFERROR(INDEX(Liste_Materiel_Combinee!$B:$B,(_xlfn.AGGREGATE(15,6,(ROW(Liste_Materiel_Combinee!$G$2:$G$426)-1)/(Liste_Materiel_Combinee!$G$2:$G$426=1),270)+1)),"")</f>
        <v/>
      </c>
      <c r="B272" s="104" t="str">
        <f>IFERROR(INDEX(Liste_Materiel_Combinee!$C:$C,(_xlfn.AGGREGATE(15,6,(ROW(Liste_Materiel_Combinee!$G$2:$G$426)-1)/(Liste_Materiel_Combinee!$G$2:$G$426=1),270)+1)),"")</f>
        <v/>
      </c>
      <c r="C272" s="104" t="str">
        <f>IF(IFERROR(INDEX(Liste_Materiel_Combinee!$F:$F,(_xlfn.AGGREGATE(15,6,(ROW(Liste_Materiel_Combinee!$G$2:$G$426)-1)/(Liste_Materiel_Combinee!$G$2:$G$426=1),270)+1)),"")="","",ROUNDUP(IFERROR(INDEX(Liste_Materiel_Combinee!$F:$F,(_xlfn.AGGREGATE(15,6,(ROW(Liste_Materiel_Combinee!$G$2:$G$426)-1)/(Liste_Materiel_Combinee!$G$2:$G$426=1),270)+1)),""),0))</f>
        <v/>
      </c>
      <c r="D272" s="104" t="str">
        <f>IF($H$5="EFFACER","",IFERROR(INDEX(Liste_Materiel_Combinee!$E:$E,(_xlfn.AGGREGATE(15,6,(ROW(Liste_Materiel_Combinee!$G$2:$G$426)-1)/(Liste_Materiel_Combinee!$G$2:$G$426=1),270)+1)),""))</f>
        <v/>
      </c>
      <c r="E272" s="105">
        <f t="shared" si="4"/>
        <v>0</v>
      </c>
      <c r="F272" s="104" t="str">
        <f>IFERROR(INDEX(Catalogue!$K:$K,MATCH(A272,Catalogue!$A:$A,0)),"")</f>
        <v/>
      </c>
      <c r="G272" s="102"/>
      <c r="H272" s="7"/>
      <c r="I272" s="7"/>
    </row>
    <row r="273" spans="1:9" x14ac:dyDescent="0.25">
      <c r="A273" s="103" t="str">
        <f>IFERROR(INDEX(Liste_Materiel_Combinee!$B:$B,(_xlfn.AGGREGATE(15,6,(ROW(Liste_Materiel_Combinee!$G$2:$G$426)-1)/(Liste_Materiel_Combinee!$G$2:$G$426=1),271)+1)),"")</f>
        <v/>
      </c>
      <c r="B273" s="104" t="str">
        <f>IFERROR(INDEX(Liste_Materiel_Combinee!$C:$C,(_xlfn.AGGREGATE(15,6,(ROW(Liste_Materiel_Combinee!$G$2:$G$426)-1)/(Liste_Materiel_Combinee!$G$2:$G$426=1),271)+1)),"")</f>
        <v/>
      </c>
      <c r="C273" s="104" t="str">
        <f>IF(IFERROR(INDEX(Liste_Materiel_Combinee!$F:$F,(_xlfn.AGGREGATE(15,6,(ROW(Liste_Materiel_Combinee!$G$2:$G$426)-1)/(Liste_Materiel_Combinee!$G$2:$G$426=1),271)+1)),"")="","",ROUNDUP(IFERROR(INDEX(Liste_Materiel_Combinee!$F:$F,(_xlfn.AGGREGATE(15,6,(ROW(Liste_Materiel_Combinee!$G$2:$G$426)-1)/(Liste_Materiel_Combinee!$G$2:$G$426=1),271)+1)),""),0))</f>
        <v/>
      </c>
      <c r="D273" s="104" t="str">
        <f>IF($H$5="EFFACER","",IFERROR(INDEX(Liste_Materiel_Combinee!$E:$E,(_xlfn.AGGREGATE(15,6,(ROW(Liste_Materiel_Combinee!$G$2:$G$426)-1)/(Liste_Materiel_Combinee!$G$2:$G$426=1),271)+1)),""))</f>
        <v/>
      </c>
      <c r="E273" s="105">
        <f t="shared" si="4"/>
        <v>0</v>
      </c>
      <c r="F273" s="104" t="str">
        <f>IFERROR(INDEX(Catalogue!$K:$K,MATCH(A273,Catalogue!$A:$A,0)),"")</f>
        <v/>
      </c>
      <c r="G273" s="102"/>
      <c r="H273" s="7"/>
      <c r="I273" s="7"/>
    </row>
    <row r="274" spans="1:9" x14ac:dyDescent="0.25">
      <c r="A274" s="103" t="str">
        <f>IFERROR(INDEX(Liste_Materiel_Combinee!$B:$B,(_xlfn.AGGREGATE(15,6,(ROW(Liste_Materiel_Combinee!$G$2:$G$426)-1)/(Liste_Materiel_Combinee!$G$2:$G$426=1),272)+1)),"")</f>
        <v/>
      </c>
      <c r="B274" s="104" t="str">
        <f>IFERROR(INDEX(Liste_Materiel_Combinee!$C:$C,(_xlfn.AGGREGATE(15,6,(ROW(Liste_Materiel_Combinee!$G$2:$G$426)-1)/(Liste_Materiel_Combinee!$G$2:$G$426=1),272)+1)),"")</f>
        <v/>
      </c>
      <c r="C274" s="104" t="str">
        <f>IF(IFERROR(INDEX(Liste_Materiel_Combinee!$F:$F,(_xlfn.AGGREGATE(15,6,(ROW(Liste_Materiel_Combinee!$G$2:$G$426)-1)/(Liste_Materiel_Combinee!$G$2:$G$426=1),272)+1)),"")="","",ROUNDUP(IFERROR(INDEX(Liste_Materiel_Combinee!$F:$F,(_xlfn.AGGREGATE(15,6,(ROW(Liste_Materiel_Combinee!$G$2:$G$426)-1)/(Liste_Materiel_Combinee!$G$2:$G$426=1),272)+1)),""),0))</f>
        <v/>
      </c>
      <c r="D274" s="104" t="str">
        <f>IF($H$5="EFFACER","",IFERROR(INDEX(Liste_Materiel_Combinee!$E:$E,(_xlfn.AGGREGATE(15,6,(ROW(Liste_Materiel_Combinee!$G$2:$G$426)-1)/(Liste_Materiel_Combinee!$G$2:$G$426=1),272)+1)),""))</f>
        <v/>
      </c>
      <c r="E274" s="105">
        <f t="shared" si="4"/>
        <v>0</v>
      </c>
      <c r="F274" s="104" t="str">
        <f>IFERROR(INDEX(Catalogue!$K:$K,MATCH(A274,Catalogue!$A:$A,0)),"")</f>
        <v/>
      </c>
      <c r="G274" s="102"/>
      <c r="H274" s="7"/>
      <c r="I274" s="7"/>
    </row>
    <row r="275" spans="1:9" x14ac:dyDescent="0.25">
      <c r="A275" s="103" t="str">
        <f>IFERROR(INDEX(Liste_Materiel_Combinee!$B:$B,(_xlfn.AGGREGATE(15,6,(ROW(Liste_Materiel_Combinee!$G$2:$G$426)-1)/(Liste_Materiel_Combinee!$G$2:$G$426=1),273)+1)),"")</f>
        <v/>
      </c>
      <c r="B275" s="104" t="str">
        <f>IFERROR(INDEX(Liste_Materiel_Combinee!$C:$C,(_xlfn.AGGREGATE(15,6,(ROW(Liste_Materiel_Combinee!$G$2:$G$426)-1)/(Liste_Materiel_Combinee!$G$2:$G$426=1),273)+1)),"")</f>
        <v/>
      </c>
      <c r="C275" s="104" t="str">
        <f>IF(IFERROR(INDEX(Liste_Materiel_Combinee!$F:$F,(_xlfn.AGGREGATE(15,6,(ROW(Liste_Materiel_Combinee!$G$2:$G$426)-1)/(Liste_Materiel_Combinee!$G$2:$G$426=1),273)+1)),"")="","",ROUNDUP(IFERROR(INDEX(Liste_Materiel_Combinee!$F:$F,(_xlfn.AGGREGATE(15,6,(ROW(Liste_Materiel_Combinee!$G$2:$G$426)-1)/(Liste_Materiel_Combinee!$G$2:$G$426=1),273)+1)),""),0))</f>
        <v/>
      </c>
      <c r="D275" s="104" t="str">
        <f>IF($H$5="EFFACER","",IFERROR(INDEX(Liste_Materiel_Combinee!$E:$E,(_xlfn.AGGREGATE(15,6,(ROW(Liste_Materiel_Combinee!$G$2:$G$426)-1)/(Liste_Materiel_Combinee!$G$2:$G$426=1),273)+1)),""))</f>
        <v/>
      </c>
      <c r="E275" s="105">
        <f t="shared" si="4"/>
        <v>0</v>
      </c>
      <c r="F275" s="104" t="str">
        <f>IFERROR(INDEX(Catalogue!$K:$K,MATCH(A275,Catalogue!$A:$A,0)),"")</f>
        <v/>
      </c>
      <c r="G275" s="102"/>
      <c r="H275" s="7"/>
      <c r="I275" s="7"/>
    </row>
    <row r="276" spans="1:9" x14ac:dyDescent="0.25">
      <c r="A276" s="103" t="str">
        <f>IFERROR(INDEX(Liste_Materiel_Combinee!$B:$B,(_xlfn.AGGREGATE(15,6,(ROW(Liste_Materiel_Combinee!$G$2:$G$426)-1)/(Liste_Materiel_Combinee!$G$2:$G$426=1),274)+1)),"")</f>
        <v/>
      </c>
      <c r="B276" s="104" t="str">
        <f>IFERROR(INDEX(Liste_Materiel_Combinee!$C:$C,(_xlfn.AGGREGATE(15,6,(ROW(Liste_Materiel_Combinee!$G$2:$G$426)-1)/(Liste_Materiel_Combinee!$G$2:$G$426=1),274)+1)),"")</f>
        <v/>
      </c>
      <c r="C276" s="104" t="str">
        <f>IF(IFERROR(INDEX(Liste_Materiel_Combinee!$F:$F,(_xlfn.AGGREGATE(15,6,(ROW(Liste_Materiel_Combinee!$G$2:$G$426)-1)/(Liste_Materiel_Combinee!$G$2:$G$426=1),274)+1)),"")="","",ROUNDUP(IFERROR(INDEX(Liste_Materiel_Combinee!$F:$F,(_xlfn.AGGREGATE(15,6,(ROW(Liste_Materiel_Combinee!$G$2:$G$426)-1)/(Liste_Materiel_Combinee!$G$2:$G$426=1),274)+1)),""),0))</f>
        <v/>
      </c>
      <c r="D276" s="104" t="str">
        <f>IF($H$5="EFFACER","",IFERROR(INDEX(Liste_Materiel_Combinee!$E:$E,(_xlfn.AGGREGATE(15,6,(ROW(Liste_Materiel_Combinee!$G$2:$G$426)-1)/(Liste_Materiel_Combinee!$G$2:$G$426=1),274)+1)),""))</f>
        <v/>
      </c>
      <c r="E276" s="105">
        <f t="shared" si="4"/>
        <v>0</v>
      </c>
      <c r="F276" s="104" t="str">
        <f>IFERROR(INDEX(Catalogue!$K:$K,MATCH(A276,Catalogue!$A:$A,0)),"")</f>
        <v/>
      </c>
      <c r="G276" s="102"/>
      <c r="H276" s="7"/>
      <c r="I276" s="7"/>
    </row>
    <row r="277" spans="1:9" x14ac:dyDescent="0.25">
      <c r="A277" s="103" t="str">
        <f>IFERROR(INDEX(Liste_Materiel_Combinee!$B:$B,(_xlfn.AGGREGATE(15,6,(ROW(Liste_Materiel_Combinee!$G$2:$G$426)-1)/(Liste_Materiel_Combinee!$G$2:$G$426=1),275)+1)),"")</f>
        <v/>
      </c>
      <c r="B277" s="104" t="str">
        <f>IFERROR(INDEX(Liste_Materiel_Combinee!$C:$C,(_xlfn.AGGREGATE(15,6,(ROW(Liste_Materiel_Combinee!$G$2:$G$426)-1)/(Liste_Materiel_Combinee!$G$2:$G$426=1),275)+1)),"")</f>
        <v/>
      </c>
      <c r="C277" s="104" t="str">
        <f>IF(IFERROR(INDEX(Liste_Materiel_Combinee!$F:$F,(_xlfn.AGGREGATE(15,6,(ROW(Liste_Materiel_Combinee!$G$2:$G$426)-1)/(Liste_Materiel_Combinee!$G$2:$G$426=1),275)+1)),"")="","",ROUNDUP(IFERROR(INDEX(Liste_Materiel_Combinee!$F:$F,(_xlfn.AGGREGATE(15,6,(ROW(Liste_Materiel_Combinee!$G$2:$G$426)-1)/(Liste_Materiel_Combinee!$G$2:$G$426=1),275)+1)),""),0))</f>
        <v/>
      </c>
      <c r="D277" s="104" t="str">
        <f>IF($H$5="EFFACER","",IFERROR(INDEX(Liste_Materiel_Combinee!$E:$E,(_xlfn.AGGREGATE(15,6,(ROW(Liste_Materiel_Combinee!$G$2:$G$426)-1)/(Liste_Materiel_Combinee!$G$2:$G$426=1),275)+1)),""))</f>
        <v/>
      </c>
      <c r="E277" s="105">
        <f t="shared" si="4"/>
        <v>0</v>
      </c>
      <c r="F277" s="104" t="str">
        <f>IFERROR(INDEX(Catalogue!$K:$K,MATCH(A277,Catalogue!$A:$A,0)),"")</f>
        <v/>
      </c>
      <c r="G277" s="102"/>
      <c r="H277" s="7"/>
      <c r="I277" s="7"/>
    </row>
    <row r="278" spans="1:9" x14ac:dyDescent="0.25">
      <c r="A278" s="103" t="str">
        <f>IFERROR(INDEX(Liste_Materiel_Combinee!$B:$B,(_xlfn.AGGREGATE(15,6,(ROW(Liste_Materiel_Combinee!$G$2:$G$426)-1)/(Liste_Materiel_Combinee!$G$2:$G$426=1),276)+1)),"")</f>
        <v/>
      </c>
      <c r="B278" s="104" t="str">
        <f>IFERROR(INDEX(Liste_Materiel_Combinee!$C:$C,(_xlfn.AGGREGATE(15,6,(ROW(Liste_Materiel_Combinee!$G$2:$G$426)-1)/(Liste_Materiel_Combinee!$G$2:$G$426=1),276)+1)),"")</f>
        <v/>
      </c>
      <c r="C278" s="104" t="str">
        <f>IF(IFERROR(INDEX(Liste_Materiel_Combinee!$F:$F,(_xlfn.AGGREGATE(15,6,(ROW(Liste_Materiel_Combinee!$G$2:$G$426)-1)/(Liste_Materiel_Combinee!$G$2:$G$426=1),276)+1)),"")="","",ROUNDUP(IFERROR(INDEX(Liste_Materiel_Combinee!$F:$F,(_xlfn.AGGREGATE(15,6,(ROW(Liste_Materiel_Combinee!$G$2:$G$426)-1)/(Liste_Materiel_Combinee!$G$2:$G$426=1),276)+1)),""),0))</f>
        <v/>
      </c>
      <c r="D278" s="104" t="str">
        <f>IF($H$5="EFFACER","",IFERROR(INDEX(Liste_Materiel_Combinee!$E:$E,(_xlfn.AGGREGATE(15,6,(ROW(Liste_Materiel_Combinee!$G$2:$G$426)-1)/(Liste_Materiel_Combinee!$G$2:$G$426=1),276)+1)),""))</f>
        <v/>
      </c>
      <c r="E278" s="105">
        <f t="shared" si="4"/>
        <v>0</v>
      </c>
      <c r="F278" s="104" t="str">
        <f>IFERROR(INDEX(Catalogue!$K:$K,MATCH(A278,Catalogue!$A:$A,0)),"")</f>
        <v/>
      </c>
      <c r="G278" s="102"/>
      <c r="H278" s="7"/>
      <c r="I278" s="7"/>
    </row>
    <row r="279" spans="1:9" x14ac:dyDescent="0.25">
      <c r="A279" s="103" t="str">
        <f>IFERROR(INDEX(Liste_Materiel_Combinee!$B:$B,(_xlfn.AGGREGATE(15,6,(ROW(Liste_Materiel_Combinee!$G$2:$G$426)-1)/(Liste_Materiel_Combinee!$G$2:$G$426=1),277)+1)),"")</f>
        <v/>
      </c>
      <c r="B279" s="104" t="str">
        <f>IFERROR(INDEX(Liste_Materiel_Combinee!$C:$C,(_xlfn.AGGREGATE(15,6,(ROW(Liste_Materiel_Combinee!$G$2:$G$426)-1)/(Liste_Materiel_Combinee!$G$2:$G$426=1),277)+1)),"")</f>
        <v/>
      </c>
      <c r="C279" s="104" t="str">
        <f>IF(IFERROR(INDEX(Liste_Materiel_Combinee!$F:$F,(_xlfn.AGGREGATE(15,6,(ROW(Liste_Materiel_Combinee!$G$2:$G$426)-1)/(Liste_Materiel_Combinee!$G$2:$G$426=1),277)+1)),"")="","",ROUNDUP(IFERROR(INDEX(Liste_Materiel_Combinee!$F:$F,(_xlfn.AGGREGATE(15,6,(ROW(Liste_Materiel_Combinee!$G$2:$G$426)-1)/(Liste_Materiel_Combinee!$G$2:$G$426=1),277)+1)),""),0))</f>
        <v/>
      </c>
      <c r="D279" s="104" t="str">
        <f>IF($H$5="EFFACER","",IFERROR(INDEX(Liste_Materiel_Combinee!$E:$E,(_xlfn.AGGREGATE(15,6,(ROW(Liste_Materiel_Combinee!$G$2:$G$426)-1)/(Liste_Materiel_Combinee!$G$2:$G$426=1),277)+1)),""))</f>
        <v/>
      </c>
      <c r="E279" s="105">
        <f t="shared" si="4"/>
        <v>0</v>
      </c>
      <c r="F279" s="104" t="str">
        <f>IFERROR(INDEX(Catalogue!$K:$K,MATCH(A279,Catalogue!$A:$A,0)),"")</f>
        <v/>
      </c>
      <c r="G279" s="102"/>
      <c r="H279" s="7"/>
      <c r="I279" s="7"/>
    </row>
    <row r="280" spans="1:9" x14ac:dyDescent="0.25">
      <c r="A280" s="103" t="str">
        <f>IFERROR(INDEX(Liste_Materiel_Combinee!$B:$B,(_xlfn.AGGREGATE(15,6,(ROW(Liste_Materiel_Combinee!$G$2:$G$426)-1)/(Liste_Materiel_Combinee!$G$2:$G$426=1),278)+1)),"")</f>
        <v/>
      </c>
      <c r="B280" s="104" t="str">
        <f>IFERROR(INDEX(Liste_Materiel_Combinee!$C:$C,(_xlfn.AGGREGATE(15,6,(ROW(Liste_Materiel_Combinee!$G$2:$G$426)-1)/(Liste_Materiel_Combinee!$G$2:$G$426=1),278)+1)),"")</f>
        <v/>
      </c>
      <c r="C280" s="104" t="str">
        <f>IF(IFERROR(INDEX(Liste_Materiel_Combinee!$F:$F,(_xlfn.AGGREGATE(15,6,(ROW(Liste_Materiel_Combinee!$G$2:$G$426)-1)/(Liste_Materiel_Combinee!$G$2:$G$426=1),278)+1)),"")="","",ROUNDUP(IFERROR(INDEX(Liste_Materiel_Combinee!$F:$F,(_xlfn.AGGREGATE(15,6,(ROW(Liste_Materiel_Combinee!$G$2:$G$426)-1)/(Liste_Materiel_Combinee!$G$2:$G$426=1),278)+1)),""),0))</f>
        <v/>
      </c>
      <c r="D280" s="104" t="str">
        <f>IF($H$5="EFFACER","",IFERROR(INDEX(Liste_Materiel_Combinee!$E:$E,(_xlfn.AGGREGATE(15,6,(ROW(Liste_Materiel_Combinee!$G$2:$G$426)-1)/(Liste_Materiel_Combinee!$G$2:$G$426=1),278)+1)),""))</f>
        <v/>
      </c>
      <c r="E280" s="105">
        <f t="shared" si="4"/>
        <v>0</v>
      </c>
      <c r="F280" s="104" t="str">
        <f>IFERROR(INDEX(Catalogue!$K:$K,MATCH(A280,Catalogue!$A:$A,0)),"")</f>
        <v/>
      </c>
      <c r="G280" s="102"/>
      <c r="H280" s="7"/>
      <c r="I280" s="7"/>
    </row>
    <row r="281" spans="1:9" x14ac:dyDescent="0.25">
      <c r="A281" s="103" t="str">
        <f>IFERROR(INDEX(Liste_Materiel_Combinee!$B:$B,(_xlfn.AGGREGATE(15,6,(ROW(Liste_Materiel_Combinee!$G$2:$G$426)-1)/(Liste_Materiel_Combinee!$G$2:$G$426=1),279)+1)),"")</f>
        <v/>
      </c>
      <c r="B281" s="104" t="str">
        <f>IFERROR(INDEX(Liste_Materiel_Combinee!$C:$C,(_xlfn.AGGREGATE(15,6,(ROW(Liste_Materiel_Combinee!$G$2:$G$426)-1)/(Liste_Materiel_Combinee!$G$2:$G$426=1),279)+1)),"")</f>
        <v/>
      </c>
      <c r="C281" s="104" t="str">
        <f>IF(IFERROR(INDEX(Liste_Materiel_Combinee!$F:$F,(_xlfn.AGGREGATE(15,6,(ROW(Liste_Materiel_Combinee!$G$2:$G$426)-1)/(Liste_Materiel_Combinee!$G$2:$G$426=1),279)+1)),"")="","",ROUNDUP(IFERROR(INDEX(Liste_Materiel_Combinee!$F:$F,(_xlfn.AGGREGATE(15,6,(ROW(Liste_Materiel_Combinee!$G$2:$G$426)-1)/(Liste_Materiel_Combinee!$G$2:$G$426=1),279)+1)),""),0))</f>
        <v/>
      </c>
      <c r="D281" s="104" t="str">
        <f>IF($H$5="EFFACER","",IFERROR(INDEX(Liste_Materiel_Combinee!$E:$E,(_xlfn.AGGREGATE(15,6,(ROW(Liste_Materiel_Combinee!$G$2:$G$426)-1)/(Liste_Materiel_Combinee!$G$2:$G$426=1),279)+1)),""))</f>
        <v/>
      </c>
      <c r="E281" s="105">
        <f t="shared" si="4"/>
        <v>0</v>
      </c>
      <c r="F281" s="104" t="str">
        <f>IFERROR(INDEX(Catalogue!$K:$K,MATCH(A281,Catalogue!$A:$A,0)),"")</f>
        <v/>
      </c>
      <c r="G281" s="102"/>
      <c r="H281" s="7"/>
      <c r="I281" s="7"/>
    </row>
    <row r="282" spans="1:9" x14ac:dyDescent="0.25">
      <c r="A282" s="103" t="str">
        <f>IFERROR(INDEX(Liste_Materiel_Combinee!$B:$B,(_xlfn.AGGREGATE(15,6,(ROW(Liste_Materiel_Combinee!$G$2:$G$426)-1)/(Liste_Materiel_Combinee!$G$2:$G$426=1),280)+1)),"")</f>
        <v/>
      </c>
      <c r="B282" s="104" t="str">
        <f>IFERROR(INDEX(Liste_Materiel_Combinee!$C:$C,(_xlfn.AGGREGATE(15,6,(ROW(Liste_Materiel_Combinee!$G$2:$G$426)-1)/(Liste_Materiel_Combinee!$G$2:$G$426=1),280)+1)),"")</f>
        <v/>
      </c>
      <c r="C282" s="104" t="str">
        <f>IF(IFERROR(INDEX(Liste_Materiel_Combinee!$F:$F,(_xlfn.AGGREGATE(15,6,(ROW(Liste_Materiel_Combinee!$G$2:$G$426)-1)/(Liste_Materiel_Combinee!$G$2:$G$426=1),280)+1)),"")="","",ROUNDUP(IFERROR(INDEX(Liste_Materiel_Combinee!$F:$F,(_xlfn.AGGREGATE(15,6,(ROW(Liste_Materiel_Combinee!$G$2:$G$426)-1)/(Liste_Materiel_Combinee!$G$2:$G$426=1),280)+1)),""),0))</f>
        <v/>
      </c>
      <c r="D282" s="104" t="str">
        <f>IF($H$5="EFFACER","",IFERROR(INDEX(Liste_Materiel_Combinee!$E:$E,(_xlfn.AGGREGATE(15,6,(ROW(Liste_Materiel_Combinee!$G$2:$G$426)-1)/(Liste_Materiel_Combinee!$G$2:$G$426=1),280)+1)),""))</f>
        <v/>
      </c>
      <c r="E282" s="105">
        <f t="shared" si="4"/>
        <v>0</v>
      </c>
      <c r="F282" s="104" t="str">
        <f>IFERROR(INDEX(Catalogue!$K:$K,MATCH(A282,Catalogue!$A:$A,0)),"")</f>
        <v/>
      </c>
      <c r="G282" s="102"/>
      <c r="H282" s="7"/>
      <c r="I282" s="7"/>
    </row>
    <row r="283" spans="1:9" x14ac:dyDescent="0.25">
      <c r="A283" s="103" t="str">
        <f>IFERROR(INDEX(Liste_Materiel_Combinee!$B:$B,(_xlfn.AGGREGATE(15,6,(ROW(Liste_Materiel_Combinee!$G$2:$G$426)-1)/(Liste_Materiel_Combinee!$G$2:$G$426=1),281)+1)),"")</f>
        <v/>
      </c>
      <c r="B283" s="104" t="str">
        <f>IFERROR(INDEX(Liste_Materiel_Combinee!$C:$C,(_xlfn.AGGREGATE(15,6,(ROW(Liste_Materiel_Combinee!$G$2:$G$426)-1)/(Liste_Materiel_Combinee!$G$2:$G$426=1),281)+1)),"")</f>
        <v/>
      </c>
      <c r="C283" s="104" t="str">
        <f>IF(IFERROR(INDEX(Liste_Materiel_Combinee!$F:$F,(_xlfn.AGGREGATE(15,6,(ROW(Liste_Materiel_Combinee!$G$2:$G$426)-1)/(Liste_Materiel_Combinee!$G$2:$G$426=1),281)+1)),"")="","",ROUNDUP(IFERROR(INDEX(Liste_Materiel_Combinee!$F:$F,(_xlfn.AGGREGATE(15,6,(ROW(Liste_Materiel_Combinee!$G$2:$G$426)-1)/(Liste_Materiel_Combinee!$G$2:$G$426=1),281)+1)),""),0))</f>
        <v/>
      </c>
      <c r="D283" s="104" t="str">
        <f>IF($H$5="EFFACER","",IFERROR(INDEX(Liste_Materiel_Combinee!$E:$E,(_xlfn.AGGREGATE(15,6,(ROW(Liste_Materiel_Combinee!$G$2:$G$426)-1)/(Liste_Materiel_Combinee!$G$2:$G$426=1),281)+1)),""))</f>
        <v/>
      </c>
      <c r="E283" s="105">
        <f t="shared" si="4"/>
        <v>0</v>
      </c>
      <c r="F283" s="104" t="str">
        <f>IFERROR(INDEX(Catalogue!$K:$K,MATCH(A283,Catalogue!$A:$A,0)),"")</f>
        <v/>
      </c>
      <c r="G283" s="102"/>
      <c r="H283" s="7"/>
      <c r="I283" s="7"/>
    </row>
    <row r="284" spans="1:9" x14ac:dyDescent="0.25">
      <c r="A284" s="103" t="str">
        <f>IFERROR(INDEX(Liste_Materiel_Combinee!$B:$B,(_xlfn.AGGREGATE(15,6,(ROW(Liste_Materiel_Combinee!$G$2:$G$426)-1)/(Liste_Materiel_Combinee!$G$2:$G$426=1),282)+1)),"")</f>
        <v/>
      </c>
      <c r="B284" s="104" t="str">
        <f>IFERROR(INDEX(Liste_Materiel_Combinee!$C:$C,(_xlfn.AGGREGATE(15,6,(ROW(Liste_Materiel_Combinee!$G$2:$G$426)-1)/(Liste_Materiel_Combinee!$G$2:$G$426=1),282)+1)),"")</f>
        <v/>
      </c>
      <c r="C284" s="104" t="str">
        <f>IF(IFERROR(INDEX(Liste_Materiel_Combinee!$F:$F,(_xlfn.AGGREGATE(15,6,(ROW(Liste_Materiel_Combinee!$G$2:$G$426)-1)/(Liste_Materiel_Combinee!$G$2:$G$426=1),282)+1)),"")="","",ROUNDUP(IFERROR(INDEX(Liste_Materiel_Combinee!$F:$F,(_xlfn.AGGREGATE(15,6,(ROW(Liste_Materiel_Combinee!$G$2:$G$426)-1)/(Liste_Materiel_Combinee!$G$2:$G$426=1),282)+1)),""),0))</f>
        <v/>
      </c>
      <c r="D284" s="104" t="str">
        <f>IF($H$5="EFFACER","",IFERROR(INDEX(Liste_Materiel_Combinee!$E:$E,(_xlfn.AGGREGATE(15,6,(ROW(Liste_Materiel_Combinee!$G$2:$G$426)-1)/(Liste_Materiel_Combinee!$G$2:$G$426=1),282)+1)),""))</f>
        <v/>
      </c>
      <c r="E284" s="105">
        <f t="shared" si="4"/>
        <v>0</v>
      </c>
      <c r="F284" s="104" t="str">
        <f>IFERROR(INDEX(Catalogue!$K:$K,MATCH(A284,Catalogue!$A:$A,0)),"")</f>
        <v/>
      </c>
      <c r="G284" s="102"/>
      <c r="H284" s="7"/>
      <c r="I284" s="7"/>
    </row>
    <row r="285" spans="1:9" x14ac:dyDescent="0.25">
      <c r="A285" s="103" t="str">
        <f>IFERROR(INDEX(Liste_Materiel_Combinee!$B:$B,(_xlfn.AGGREGATE(15,6,(ROW(Liste_Materiel_Combinee!$G$2:$G$426)-1)/(Liste_Materiel_Combinee!$G$2:$G$426=1),283)+1)),"")</f>
        <v/>
      </c>
      <c r="B285" s="104" t="str">
        <f>IFERROR(INDEX(Liste_Materiel_Combinee!$C:$C,(_xlfn.AGGREGATE(15,6,(ROW(Liste_Materiel_Combinee!$G$2:$G$426)-1)/(Liste_Materiel_Combinee!$G$2:$G$426=1),283)+1)),"")</f>
        <v/>
      </c>
      <c r="C285" s="104" t="str">
        <f>IF(IFERROR(INDEX(Liste_Materiel_Combinee!$F:$F,(_xlfn.AGGREGATE(15,6,(ROW(Liste_Materiel_Combinee!$G$2:$G$426)-1)/(Liste_Materiel_Combinee!$G$2:$G$426=1),283)+1)),"")="","",ROUNDUP(IFERROR(INDEX(Liste_Materiel_Combinee!$F:$F,(_xlfn.AGGREGATE(15,6,(ROW(Liste_Materiel_Combinee!$G$2:$G$426)-1)/(Liste_Materiel_Combinee!$G$2:$G$426=1),283)+1)),""),0))</f>
        <v/>
      </c>
      <c r="D285" s="104" t="str">
        <f>IF($H$5="EFFACER","",IFERROR(INDEX(Liste_Materiel_Combinee!$E:$E,(_xlfn.AGGREGATE(15,6,(ROW(Liste_Materiel_Combinee!$G$2:$G$426)-1)/(Liste_Materiel_Combinee!$G$2:$G$426=1),283)+1)),""))</f>
        <v/>
      </c>
      <c r="E285" s="105">
        <f t="shared" si="4"/>
        <v>0</v>
      </c>
      <c r="F285" s="104" t="str">
        <f>IFERROR(INDEX(Catalogue!$K:$K,MATCH(A285,Catalogue!$A:$A,0)),"")</f>
        <v/>
      </c>
      <c r="G285" s="102"/>
      <c r="H285" s="7"/>
      <c r="I285" s="7"/>
    </row>
    <row r="286" spans="1:9" x14ac:dyDescent="0.25">
      <c r="A286" s="103" t="str">
        <f>IFERROR(INDEX(Liste_Materiel_Combinee!$B:$B,(_xlfn.AGGREGATE(15,6,(ROW(Liste_Materiel_Combinee!$G$2:$G$426)-1)/(Liste_Materiel_Combinee!$G$2:$G$426=1),284)+1)),"")</f>
        <v/>
      </c>
      <c r="B286" s="104" t="str">
        <f>IFERROR(INDEX(Liste_Materiel_Combinee!$C:$C,(_xlfn.AGGREGATE(15,6,(ROW(Liste_Materiel_Combinee!$G$2:$G$426)-1)/(Liste_Materiel_Combinee!$G$2:$G$426=1),284)+1)),"")</f>
        <v/>
      </c>
      <c r="C286" s="104" t="str">
        <f>IF(IFERROR(INDEX(Liste_Materiel_Combinee!$F:$F,(_xlfn.AGGREGATE(15,6,(ROW(Liste_Materiel_Combinee!$G$2:$G$426)-1)/(Liste_Materiel_Combinee!$G$2:$G$426=1),284)+1)),"")="","",ROUNDUP(IFERROR(INDEX(Liste_Materiel_Combinee!$F:$F,(_xlfn.AGGREGATE(15,6,(ROW(Liste_Materiel_Combinee!$G$2:$G$426)-1)/(Liste_Materiel_Combinee!$G$2:$G$426=1),284)+1)),""),0))</f>
        <v/>
      </c>
      <c r="D286" s="104" t="str">
        <f>IF($H$5="EFFACER","",IFERROR(INDEX(Liste_Materiel_Combinee!$E:$E,(_xlfn.AGGREGATE(15,6,(ROW(Liste_Materiel_Combinee!$G$2:$G$426)-1)/(Liste_Materiel_Combinee!$G$2:$G$426=1),284)+1)),""))</f>
        <v/>
      </c>
      <c r="E286" s="105">
        <f t="shared" si="4"/>
        <v>0</v>
      </c>
      <c r="F286" s="104" t="str">
        <f>IFERROR(INDEX(Catalogue!$K:$K,MATCH(A286,Catalogue!$A:$A,0)),"")</f>
        <v/>
      </c>
      <c r="G286" s="102"/>
      <c r="H286" s="7"/>
      <c r="I286" s="7"/>
    </row>
    <row r="287" spans="1:9" x14ac:dyDescent="0.25">
      <c r="A287" s="103" t="str">
        <f>IFERROR(INDEX(Liste_Materiel_Combinee!$B:$B,(_xlfn.AGGREGATE(15,6,(ROW(Liste_Materiel_Combinee!$G$2:$G$426)-1)/(Liste_Materiel_Combinee!$G$2:$G$426=1),285)+1)),"")</f>
        <v/>
      </c>
      <c r="B287" s="104" t="str">
        <f>IFERROR(INDEX(Liste_Materiel_Combinee!$C:$C,(_xlfn.AGGREGATE(15,6,(ROW(Liste_Materiel_Combinee!$G$2:$G$426)-1)/(Liste_Materiel_Combinee!$G$2:$G$426=1),285)+1)),"")</f>
        <v/>
      </c>
      <c r="C287" s="104" t="str">
        <f>IF(IFERROR(INDEX(Liste_Materiel_Combinee!$F:$F,(_xlfn.AGGREGATE(15,6,(ROW(Liste_Materiel_Combinee!$G$2:$G$426)-1)/(Liste_Materiel_Combinee!$G$2:$G$426=1),285)+1)),"")="","",ROUNDUP(IFERROR(INDEX(Liste_Materiel_Combinee!$F:$F,(_xlfn.AGGREGATE(15,6,(ROW(Liste_Materiel_Combinee!$G$2:$G$426)-1)/(Liste_Materiel_Combinee!$G$2:$G$426=1),285)+1)),""),0))</f>
        <v/>
      </c>
      <c r="D287" s="104" t="str">
        <f>IF($H$5="EFFACER","",IFERROR(INDEX(Liste_Materiel_Combinee!$E:$E,(_xlfn.AGGREGATE(15,6,(ROW(Liste_Materiel_Combinee!$G$2:$G$426)-1)/(Liste_Materiel_Combinee!$G$2:$G$426=1),285)+1)),""))</f>
        <v/>
      </c>
      <c r="E287" s="105">
        <f t="shared" si="4"/>
        <v>0</v>
      </c>
      <c r="F287" s="104" t="str">
        <f>IFERROR(INDEX(Catalogue!$K:$K,MATCH(A287,Catalogue!$A:$A,0)),"")</f>
        <v/>
      </c>
      <c r="G287" s="102"/>
      <c r="H287" s="7"/>
      <c r="I287" s="7"/>
    </row>
    <row r="288" spans="1:9" x14ac:dyDescent="0.25">
      <c r="A288" s="103" t="str">
        <f>IFERROR(INDEX(Liste_Materiel_Combinee!$B:$B,(_xlfn.AGGREGATE(15,6,(ROW(Liste_Materiel_Combinee!$G$2:$G$426)-1)/(Liste_Materiel_Combinee!$G$2:$G$426=1),286)+1)),"")</f>
        <v/>
      </c>
      <c r="B288" s="104" t="str">
        <f>IFERROR(INDEX(Liste_Materiel_Combinee!$C:$C,(_xlfn.AGGREGATE(15,6,(ROW(Liste_Materiel_Combinee!$G$2:$G$426)-1)/(Liste_Materiel_Combinee!$G$2:$G$426=1),286)+1)),"")</f>
        <v/>
      </c>
      <c r="C288" s="104" t="str">
        <f>IF(IFERROR(INDEX(Liste_Materiel_Combinee!$F:$F,(_xlfn.AGGREGATE(15,6,(ROW(Liste_Materiel_Combinee!$G$2:$G$426)-1)/(Liste_Materiel_Combinee!$G$2:$G$426=1),286)+1)),"")="","",ROUNDUP(IFERROR(INDEX(Liste_Materiel_Combinee!$F:$F,(_xlfn.AGGREGATE(15,6,(ROW(Liste_Materiel_Combinee!$G$2:$G$426)-1)/(Liste_Materiel_Combinee!$G$2:$G$426=1),286)+1)),""),0))</f>
        <v/>
      </c>
      <c r="D288" s="104" t="str">
        <f>IF($H$5="EFFACER","",IFERROR(INDEX(Liste_Materiel_Combinee!$E:$E,(_xlfn.AGGREGATE(15,6,(ROW(Liste_Materiel_Combinee!$G$2:$G$426)-1)/(Liste_Materiel_Combinee!$G$2:$G$426=1),286)+1)),""))</f>
        <v/>
      </c>
      <c r="E288" s="105">
        <f t="shared" si="4"/>
        <v>0</v>
      </c>
      <c r="F288" s="104" t="str">
        <f>IFERROR(INDEX(Catalogue!$K:$K,MATCH(A288,Catalogue!$A:$A,0)),"")</f>
        <v/>
      </c>
      <c r="G288" s="102"/>
      <c r="H288" s="7"/>
      <c r="I288" s="7"/>
    </row>
    <row r="289" spans="1:9" x14ac:dyDescent="0.25">
      <c r="A289" s="103" t="str">
        <f>IFERROR(INDEX(Liste_Materiel_Combinee!$B:$B,(_xlfn.AGGREGATE(15,6,(ROW(Liste_Materiel_Combinee!$G$2:$G$426)-1)/(Liste_Materiel_Combinee!$G$2:$G$426=1),287)+1)),"")</f>
        <v/>
      </c>
      <c r="B289" s="104" t="str">
        <f>IFERROR(INDEX(Liste_Materiel_Combinee!$C:$C,(_xlfn.AGGREGATE(15,6,(ROW(Liste_Materiel_Combinee!$G$2:$G$426)-1)/(Liste_Materiel_Combinee!$G$2:$G$426=1),287)+1)),"")</f>
        <v/>
      </c>
      <c r="C289" s="104" t="str">
        <f>IF(IFERROR(INDEX(Liste_Materiel_Combinee!$F:$F,(_xlfn.AGGREGATE(15,6,(ROW(Liste_Materiel_Combinee!$G$2:$G$426)-1)/(Liste_Materiel_Combinee!$G$2:$G$426=1),287)+1)),"")="","",ROUNDUP(IFERROR(INDEX(Liste_Materiel_Combinee!$F:$F,(_xlfn.AGGREGATE(15,6,(ROW(Liste_Materiel_Combinee!$G$2:$G$426)-1)/(Liste_Materiel_Combinee!$G$2:$G$426=1),287)+1)),""),0))</f>
        <v/>
      </c>
      <c r="D289" s="104" t="str">
        <f>IF($H$5="EFFACER","",IFERROR(INDEX(Liste_Materiel_Combinee!$E:$E,(_xlfn.AGGREGATE(15,6,(ROW(Liste_Materiel_Combinee!$G$2:$G$426)-1)/(Liste_Materiel_Combinee!$G$2:$G$426=1),287)+1)),""))</f>
        <v/>
      </c>
      <c r="E289" s="105">
        <f t="shared" si="4"/>
        <v>0</v>
      </c>
      <c r="F289" s="104" t="str">
        <f>IFERROR(INDEX(Catalogue!$K:$K,MATCH(A289,Catalogue!$A:$A,0)),"")</f>
        <v/>
      </c>
      <c r="G289" s="102"/>
      <c r="H289" s="7"/>
      <c r="I289" s="7"/>
    </row>
    <row r="290" spans="1:9" x14ac:dyDescent="0.25">
      <c r="A290" s="103" t="str">
        <f>IFERROR(INDEX(Liste_Materiel_Combinee!$B:$B,(_xlfn.AGGREGATE(15,6,(ROW(Liste_Materiel_Combinee!$G$2:$G$426)-1)/(Liste_Materiel_Combinee!$G$2:$G$426=1),288)+1)),"")</f>
        <v/>
      </c>
      <c r="B290" s="104" t="str">
        <f>IFERROR(INDEX(Liste_Materiel_Combinee!$C:$C,(_xlfn.AGGREGATE(15,6,(ROW(Liste_Materiel_Combinee!$G$2:$G$426)-1)/(Liste_Materiel_Combinee!$G$2:$G$426=1),288)+1)),"")</f>
        <v/>
      </c>
      <c r="C290" s="104" t="str">
        <f>IF(IFERROR(INDEX(Liste_Materiel_Combinee!$F:$F,(_xlfn.AGGREGATE(15,6,(ROW(Liste_Materiel_Combinee!$G$2:$G$426)-1)/(Liste_Materiel_Combinee!$G$2:$G$426=1),288)+1)),"")="","",ROUNDUP(IFERROR(INDEX(Liste_Materiel_Combinee!$F:$F,(_xlfn.AGGREGATE(15,6,(ROW(Liste_Materiel_Combinee!$G$2:$G$426)-1)/(Liste_Materiel_Combinee!$G$2:$G$426=1),288)+1)),""),0))</f>
        <v/>
      </c>
      <c r="D290" s="104" t="str">
        <f>IF($H$5="EFFACER","",IFERROR(INDEX(Liste_Materiel_Combinee!$E:$E,(_xlfn.AGGREGATE(15,6,(ROW(Liste_Materiel_Combinee!$G$2:$G$426)-1)/(Liste_Materiel_Combinee!$G$2:$G$426=1),288)+1)),""))</f>
        <v/>
      </c>
      <c r="E290" s="105">
        <f t="shared" si="4"/>
        <v>0</v>
      </c>
      <c r="F290" s="104" t="str">
        <f>IFERROR(INDEX(Catalogue!$K:$K,MATCH(A290,Catalogue!$A:$A,0)),"")</f>
        <v/>
      </c>
      <c r="G290" s="102"/>
      <c r="H290" s="7"/>
      <c r="I290" s="7"/>
    </row>
    <row r="291" spans="1:9" x14ac:dyDescent="0.25">
      <c r="A291" s="103" t="str">
        <f>IFERROR(INDEX(Liste_Materiel_Combinee!$B:$B,(_xlfn.AGGREGATE(15,6,(ROW(Liste_Materiel_Combinee!$G$2:$G$426)-1)/(Liste_Materiel_Combinee!$G$2:$G$426=1),289)+1)),"")</f>
        <v/>
      </c>
      <c r="B291" s="104" t="str">
        <f>IFERROR(INDEX(Liste_Materiel_Combinee!$C:$C,(_xlfn.AGGREGATE(15,6,(ROW(Liste_Materiel_Combinee!$G$2:$G$426)-1)/(Liste_Materiel_Combinee!$G$2:$G$426=1),289)+1)),"")</f>
        <v/>
      </c>
      <c r="C291" s="104" t="str">
        <f>IF(IFERROR(INDEX(Liste_Materiel_Combinee!$F:$F,(_xlfn.AGGREGATE(15,6,(ROW(Liste_Materiel_Combinee!$G$2:$G$426)-1)/(Liste_Materiel_Combinee!$G$2:$G$426=1),289)+1)),"")="","",ROUNDUP(IFERROR(INDEX(Liste_Materiel_Combinee!$F:$F,(_xlfn.AGGREGATE(15,6,(ROW(Liste_Materiel_Combinee!$G$2:$G$426)-1)/(Liste_Materiel_Combinee!$G$2:$G$426=1),289)+1)),""),0))</f>
        <v/>
      </c>
      <c r="D291" s="104" t="str">
        <f>IF($H$5="EFFACER","",IFERROR(INDEX(Liste_Materiel_Combinee!$E:$E,(_xlfn.AGGREGATE(15,6,(ROW(Liste_Materiel_Combinee!$G$2:$G$426)-1)/(Liste_Materiel_Combinee!$G$2:$G$426=1),289)+1)),""))</f>
        <v/>
      </c>
      <c r="E291" s="105">
        <f t="shared" si="4"/>
        <v>0</v>
      </c>
      <c r="F291" s="104" t="str">
        <f>IFERROR(INDEX(Catalogue!$K:$K,MATCH(A291,Catalogue!$A:$A,0)),"")</f>
        <v/>
      </c>
      <c r="G291" s="102"/>
      <c r="H291" s="7"/>
      <c r="I291" s="7"/>
    </row>
    <row r="292" spans="1:9" x14ac:dyDescent="0.25">
      <c r="A292" s="103" t="str">
        <f>IFERROR(INDEX(Liste_Materiel_Combinee!$B:$B,(_xlfn.AGGREGATE(15,6,(ROW(Liste_Materiel_Combinee!$G$2:$G$426)-1)/(Liste_Materiel_Combinee!$G$2:$G$426=1),290)+1)),"")</f>
        <v/>
      </c>
      <c r="B292" s="104" t="str">
        <f>IFERROR(INDEX(Liste_Materiel_Combinee!$C:$C,(_xlfn.AGGREGATE(15,6,(ROW(Liste_Materiel_Combinee!$G$2:$G$426)-1)/(Liste_Materiel_Combinee!$G$2:$G$426=1),290)+1)),"")</f>
        <v/>
      </c>
      <c r="C292" s="104" t="str">
        <f>IF(IFERROR(INDEX(Liste_Materiel_Combinee!$F:$F,(_xlfn.AGGREGATE(15,6,(ROW(Liste_Materiel_Combinee!$G$2:$G$426)-1)/(Liste_Materiel_Combinee!$G$2:$G$426=1),290)+1)),"")="","",ROUNDUP(IFERROR(INDEX(Liste_Materiel_Combinee!$F:$F,(_xlfn.AGGREGATE(15,6,(ROW(Liste_Materiel_Combinee!$G$2:$G$426)-1)/(Liste_Materiel_Combinee!$G$2:$G$426=1),290)+1)),""),0))</f>
        <v/>
      </c>
      <c r="D292" s="104" t="str">
        <f>IF($H$5="EFFACER","",IFERROR(INDEX(Liste_Materiel_Combinee!$E:$E,(_xlfn.AGGREGATE(15,6,(ROW(Liste_Materiel_Combinee!$G$2:$G$426)-1)/(Liste_Materiel_Combinee!$G$2:$G$426=1),290)+1)),""))</f>
        <v/>
      </c>
      <c r="E292" s="105">
        <f t="shared" si="4"/>
        <v>0</v>
      </c>
      <c r="F292" s="104" t="str">
        <f>IFERROR(INDEX(Catalogue!$K:$K,MATCH(A292,Catalogue!$A:$A,0)),"")</f>
        <v/>
      </c>
      <c r="G292" s="102"/>
      <c r="H292" s="7"/>
      <c r="I292" s="7"/>
    </row>
    <row r="293" spans="1:9" x14ac:dyDescent="0.25">
      <c r="A293" s="103" t="str">
        <f>IFERROR(INDEX(Liste_Materiel_Combinee!$B:$B,(_xlfn.AGGREGATE(15,6,(ROW(Liste_Materiel_Combinee!$G$2:$G$426)-1)/(Liste_Materiel_Combinee!$G$2:$G$426=1),291)+1)),"")</f>
        <v/>
      </c>
      <c r="B293" s="104" t="str">
        <f>IFERROR(INDEX(Liste_Materiel_Combinee!$C:$C,(_xlfn.AGGREGATE(15,6,(ROW(Liste_Materiel_Combinee!$G$2:$G$426)-1)/(Liste_Materiel_Combinee!$G$2:$G$426=1),291)+1)),"")</f>
        <v/>
      </c>
      <c r="C293" s="104" t="str">
        <f>IF(IFERROR(INDEX(Liste_Materiel_Combinee!$F:$F,(_xlfn.AGGREGATE(15,6,(ROW(Liste_Materiel_Combinee!$G$2:$G$426)-1)/(Liste_Materiel_Combinee!$G$2:$G$426=1),291)+1)),"")="","",ROUNDUP(IFERROR(INDEX(Liste_Materiel_Combinee!$F:$F,(_xlfn.AGGREGATE(15,6,(ROW(Liste_Materiel_Combinee!$G$2:$G$426)-1)/(Liste_Materiel_Combinee!$G$2:$G$426=1),291)+1)),""),0))</f>
        <v/>
      </c>
      <c r="D293" s="104" t="str">
        <f>IF($H$5="EFFACER","",IFERROR(INDEX(Liste_Materiel_Combinee!$E:$E,(_xlfn.AGGREGATE(15,6,(ROW(Liste_Materiel_Combinee!$G$2:$G$426)-1)/(Liste_Materiel_Combinee!$G$2:$G$426=1),291)+1)),""))</f>
        <v/>
      </c>
      <c r="E293" s="105">
        <f t="shared" si="4"/>
        <v>0</v>
      </c>
      <c r="F293" s="104" t="str">
        <f>IFERROR(INDEX(Catalogue!$K:$K,MATCH(A293,Catalogue!$A:$A,0)),"")</f>
        <v/>
      </c>
      <c r="G293" s="102"/>
      <c r="H293" s="7"/>
      <c r="I293" s="7"/>
    </row>
    <row r="294" spans="1:9" x14ac:dyDescent="0.25">
      <c r="A294" s="103" t="str">
        <f>IFERROR(INDEX(Liste_Materiel_Combinee!$B:$B,(_xlfn.AGGREGATE(15,6,(ROW(Liste_Materiel_Combinee!$G$2:$G$426)-1)/(Liste_Materiel_Combinee!$G$2:$G$426=1),292)+1)),"")</f>
        <v/>
      </c>
      <c r="B294" s="104" t="str">
        <f>IFERROR(INDEX(Liste_Materiel_Combinee!$C:$C,(_xlfn.AGGREGATE(15,6,(ROW(Liste_Materiel_Combinee!$G$2:$G$426)-1)/(Liste_Materiel_Combinee!$G$2:$G$426=1),292)+1)),"")</f>
        <v/>
      </c>
      <c r="C294" s="104" t="str">
        <f>IF(IFERROR(INDEX(Liste_Materiel_Combinee!$F:$F,(_xlfn.AGGREGATE(15,6,(ROW(Liste_Materiel_Combinee!$G$2:$G$426)-1)/(Liste_Materiel_Combinee!$G$2:$G$426=1),292)+1)),"")="","",ROUNDUP(IFERROR(INDEX(Liste_Materiel_Combinee!$F:$F,(_xlfn.AGGREGATE(15,6,(ROW(Liste_Materiel_Combinee!$G$2:$G$426)-1)/(Liste_Materiel_Combinee!$G$2:$G$426=1),292)+1)),""),0))</f>
        <v/>
      </c>
      <c r="D294" s="104" t="str">
        <f>IF($H$5="EFFACER","",IFERROR(INDEX(Liste_Materiel_Combinee!$E:$E,(_xlfn.AGGREGATE(15,6,(ROW(Liste_Materiel_Combinee!$G$2:$G$426)-1)/(Liste_Materiel_Combinee!$G$2:$G$426=1),292)+1)),""))</f>
        <v/>
      </c>
      <c r="E294" s="105">
        <f t="shared" si="4"/>
        <v>0</v>
      </c>
      <c r="F294" s="104" t="str">
        <f>IFERROR(INDEX(Catalogue!$K:$K,MATCH(A294,Catalogue!$A:$A,0)),"")</f>
        <v/>
      </c>
      <c r="G294" s="102"/>
      <c r="H294" s="7"/>
      <c r="I294" s="7"/>
    </row>
    <row r="295" spans="1:9" x14ac:dyDescent="0.25">
      <c r="A295" s="103" t="str">
        <f>IFERROR(INDEX(Liste_Materiel_Combinee!$B:$B,(_xlfn.AGGREGATE(15,6,(ROW(Liste_Materiel_Combinee!$G$2:$G$426)-1)/(Liste_Materiel_Combinee!$G$2:$G$426=1),293)+1)),"")</f>
        <v/>
      </c>
      <c r="B295" s="104" t="str">
        <f>IFERROR(INDEX(Liste_Materiel_Combinee!$C:$C,(_xlfn.AGGREGATE(15,6,(ROW(Liste_Materiel_Combinee!$G$2:$G$426)-1)/(Liste_Materiel_Combinee!$G$2:$G$426=1),293)+1)),"")</f>
        <v/>
      </c>
      <c r="C295" s="104" t="str">
        <f>IF(IFERROR(INDEX(Liste_Materiel_Combinee!$F:$F,(_xlfn.AGGREGATE(15,6,(ROW(Liste_Materiel_Combinee!$G$2:$G$426)-1)/(Liste_Materiel_Combinee!$G$2:$G$426=1),293)+1)),"")="","",ROUNDUP(IFERROR(INDEX(Liste_Materiel_Combinee!$F:$F,(_xlfn.AGGREGATE(15,6,(ROW(Liste_Materiel_Combinee!$G$2:$G$426)-1)/(Liste_Materiel_Combinee!$G$2:$G$426=1),293)+1)),""),0))</f>
        <v/>
      </c>
      <c r="D295" s="104" t="str">
        <f>IF($H$5="EFFACER","",IFERROR(INDEX(Liste_Materiel_Combinee!$E:$E,(_xlfn.AGGREGATE(15,6,(ROW(Liste_Materiel_Combinee!$G$2:$G$426)-1)/(Liste_Materiel_Combinee!$G$2:$G$426=1),293)+1)),""))</f>
        <v/>
      </c>
      <c r="E295" s="105">
        <f t="shared" si="4"/>
        <v>0</v>
      </c>
      <c r="F295" s="104" t="str">
        <f>IFERROR(INDEX(Catalogue!$K:$K,MATCH(A295,Catalogue!$A:$A,0)),"")</f>
        <v/>
      </c>
      <c r="G295" s="102"/>
      <c r="H295" s="7"/>
      <c r="I295" s="7"/>
    </row>
    <row r="296" spans="1:9" x14ac:dyDescent="0.25">
      <c r="A296" s="103" t="str">
        <f>IFERROR(INDEX(Liste_Materiel_Combinee!$B:$B,(_xlfn.AGGREGATE(15,6,(ROW(Liste_Materiel_Combinee!$G$2:$G$426)-1)/(Liste_Materiel_Combinee!$G$2:$G$426=1),294)+1)),"")</f>
        <v/>
      </c>
      <c r="B296" s="104" t="str">
        <f>IFERROR(INDEX(Liste_Materiel_Combinee!$C:$C,(_xlfn.AGGREGATE(15,6,(ROW(Liste_Materiel_Combinee!$G$2:$G$426)-1)/(Liste_Materiel_Combinee!$G$2:$G$426=1),294)+1)),"")</f>
        <v/>
      </c>
      <c r="C296" s="104" t="str">
        <f>IF(IFERROR(INDEX(Liste_Materiel_Combinee!$F:$F,(_xlfn.AGGREGATE(15,6,(ROW(Liste_Materiel_Combinee!$G$2:$G$426)-1)/(Liste_Materiel_Combinee!$G$2:$G$426=1),294)+1)),"")="","",ROUNDUP(IFERROR(INDEX(Liste_Materiel_Combinee!$F:$F,(_xlfn.AGGREGATE(15,6,(ROW(Liste_Materiel_Combinee!$G$2:$G$426)-1)/(Liste_Materiel_Combinee!$G$2:$G$426=1),294)+1)),""),0))</f>
        <v/>
      </c>
      <c r="D296" s="104" t="str">
        <f>IF($H$5="EFFACER","",IFERROR(INDEX(Liste_Materiel_Combinee!$E:$E,(_xlfn.AGGREGATE(15,6,(ROW(Liste_Materiel_Combinee!$G$2:$G$426)-1)/(Liste_Materiel_Combinee!$G$2:$G$426=1),294)+1)),""))</f>
        <v/>
      </c>
      <c r="E296" s="105">
        <f t="shared" si="4"/>
        <v>0</v>
      </c>
      <c r="F296" s="104" t="str">
        <f>IFERROR(INDEX(Catalogue!$K:$K,MATCH(A296,Catalogue!$A:$A,0)),"")</f>
        <v/>
      </c>
      <c r="G296" s="102"/>
      <c r="H296" s="7"/>
      <c r="I296" s="7"/>
    </row>
    <row r="297" spans="1:9" x14ac:dyDescent="0.25">
      <c r="A297" s="103" t="str">
        <f>IFERROR(INDEX(Liste_Materiel_Combinee!$B:$B,(_xlfn.AGGREGATE(15,6,(ROW(Liste_Materiel_Combinee!$G$2:$G$426)-1)/(Liste_Materiel_Combinee!$G$2:$G$426=1),295)+1)),"")</f>
        <v/>
      </c>
      <c r="B297" s="104" t="str">
        <f>IFERROR(INDEX(Liste_Materiel_Combinee!$C:$C,(_xlfn.AGGREGATE(15,6,(ROW(Liste_Materiel_Combinee!$G$2:$G$426)-1)/(Liste_Materiel_Combinee!$G$2:$G$426=1),295)+1)),"")</f>
        <v/>
      </c>
      <c r="C297" s="104" t="str">
        <f>IF(IFERROR(INDEX(Liste_Materiel_Combinee!$F:$F,(_xlfn.AGGREGATE(15,6,(ROW(Liste_Materiel_Combinee!$G$2:$G$426)-1)/(Liste_Materiel_Combinee!$G$2:$G$426=1),295)+1)),"")="","",ROUNDUP(IFERROR(INDEX(Liste_Materiel_Combinee!$F:$F,(_xlfn.AGGREGATE(15,6,(ROW(Liste_Materiel_Combinee!$G$2:$G$426)-1)/(Liste_Materiel_Combinee!$G$2:$G$426=1),295)+1)),""),0))</f>
        <v/>
      </c>
      <c r="D297" s="104" t="str">
        <f>IF($H$5="EFFACER","",IFERROR(INDEX(Liste_Materiel_Combinee!$E:$E,(_xlfn.AGGREGATE(15,6,(ROW(Liste_Materiel_Combinee!$G$2:$G$426)-1)/(Liste_Materiel_Combinee!$G$2:$G$426=1),295)+1)),""))</f>
        <v/>
      </c>
      <c r="E297" s="105">
        <f t="shared" si="4"/>
        <v>0</v>
      </c>
      <c r="F297" s="104" t="str">
        <f>IFERROR(INDEX(Catalogue!$K:$K,MATCH(A297,Catalogue!$A:$A,0)),"")</f>
        <v/>
      </c>
      <c r="G297" s="102"/>
      <c r="H297" s="7"/>
      <c r="I297" s="7"/>
    </row>
    <row r="298" spans="1:9" x14ac:dyDescent="0.25">
      <c r="A298" s="103" t="str">
        <f>IFERROR(INDEX(Liste_Materiel_Combinee!$B:$B,(_xlfn.AGGREGATE(15,6,(ROW(Liste_Materiel_Combinee!$G$2:$G$426)-1)/(Liste_Materiel_Combinee!$G$2:$G$426=1),296)+1)),"")</f>
        <v/>
      </c>
      <c r="B298" s="104" t="str">
        <f>IFERROR(INDEX(Liste_Materiel_Combinee!$C:$C,(_xlfn.AGGREGATE(15,6,(ROW(Liste_Materiel_Combinee!$G$2:$G$426)-1)/(Liste_Materiel_Combinee!$G$2:$G$426=1),296)+1)),"")</f>
        <v/>
      </c>
      <c r="C298" s="104" t="str">
        <f>IF(IFERROR(INDEX(Liste_Materiel_Combinee!$F:$F,(_xlfn.AGGREGATE(15,6,(ROW(Liste_Materiel_Combinee!$G$2:$G$426)-1)/(Liste_Materiel_Combinee!$G$2:$G$426=1),296)+1)),"")="","",ROUNDUP(IFERROR(INDEX(Liste_Materiel_Combinee!$F:$F,(_xlfn.AGGREGATE(15,6,(ROW(Liste_Materiel_Combinee!$G$2:$G$426)-1)/(Liste_Materiel_Combinee!$G$2:$G$426=1),296)+1)),""),0))</f>
        <v/>
      </c>
      <c r="D298" s="104" t="str">
        <f>IF($H$5="EFFACER","",IFERROR(INDEX(Liste_Materiel_Combinee!$E:$E,(_xlfn.AGGREGATE(15,6,(ROW(Liste_Materiel_Combinee!$G$2:$G$426)-1)/(Liste_Materiel_Combinee!$G$2:$G$426=1),296)+1)),""))</f>
        <v/>
      </c>
      <c r="E298" s="105">
        <f t="shared" si="4"/>
        <v>0</v>
      </c>
      <c r="F298" s="104" t="str">
        <f>IFERROR(INDEX(Catalogue!$K:$K,MATCH(A298,Catalogue!$A:$A,0)),"")</f>
        <v/>
      </c>
      <c r="G298" s="102"/>
      <c r="H298" s="7"/>
      <c r="I298" s="7"/>
    </row>
    <row r="299" spans="1:9" x14ac:dyDescent="0.25">
      <c r="A299" s="103" t="str">
        <f>IFERROR(INDEX(Liste_Materiel_Combinee!$B:$B,(_xlfn.AGGREGATE(15,6,(ROW(Liste_Materiel_Combinee!$G$2:$G$426)-1)/(Liste_Materiel_Combinee!$G$2:$G$426=1),297)+1)),"")</f>
        <v/>
      </c>
      <c r="B299" s="104" t="str">
        <f>IFERROR(INDEX(Liste_Materiel_Combinee!$C:$C,(_xlfn.AGGREGATE(15,6,(ROW(Liste_Materiel_Combinee!$G$2:$G$426)-1)/(Liste_Materiel_Combinee!$G$2:$G$426=1),297)+1)),"")</f>
        <v/>
      </c>
      <c r="C299" s="104" t="str">
        <f>IF(IFERROR(INDEX(Liste_Materiel_Combinee!$F:$F,(_xlfn.AGGREGATE(15,6,(ROW(Liste_Materiel_Combinee!$G$2:$G$426)-1)/(Liste_Materiel_Combinee!$G$2:$G$426=1),297)+1)),"")="","",ROUNDUP(IFERROR(INDEX(Liste_Materiel_Combinee!$F:$F,(_xlfn.AGGREGATE(15,6,(ROW(Liste_Materiel_Combinee!$G$2:$G$426)-1)/(Liste_Materiel_Combinee!$G$2:$G$426=1),297)+1)),""),0))</f>
        <v/>
      </c>
      <c r="D299" s="104" t="str">
        <f>IF($H$5="EFFACER","",IFERROR(INDEX(Liste_Materiel_Combinee!$E:$E,(_xlfn.AGGREGATE(15,6,(ROW(Liste_Materiel_Combinee!$G$2:$G$426)-1)/(Liste_Materiel_Combinee!$G$2:$G$426=1),297)+1)),""))</f>
        <v/>
      </c>
      <c r="E299" s="105">
        <f t="shared" si="4"/>
        <v>0</v>
      </c>
      <c r="F299" s="104" t="str">
        <f>IFERROR(INDEX(Catalogue!$K:$K,MATCH(A299,Catalogue!$A:$A,0)),"")</f>
        <v/>
      </c>
      <c r="G299" s="102"/>
      <c r="H299" s="7"/>
      <c r="I299" s="7"/>
    </row>
    <row r="300" spans="1:9" x14ac:dyDescent="0.25">
      <c r="A300" s="103" t="str">
        <f>IFERROR(INDEX(Liste_Materiel_Combinee!$B:$B,(_xlfn.AGGREGATE(15,6,(ROW(Liste_Materiel_Combinee!$G$2:$G$426)-1)/(Liste_Materiel_Combinee!$G$2:$G$426=1),298)+1)),"")</f>
        <v/>
      </c>
      <c r="B300" s="104" t="str">
        <f>IFERROR(INDEX(Liste_Materiel_Combinee!$C:$C,(_xlfn.AGGREGATE(15,6,(ROW(Liste_Materiel_Combinee!$G$2:$G$426)-1)/(Liste_Materiel_Combinee!$G$2:$G$426=1),298)+1)),"")</f>
        <v/>
      </c>
      <c r="C300" s="104" t="str">
        <f>IF(IFERROR(INDEX(Liste_Materiel_Combinee!$F:$F,(_xlfn.AGGREGATE(15,6,(ROW(Liste_Materiel_Combinee!$G$2:$G$426)-1)/(Liste_Materiel_Combinee!$G$2:$G$426=1),298)+1)),"")="","",ROUNDUP(IFERROR(INDEX(Liste_Materiel_Combinee!$F:$F,(_xlfn.AGGREGATE(15,6,(ROW(Liste_Materiel_Combinee!$G$2:$G$426)-1)/(Liste_Materiel_Combinee!$G$2:$G$426=1),298)+1)),""),0))</f>
        <v/>
      </c>
      <c r="D300" s="104" t="str">
        <f>IF($H$5="EFFACER","",IFERROR(INDEX(Liste_Materiel_Combinee!$E:$E,(_xlfn.AGGREGATE(15,6,(ROW(Liste_Materiel_Combinee!$G$2:$G$426)-1)/(Liste_Materiel_Combinee!$G$2:$G$426=1),298)+1)),""))</f>
        <v/>
      </c>
      <c r="E300" s="105">
        <f t="shared" si="4"/>
        <v>0</v>
      </c>
      <c r="F300" s="104" t="str">
        <f>IFERROR(INDEX(Catalogue!$K:$K,MATCH(A300,Catalogue!$A:$A,0)),"")</f>
        <v/>
      </c>
      <c r="G300" s="102"/>
      <c r="H300" s="7"/>
      <c r="I300" s="7"/>
    </row>
    <row r="301" spans="1:9" x14ac:dyDescent="0.25">
      <c r="A301" s="103" t="str">
        <f>IFERROR(INDEX(Liste_Materiel_Combinee!$B:$B,(_xlfn.AGGREGATE(15,6,(ROW(Liste_Materiel_Combinee!$G$2:$G$426)-1)/(Liste_Materiel_Combinee!$G$2:$G$426=1),299)+1)),"")</f>
        <v/>
      </c>
      <c r="B301" s="104" t="str">
        <f>IFERROR(INDEX(Liste_Materiel_Combinee!$C:$C,(_xlfn.AGGREGATE(15,6,(ROW(Liste_Materiel_Combinee!$G$2:$G$426)-1)/(Liste_Materiel_Combinee!$G$2:$G$426=1),299)+1)),"")</f>
        <v/>
      </c>
      <c r="C301" s="104" t="str">
        <f>IF(IFERROR(INDEX(Liste_Materiel_Combinee!$F:$F,(_xlfn.AGGREGATE(15,6,(ROW(Liste_Materiel_Combinee!$G$2:$G$426)-1)/(Liste_Materiel_Combinee!$G$2:$G$426=1),299)+1)),"")="","",ROUNDUP(IFERROR(INDEX(Liste_Materiel_Combinee!$F:$F,(_xlfn.AGGREGATE(15,6,(ROW(Liste_Materiel_Combinee!$G$2:$G$426)-1)/(Liste_Materiel_Combinee!$G$2:$G$426=1),299)+1)),""),0))</f>
        <v/>
      </c>
      <c r="D301" s="104" t="str">
        <f>IF($H$5="EFFACER","",IFERROR(INDEX(Liste_Materiel_Combinee!$E:$E,(_xlfn.AGGREGATE(15,6,(ROW(Liste_Materiel_Combinee!$G$2:$G$426)-1)/(Liste_Materiel_Combinee!$G$2:$G$426=1),299)+1)),""))</f>
        <v/>
      </c>
      <c r="E301" s="105">
        <f t="shared" si="4"/>
        <v>0</v>
      </c>
      <c r="F301" s="104" t="str">
        <f>IFERROR(INDEX(Catalogue!$K:$K,MATCH(A301,Catalogue!$A:$A,0)),"")</f>
        <v/>
      </c>
      <c r="G301" s="102"/>
      <c r="H301" s="7"/>
      <c r="I301" s="7"/>
    </row>
    <row r="302" spans="1:9" x14ac:dyDescent="0.25">
      <c r="A302" s="103" t="str">
        <f>IFERROR(INDEX(Liste_Materiel_Combinee!$B:$B,(_xlfn.AGGREGATE(15,6,(ROW(Liste_Materiel_Combinee!$G$2:$G$426)-1)/(Liste_Materiel_Combinee!$G$2:$G$426=1),300)+1)),"")</f>
        <v/>
      </c>
      <c r="B302" s="104" t="str">
        <f>IFERROR(INDEX(Liste_Materiel_Combinee!$C:$C,(_xlfn.AGGREGATE(15,6,(ROW(Liste_Materiel_Combinee!$G$2:$G$426)-1)/(Liste_Materiel_Combinee!$G$2:$G$426=1),300)+1)),"")</f>
        <v/>
      </c>
      <c r="C302" s="104" t="str">
        <f>IF(IFERROR(INDEX(Liste_Materiel_Combinee!$F:$F,(_xlfn.AGGREGATE(15,6,(ROW(Liste_Materiel_Combinee!$G$2:$G$426)-1)/(Liste_Materiel_Combinee!$G$2:$G$426=1),300)+1)),"")="","",ROUNDUP(IFERROR(INDEX(Liste_Materiel_Combinee!$F:$F,(_xlfn.AGGREGATE(15,6,(ROW(Liste_Materiel_Combinee!$G$2:$G$426)-1)/(Liste_Materiel_Combinee!$G$2:$G$426=1),300)+1)),""),0))</f>
        <v/>
      </c>
      <c r="D302" s="104" t="str">
        <f>IF($H$5="EFFACER","",IFERROR(INDEX(Liste_Materiel_Combinee!$E:$E,(_xlfn.AGGREGATE(15,6,(ROW(Liste_Materiel_Combinee!$G$2:$G$426)-1)/(Liste_Materiel_Combinee!$G$2:$G$426=1),300)+1)),""))</f>
        <v/>
      </c>
      <c r="E302" s="105">
        <f t="shared" si="4"/>
        <v>0</v>
      </c>
      <c r="F302" s="104" t="str">
        <f>IFERROR(INDEX(Catalogue!$K:$K,MATCH(A302,Catalogue!$A:$A,0)),"")</f>
        <v/>
      </c>
      <c r="G302" s="102"/>
      <c r="H302" s="7"/>
      <c r="I302" s="7"/>
    </row>
    <row r="303" spans="1:9" x14ac:dyDescent="0.25">
      <c r="A303" s="103" t="str">
        <f>IFERROR(INDEX(Liste_Materiel_Combinee!$B:$B,(_xlfn.AGGREGATE(15,6,(ROW(Liste_Materiel_Combinee!$G$2:$G$426)-1)/(Liste_Materiel_Combinee!$G$2:$G$426=1),301)+1)),"")</f>
        <v/>
      </c>
      <c r="B303" s="104" t="str">
        <f>IFERROR(INDEX(Liste_Materiel_Combinee!$C:$C,(_xlfn.AGGREGATE(15,6,(ROW(Liste_Materiel_Combinee!$G$2:$G$426)-1)/(Liste_Materiel_Combinee!$G$2:$G$426=1),301)+1)),"")</f>
        <v/>
      </c>
      <c r="C303" s="104" t="str">
        <f>IF(IFERROR(INDEX(Liste_Materiel_Combinee!$F:$F,(_xlfn.AGGREGATE(15,6,(ROW(Liste_Materiel_Combinee!$G$2:$G$426)-1)/(Liste_Materiel_Combinee!$G$2:$G$426=1),301)+1)),"")="","",ROUNDUP(IFERROR(INDEX(Liste_Materiel_Combinee!$F:$F,(_xlfn.AGGREGATE(15,6,(ROW(Liste_Materiel_Combinee!$G$2:$G$426)-1)/(Liste_Materiel_Combinee!$G$2:$G$426=1),301)+1)),""),0))</f>
        <v/>
      </c>
      <c r="D303" s="104" t="str">
        <f>IF($H$5="EFFACER","",IFERROR(INDEX(Liste_Materiel_Combinee!$E:$E,(_xlfn.AGGREGATE(15,6,(ROW(Liste_Materiel_Combinee!$G$2:$G$426)-1)/(Liste_Materiel_Combinee!$G$2:$G$426=1),301)+1)),""))</f>
        <v/>
      </c>
      <c r="E303" s="105">
        <f t="shared" si="4"/>
        <v>0</v>
      </c>
      <c r="F303" s="104" t="str">
        <f>IFERROR(INDEX(Catalogue!$K:$K,MATCH(A303,Catalogue!$A:$A,0)),"")</f>
        <v/>
      </c>
      <c r="G303" s="102"/>
      <c r="H303" s="7"/>
      <c r="I303" s="7"/>
    </row>
    <row r="304" spans="1:9" x14ac:dyDescent="0.25">
      <c r="A304" s="103" t="str">
        <f>IFERROR(INDEX(Liste_Materiel_Combinee!$B:$B,(_xlfn.AGGREGATE(15,6,(ROW(Liste_Materiel_Combinee!$G$2:$G$426)-1)/(Liste_Materiel_Combinee!$G$2:$G$426=1),302)+1)),"")</f>
        <v/>
      </c>
      <c r="B304" s="104" t="str">
        <f>IFERROR(INDEX(Liste_Materiel_Combinee!$C:$C,(_xlfn.AGGREGATE(15,6,(ROW(Liste_Materiel_Combinee!$G$2:$G$426)-1)/(Liste_Materiel_Combinee!$G$2:$G$426=1),302)+1)),"")</f>
        <v/>
      </c>
      <c r="C304" s="104" t="str">
        <f>IF(IFERROR(INDEX(Liste_Materiel_Combinee!$F:$F,(_xlfn.AGGREGATE(15,6,(ROW(Liste_Materiel_Combinee!$G$2:$G$426)-1)/(Liste_Materiel_Combinee!$G$2:$G$426=1),302)+1)),"")="","",ROUNDUP(IFERROR(INDEX(Liste_Materiel_Combinee!$F:$F,(_xlfn.AGGREGATE(15,6,(ROW(Liste_Materiel_Combinee!$G$2:$G$426)-1)/(Liste_Materiel_Combinee!$G$2:$G$426=1),302)+1)),""),0))</f>
        <v/>
      </c>
      <c r="D304" s="104" t="str">
        <f>IF($H$5="EFFACER","",IFERROR(INDEX(Liste_Materiel_Combinee!$E:$E,(_xlfn.AGGREGATE(15,6,(ROW(Liste_Materiel_Combinee!$G$2:$G$426)-1)/(Liste_Materiel_Combinee!$G$2:$G$426=1),302)+1)),""))</f>
        <v/>
      </c>
      <c r="E304" s="105">
        <f t="shared" si="4"/>
        <v>0</v>
      </c>
      <c r="F304" s="104" t="str">
        <f>IFERROR(INDEX(Catalogue!$K:$K,MATCH(A304,Catalogue!$A:$A,0)),"")</f>
        <v/>
      </c>
      <c r="G304" s="102"/>
      <c r="H304" s="7"/>
      <c r="I304" s="7"/>
    </row>
    <row r="305" spans="1:9" x14ac:dyDescent="0.25">
      <c r="A305" s="103" t="str">
        <f>IFERROR(INDEX(Liste_Materiel_Combinee!$B:$B,(_xlfn.AGGREGATE(15,6,(ROW(Liste_Materiel_Combinee!$G$2:$G$426)-1)/(Liste_Materiel_Combinee!$G$2:$G$426=1),303)+1)),"")</f>
        <v/>
      </c>
      <c r="B305" s="104" t="str">
        <f>IFERROR(INDEX(Liste_Materiel_Combinee!$C:$C,(_xlfn.AGGREGATE(15,6,(ROW(Liste_Materiel_Combinee!$G$2:$G$426)-1)/(Liste_Materiel_Combinee!$G$2:$G$426=1),303)+1)),"")</f>
        <v/>
      </c>
      <c r="C305" s="104" t="str">
        <f>IF(IFERROR(INDEX(Liste_Materiel_Combinee!$F:$F,(_xlfn.AGGREGATE(15,6,(ROW(Liste_Materiel_Combinee!$G$2:$G$426)-1)/(Liste_Materiel_Combinee!$G$2:$G$426=1),303)+1)),"")="","",ROUNDUP(IFERROR(INDEX(Liste_Materiel_Combinee!$F:$F,(_xlfn.AGGREGATE(15,6,(ROW(Liste_Materiel_Combinee!$G$2:$G$426)-1)/(Liste_Materiel_Combinee!$G$2:$G$426=1),303)+1)),""),0))</f>
        <v/>
      </c>
      <c r="D305" s="104" t="str">
        <f>IF($H$5="EFFACER","",IFERROR(INDEX(Liste_Materiel_Combinee!$E:$E,(_xlfn.AGGREGATE(15,6,(ROW(Liste_Materiel_Combinee!$G$2:$G$426)-1)/(Liste_Materiel_Combinee!$G$2:$G$426=1),303)+1)),""))</f>
        <v/>
      </c>
      <c r="E305" s="105">
        <f t="shared" si="4"/>
        <v>0</v>
      </c>
      <c r="F305" s="104" t="str">
        <f>IFERROR(INDEX(Catalogue!$K:$K,MATCH(A305,Catalogue!$A:$A,0)),"")</f>
        <v/>
      </c>
      <c r="G305" s="102"/>
      <c r="H305" s="7"/>
      <c r="I305" s="7"/>
    </row>
    <row r="306" spans="1:9" x14ac:dyDescent="0.25">
      <c r="A306" s="103" t="str">
        <f>IFERROR(INDEX(Liste_Materiel_Combinee!$B:$B,(_xlfn.AGGREGATE(15,6,(ROW(Liste_Materiel_Combinee!$G$2:$G$426)-1)/(Liste_Materiel_Combinee!$G$2:$G$426=1),304)+1)),"")</f>
        <v/>
      </c>
      <c r="B306" s="104" t="str">
        <f>IFERROR(INDEX(Liste_Materiel_Combinee!$C:$C,(_xlfn.AGGREGATE(15,6,(ROW(Liste_Materiel_Combinee!$G$2:$G$426)-1)/(Liste_Materiel_Combinee!$G$2:$G$426=1),304)+1)),"")</f>
        <v/>
      </c>
      <c r="C306" s="104" t="str">
        <f>IF(IFERROR(INDEX(Liste_Materiel_Combinee!$F:$F,(_xlfn.AGGREGATE(15,6,(ROW(Liste_Materiel_Combinee!$G$2:$G$426)-1)/(Liste_Materiel_Combinee!$G$2:$G$426=1),304)+1)),"")="","",ROUNDUP(IFERROR(INDEX(Liste_Materiel_Combinee!$F:$F,(_xlfn.AGGREGATE(15,6,(ROW(Liste_Materiel_Combinee!$G$2:$G$426)-1)/(Liste_Materiel_Combinee!$G$2:$G$426=1),304)+1)),""),0))</f>
        <v/>
      </c>
      <c r="D306" s="104" t="str">
        <f>IF($H$5="EFFACER","",IFERROR(INDEX(Liste_Materiel_Combinee!$E:$E,(_xlfn.AGGREGATE(15,6,(ROW(Liste_Materiel_Combinee!$G$2:$G$426)-1)/(Liste_Materiel_Combinee!$G$2:$G$426=1),304)+1)),""))</f>
        <v/>
      </c>
      <c r="E306" s="105">
        <f t="shared" si="4"/>
        <v>0</v>
      </c>
      <c r="F306" s="104" t="str">
        <f>IFERROR(INDEX(Catalogue!$K:$K,MATCH(A306,Catalogue!$A:$A,0)),"")</f>
        <v/>
      </c>
      <c r="G306" s="102"/>
      <c r="H306" s="7"/>
      <c r="I306" s="7"/>
    </row>
    <row r="307" spans="1:9" x14ac:dyDescent="0.25">
      <c r="A307" s="103" t="str">
        <f>IFERROR(INDEX(Liste_Materiel_Combinee!$B:$B,(_xlfn.AGGREGATE(15,6,(ROW(Liste_Materiel_Combinee!$G$2:$G$426)-1)/(Liste_Materiel_Combinee!$G$2:$G$426=1),305)+1)),"")</f>
        <v/>
      </c>
      <c r="B307" s="104" t="str">
        <f>IFERROR(INDEX(Liste_Materiel_Combinee!$C:$C,(_xlfn.AGGREGATE(15,6,(ROW(Liste_Materiel_Combinee!$G$2:$G$426)-1)/(Liste_Materiel_Combinee!$G$2:$G$426=1),305)+1)),"")</f>
        <v/>
      </c>
      <c r="C307" s="104" t="str">
        <f>IF(IFERROR(INDEX(Liste_Materiel_Combinee!$F:$F,(_xlfn.AGGREGATE(15,6,(ROW(Liste_Materiel_Combinee!$G$2:$G$426)-1)/(Liste_Materiel_Combinee!$G$2:$G$426=1),305)+1)),"")="","",ROUNDUP(IFERROR(INDEX(Liste_Materiel_Combinee!$F:$F,(_xlfn.AGGREGATE(15,6,(ROW(Liste_Materiel_Combinee!$G$2:$G$426)-1)/(Liste_Materiel_Combinee!$G$2:$G$426=1),305)+1)),""),0))</f>
        <v/>
      </c>
      <c r="D307" s="104" t="str">
        <f>IF($H$5="EFFACER","",IFERROR(INDEX(Liste_Materiel_Combinee!$E:$E,(_xlfn.AGGREGATE(15,6,(ROW(Liste_Materiel_Combinee!$G$2:$G$426)-1)/(Liste_Materiel_Combinee!$G$2:$G$426=1),305)+1)),""))</f>
        <v/>
      </c>
      <c r="E307" s="105">
        <f t="shared" si="4"/>
        <v>0</v>
      </c>
      <c r="F307" s="104" t="str">
        <f>IFERROR(INDEX(Catalogue!$K:$K,MATCH(A307,Catalogue!$A:$A,0)),"")</f>
        <v/>
      </c>
      <c r="G307" s="102"/>
      <c r="H307" s="7"/>
      <c r="I307" s="7"/>
    </row>
    <row r="308" spans="1:9" x14ac:dyDescent="0.25">
      <c r="A308" s="103" t="str">
        <f>IFERROR(INDEX(Liste_Materiel_Combinee!$B:$B,(_xlfn.AGGREGATE(15,6,(ROW(Liste_Materiel_Combinee!$G$2:$G$426)-1)/(Liste_Materiel_Combinee!$G$2:$G$426=1),306)+1)),"")</f>
        <v/>
      </c>
      <c r="B308" s="104" t="str">
        <f>IFERROR(INDEX(Liste_Materiel_Combinee!$C:$C,(_xlfn.AGGREGATE(15,6,(ROW(Liste_Materiel_Combinee!$G$2:$G$426)-1)/(Liste_Materiel_Combinee!$G$2:$G$426=1),306)+1)),"")</f>
        <v/>
      </c>
      <c r="C308" s="104" t="str">
        <f>IF(IFERROR(INDEX(Liste_Materiel_Combinee!$F:$F,(_xlfn.AGGREGATE(15,6,(ROW(Liste_Materiel_Combinee!$G$2:$G$426)-1)/(Liste_Materiel_Combinee!$G$2:$G$426=1),306)+1)),"")="","",ROUNDUP(IFERROR(INDEX(Liste_Materiel_Combinee!$F:$F,(_xlfn.AGGREGATE(15,6,(ROW(Liste_Materiel_Combinee!$G$2:$G$426)-1)/(Liste_Materiel_Combinee!$G$2:$G$426=1),306)+1)),""),0))</f>
        <v/>
      </c>
      <c r="D308" s="104" t="str">
        <f>IF($H$5="EFFACER","",IFERROR(INDEX(Liste_Materiel_Combinee!$E:$E,(_xlfn.AGGREGATE(15,6,(ROW(Liste_Materiel_Combinee!$G$2:$G$426)-1)/(Liste_Materiel_Combinee!$G$2:$G$426=1),306)+1)),""))</f>
        <v/>
      </c>
      <c r="E308" s="105">
        <f t="shared" si="4"/>
        <v>0</v>
      </c>
      <c r="F308" s="104" t="str">
        <f>IFERROR(INDEX(Catalogue!$K:$K,MATCH(A308,Catalogue!$A:$A,0)),"")</f>
        <v/>
      </c>
      <c r="G308" s="102"/>
      <c r="H308" s="7"/>
      <c r="I308" s="7"/>
    </row>
    <row r="309" spans="1:9" x14ac:dyDescent="0.25">
      <c r="A309" s="103" t="str">
        <f>IFERROR(INDEX(Liste_Materiel_Combinee!$B:$B,(_xlfn.AGGREGATE(15,6,(ROW(Liste_Materiel_Combinee!$G$2:$G$426)-1)/(Liste_Materiel_Combinee!$G$2:$G$426=1),307)+1)),"")</f>
        <v/>
      </c>
      <c r="B309" s="104" t="str">
        <f>IFERROR(INDEX(Liste_Materiel_Combinee!$C:$C,(_xlfn.AGGREGATE(15,6,(ROW(Liste_Materiel_Combinee!$G$2:$G$426)-1)/(Liste_Materiel_Combinee!$G$2:$G$426=1),307)+1)),"")</f>
        <v/>
      </c>
      <c r="C309" s="104" t="str">
        <f>IF(IFERROR(INDEX(Liste_Materiel_Combinee!$F:$F,(_xlfn.AGGREGATE(15,6,(ROW(Liste_Materiel_Combinee!$G$2:$G$426)-1)/(Liste_Materiel_Combinee!$G$2:$G$426=1),307)+1)),"")="","",ROUNDUP(IFERROR(INDEX(Liste_Materiel_Combinee!$F:$F,(_xlfn.AGGREGATE(15,6,(ROW(Liste_Materiel_Combinee!$G$2:$G$426)-1)/(Liste_Materiel_Combinee!$G$2:$G$426=1),307)+1)),""),0))</f>
        <v/>
      </c>
      <c r="D309" s="104" t="str">
        <f>IF($H$5="EFFACER","",IFERROR(INDEX(Liste_Materiel_Combinee!$E:$E,(_xlfn.AGGREGATE(15,6,(ROW(Liste_Materiel_Combinee!$G$2:$G$426)-1)/(Liste_Materiel_Combinee!$G$2:$G$426=1),307)+1)),""))</f>
        <v/>
      </c>
      <c r="E309" s="105">
        <f t="shared" si="4"/>
        <v>0</v>
      </c>
      <c r="F309" s="104" t="str">
        <f>IFERROR(INDEX(Catalogue!$K:$K,MATCH(A309,Catalogue!$A:$A,0)),"")</f>
        <v/>
      </c>
      <c r="G309" s="102"/>
      <c r="H309" s="7"/>
      <c r="I309" s="7"/>
    </row>
    <row r="310" spans="1:9" x14ac:dyDescent="0.25">
      <c r="A310" s="103" t="str">
        <f>IFERROR(INDEX(Liste_Materiel_Combinee!$B:$B,(_xlfn.AGGREGATE(15,6,(ROW(Liste_Materiel_Combinee!$G$2:$G$426)-1)/(Liste_Materiel_Combinee!$G$2:$G$426=1),308)+1)),"")</f>
        <v/>
      </c>
      <c r="B310" s="104" t="str">
        <f>IFERROR(INDEX(Liste_Materiel_Combinee!$C:$C,(_xlfn.AGGREGATE(15,6,(ROW(Liste_Materiel_Combinee!$G$2:$G$426)-1)/(Liste_Materiel_Combinee!$G$2:$G$426=1),308)+1)),"")</f>
        <v/>
      </c>
      <c r="C310" s="104" t="str">
        <f>IF(IFERROR(INDEX(Liste_Materiel_Combinee!$F:$F,(_xlfn.AGGREGATE(15,6,(ROW(Liste_Materiel_Combinee!$G$2:$G$426)-1)/(Liste_Materiel_Combinee!$G$2:$G$426=1),308)+1)),"")="","",ROUNDUP(IFERROR(INDEX(Liste_Materiel_Combinee!$F:$F,(_xlfn.AGGREGATE(15,6,(ROW(Liste_Materiel_Combinee!$G$2:$G$426)-1)/(Liste_Materiel_Combinee!$G$2:$G$426=1),308)+1)),""),0))</f>
        <v/>
      </c>
      <c r="D310" s="104" t="str">
        <f>IF($H$5="EFFACER","",IFERROR(INDEX(Liste_Materiel_Combinee!$E:$E,(_xlfn.AGGREGATE(15,6,(ROW(Liste_Materiel_Combinee!$G$2:$G$426)-1)/(Liste_Materiel_Combinee!$G$2:$G$426=1),308)+1)),""))</f>
        <v/>
      </c>
      <c r="E310" s="105">
        <f t="shared" si="4"/>
        <v>0</v>
      </c>
      <c r="F310" s="104" t="str">
        <f>IFERROR(INDEX(Catalogue!$K:$K,MATCH(A310,Catalogue!$A:$A,0)),"")</f>
        <v/>
      </c>
      <c r="G310" s="102"/>
      <c r="H310" s="7"/>
      <c r="I310" s="7"/>
    </row>
    <row r="311" spans="1:9" x14ac:dyDescent="0.25">
      <c r="A311" s="103" t="str">
        <f>IFERROR(INDEX(Liste_Materiel_Combinee!$B:$B,(_xlfn.AGGREGATE(15,6,(ROW(Liste_Materiel_Combinee!$G$2:$G$426)-1)/(Liste_Materiel_Combinee!$G$2:$G$426=1),309)+1)),"")</f>
        <v/>
      </c>
      <c r="B311" s="104" t="str">
        <f>IFERROR(INDEX(Liste_Materiel_Combinee!$C:$C,(_xlfn.AGGREGATE(15,6,(ROW(Liste_Materiel_Combinee!$G$2:$G$426)-1)/(Liste_Materiel_Combinee!$G$2:$G$426=1),309)+1)),"")</f>
        <v/>
      </c>
      <c r="C311" s="104" t="str">
        <f>IF(IFERROR(INDEX(Liste_Materiel_Combinee!$F:$F,(_xlfn.AGGREGATE(15,6,(ROW(Liste_Materiel_Combinee!$G$2:$G$426)-1)/(Liste_Materiel_Combinee!$G$2:$G$426=1),309)+1)),"")="","",ROUNDUP(IFERROR(INDEX(Liste_Materiel_Combinee!$F:$F,(_xlfn.AGGREGATE(15,6,(ROW(Liste_Materiel_Combinee!$G$2:$G$426)-1)/(Liste_Materiel_Combinee!$G$2:$G$426=1),309)+1)),""),0))</f>
        <v/>
      </c>
      <c r="D311" s="104" t="str">
        <f>IF($H$5="EFFACER","",IFERROR(INDEX(Liste_Materiel_Combinee!$E:$E,(_xlfn.AGGREGATE(15,6,(ROW(Liste_Materiel_Combinee!$G$2:$G$426)-1)/(Liste_Materiel_Combinee!$G$2:$G$426=1),309)+1)),""))</f>
        <v/>
      </c>
      <c r="E311" s="105">
        <f t="shared" si="4"/>
        <v>0</v>
      </c>
      <c r="F311" s="104" t="str">
        <f>IFERROR(INDEX(Catalogue!$K:$K,MATCH(A311,Catalogue!$A:$A,0)),"")</f>
        <v/>
      </c>
      <c r="G311" s="102"/>
      <c r="H311" s="7"/>
      <c r="I311" s="7"/>
    </row>
    <row r="312" spans="1:9" x14ac:dyDescent="0.25">
      <c r="A312" s="103" t="str">
        <f>IFERROR(INDEX(Liste_Materiel_Combinee!$B:$B,(_xlfn.AGGREGATE(15,6,(ROW(Liste_Materiel_Combinee!$G$2:$G$426)-1)/(Liste_Materiel_Combinee!$G$2:$G$426=1),310)+1)),"")</f>
        <v/>
      </c>
      <c r="B312" s="104" t="str">
        <f>IFERROR(INDEX(Liste_Materiel_Combinee!$C:$C,(_xlfn.AGGREGATE(15,6,(ROW(Liste_Materiel_Combinee!$G$2:$G$426)-1)/(Liste_Materiel_Combinee!$G$2:$G$426=1),310)+1)),"")</f>
        <v/>
      </c>
      <c r="C312" s="104" t="str">
        <f>IF(IFERROR(INDEX(Liste_Materiel_Combinee!$F:$F,(_xlfn.AGGREGATE(15,6,(ROW(Liste_Materiel_Combinee!$G$2:$G$426)-1)/(Liste_Materiel_Combinee!$G$2:$G$426=1),310)+1)),"")="","",ROUNDUP(IFERROR(INDEX(Liste_Materiel_Combinee!$F:$F,(_xlfn.AGGREGATE(15,6,(ROW(Liste_Materiel_Combinee!$G$2:$G$426)-1)/(Liste_Materiel_Combinee!$G$2:$G$426=1),310)+1)),""),0))</f>
        <v/>
      </c>
      <c r="D312" s="104" t="str">
        <f>IF($H$5="EFFACER","",IFERROR(INDEX(Liste_Materiel_Combinee!$E:$E,(_xlfn.AGGREGATE(15,6,(ROW(Liste_Materiel_Combinee!$G$2:$G$426)-1)/(Liste_Materiel_Combinee!$G$2:$G$426=1),310)+1)),""))</f>
        <v/>
      </c>
      <c r="E312" s="105">
        <f t="shared" si="4"/>
        <v>0</v>
      </c>
      <c r="F312" s="104" t="str">
        <f>IFERROR(INDEX(Catalogue!$K:$K,MATCH(A312,Catalogue!$A:$A,0)),"")</f>
        <v/>
      </c>
      <c r="G312" s="102"/>
      <c r="H312" s="7"/>
      <c r="I312" s="7"/>
    </row>
    <row r="313" spans="1:9" x14ac:dyDescent="0.25">
      <c r="A313" s="103" t="str">
        <f>IFERROR(INDEX(Liste_Materiel_Combinee!$B:$B,(_xlfn.AGGREGATE(15,6,(ROW(Liste_Materiel_Combinee!$G$2:$G$426)-1)/(Liste_Materiel_Combinee!$G$2:$G$426=1),311)+1)),"")</f>
        <v/>
      </c>
      <c r="B313" s="104" t="str">
        <f>IFERROR(INDEX(Liste_Materiel_Combinee!$C:$C,(_xlfn.AGGREGATE(15,6,(ROW(Liste_Materiel_Combinee!$G$2:$G$426)-1)/(Liste_Materiel_Combinee!$G$2:$G$426=1),311)+1)),"")</f>
        <v/>
      </c>
      <c r="C313" s="104" t="str">
        <f>IF(IFERROR(INDEX(Liste_Materiel_Combinee!$F:$F,(_xlfn.AGGREGATE(15,6,(ROW(Liste_Materiel_Combinee!$G$2:$G$426)-1)/(Liste_Materiel_Combinee!$G$2:$G$426=1),311)+1)),"")="","",ROUNDUP(IFERROR(INDEX(Liste_Materiel_Combinee!$F:$F,(_xlfn.AGGREGATE(15,6,(ROW(Liste_Materiel_Combinee!$G$2:$G$426)-1)/(Liste_Materiel_Combinee!$G$2:$G$426=1),311)+1)),""),0))</f>
        <v/>
      </c>
      <c r="D313" s="104" t="str">
        <f>IF($H$5="EFFACER","",IFERROR(INDEX(Liste_Materiel_Combinee!$E:$E,(_xlfn.AGGREGATE(15,6,(ROW(Liste_Materiel_Combinee!$G$2:$G$426)-1)/(Liste_Materiel_Combinee!$G$2:$G$426=1),311)+1)),""))</f>
        <v/>
      </c>
      <c r="E313" s="105">
        <f t="shared" si="4"/>
        <v>0</v>
      </c>
      <c r="F313" s="104" t="str">
        <f>IFERROR(INDEX(Catalogue!$K:$K,MATCH(A313,Catalogue!$A:$A,0)),"")</f>
        <v/>
      </c>
      <c r="G313" s="102"/>
      <c r="H313" s="7"/>
      <c r="I313" s="7"/>
    </row>
    <row r="314" spans="1:9" x14ac:dyDescent="0.25">
      <c r="A314" s="103" t="str">
        <f>IFERROR(INDEX(Liste_Materiel_Combinee!$B:$B,(_xlfn.AGGREGATE(15,6,(ROW(Liste_Materiel_Combinee!$G$2:$G$426)-1)/(Liste_Materiel_Combinee!$G$2:$G$426=1),312)+1)),"")</f>
        <v/>
      </c>
      <c r="B314" s="104" t="str">
        <f>IFERROR(INDEX(Liste_Materiel_Combinee!$C:$C,(_xlfn.AGGREGATE(15,6,(ROW(Liste_Materiel_Combinee!$G$2:$G$426)-1)/(Liste_Materiel_Combinee!$G$2:$G$426=1),312)+1)),"")</f>
        <v/>
      </c>
      <c r="C314" s="104" t="str">
        <f>IF(IFERROR(INDEX(Liste_Materiel_Combinee!$F:$F,(_xlfn.AGGREGATE(15,6,(ROW(Liste_Materiel_Combinee!$G$2:$G$426)-1)/(Liste_Materiel_Combinee!$G$2:$G$426=1),312)+1)),"")="","",ROUNDUP(IFERROR(INDEX(Liste_Materiel_Combinee!$F:$F,(_xlfn.AGGREGATE(15,6,(ROW(Liste_Materiel_Combinee!$G$2:$G$426)-1)/(Liste_Materiel_Combinee!$G$2:$G$426=1),312)+1)),""),0))</f>
        <v/>
      </c>
      <c r="D314" s="104" t="str">
        <f>IF($H$5="EFFACER","",IFERROR(INDEX(Liste_Materiel_Combinee!$E:$E,(_xlfn.AGGREGATE(15,6,(ROW(Liste_Materiel_Combinee!$G$2:$G$426)-1)/(Liste_Materiel_Combinee!$G$2:$G$426=1),312)+1)),""))</f>
        <v/>
      </c>
      <c r="E314" s="105">
        <f t="shared" si="4"/>
        <v>0</v>
      </c>
      <c r="F314" s="104" t="str">
        <f>IFERROR(INDEX(Catalogue!$K:$K,MATCH(A314,Catalogue!$A:$A,0)),"")</f>
        <v/>
      </c>
      <c r="G314" s="102"/>
      <c r="H314" s="7"/>
      <c r="I314" s="7"/>
    </row>
    <row r="315" spans="1:9" x14ac:dyDescent="0.25">
      <c r="A315" s="103" t="str">
        <f>IFERROR(INDEX(Liste_Materiel_Combinee!$B:$B,(_xlfn.AGGREGATE(15,6,(ROW(Liste_Materiel_Combinee!$G$2:$G$426)-1)/(Liste_Materiel_Combinee!$G$2:$G$426=1),313)+1)),"")</f>
        <v/>
      </c>
      <c r="B315" s="104" t="str">
        <f>IFERROR(INDEX(Liste_Materiel_Combinee!$C:$C,(_xlfn.AGGREGATE(15,6,(ROW(Liste_Materiel_Combinee!$G$2:$G$426)-1)/(Liste_Materiel_Combinee!$G$2:$G$426=1),313)+1)),"")</f>
        <v/>
      </c>
      <c r="C315" s="104" t="str">
        <f>IF(IFERROR(INDEX(Liste_Materiel_Combinee!$F:$F,(_xlfn.AGGREGATE(15,6,(ROW(Liste_Materiel_Combinee!$G$2:$G$426)-1)/(Liste_Materiel_Combinee!$G$2:$G$426=1),313)+1)),"")="","",ROUNDUP(IFERROR(INDEX(Liste_Materiel_Combinee!$F:$F,(_xlfn.AGGREGATE(15,6,(ROW(Liste_Materiel_Combinee!$G$2:$G$426)-1)/(Liste_Materiel_Combinee!$G$2:$G$426=1),313)+1)),""),0))</f>
        <v/>
      </c>
      <c r="D315" s="104" t="str">
        <f>IF($H$5="EFFACER","",IFERROR(INDEX(Liste_Materiel_Combinee!$E:$E,(_xlfn.AGGREGATE(15,6,(ROW(Liste_Materiel_Combinee!$G$2:$G$426)-1)/(Liste_Materiel_Combinee!$G$2:$G$426=1),313)+1)),""))</f>
        <v/>
      </c>
      <c r="E315" s="105">
        <f t="shared" si="4"/>
        <v>0</v>
      </c>
      <c r="F315" s="104" t="str">
        <f>IFERROR(INDEX(Catalogue!$K:$K,MATCH(A315,Catalogue!$A:$A,0)),"")</f>
        <v/>
      </c>
      <c r="G315" s="102"/>
      <c r="H315" s="7"/>
      <c r="I315" s="7"/>
    </row>
    <row r="316" spans="1:9" x14ac:dyDescent="0.25">
      <c r="A316" s="103" t="str">
        <f>IFERROR(INDEX(Liste_Materiel_Combinee!$B:$B,(_xlfn.AGGREGATE(15,6,(ROW(Liste_Materiel_Combinee!$G$2:$G$426)-1)/(Liste_Materiel_Combinee!$G$2:$G$426=1),314)+1)),"")</f>
        <v/>
      </c>
      <c r="B316" s="104" t="str">
        <f>IFERROR(INDEX(Liste_Materiel_Combinee!$C:$C,(_xlfn.AGGREGATE(15,6,(ROW(Liste_Materiel_Combinee!$G$2:$G$426)-1)/(Liste_Materiel_Combinee!$G$2:$G$426=1),314)+1)),"")</f>
        <v/>
      </c>
      <c r="C316" s="104" t="str">
        <f>IF(IFERROR(INDEX(Liste_Materiel_Combinee!$F:$F,(_xlfn.AGGREGATE(15,6,(ROW(Liste_Materiel_Combinee!$G$2:$G$426)-1)/(Liste_Materiel_Combinee!$G$2:$G$426=1),314)+1)),"")="","",ROUNDUP(IFERROR(INDEX(Liste_Materiel_Combinee!$F:$F,(_xlfn.AGGREGATE(15,6,(ROW(Liste_Materiel_Combinee!$G$2:$G$426)-1)/(Liste_Materiel_Combinee!$G$2:$G$426=1),314)+1)),""),0))</f>
        <v/>
      </c>
      <c r="D316" s="104" t="str">
        <f>IF($H$5="EFFACER","",IFERROR(INDEX(Liste_Materiel_Combinee!$E:$E,(_xlfn.AGGREGATE(15,6,(ROW(Liste_Materiel_Combinee!$G$2:$G$426)-1)/(Liste_Materiel_Combinee!$G$2:$G$426=1),314)+1)),""))</f>
        <v/>
      </c>
      <c r="E316" s="105">
        <f t="shared" si="4"/>
        <v>0</v>
      </c>
      <c r="F316" s="104" t="str">
        <f>IFERROR(INDEX(Catalogue!$K:$K,MATCH(A316,Catalogue!$A:$A,0)),"")</f>
        <v/>
      </c>
      <c r="G316" s="102"/>
      <c r="H316" s="7"/>
      <c r="I316" s="7"/>
    </row>
    <row r="317" spans="1:9" x14ac:dyDescent="0.25">
      <c r="A317" s="103" t="str">
        <f>IFERROR(INDEX(Liste_Materiel_Combinee!$B:$B,(_xlfn.AGGREGATE(15,6,(ROW(Liste_Materiel_Combinee!$G$2:$G$426)-1)/(Liste_Materiel_Combinee!$G$2:$G$426=1),315)+1)),"")</f>
        <v/>
      </c>
      <c r="B317" s="104" t="str">
        <f>IFERROR(INDEX(Liste_Materiel_Combinee!$C:$C,(_xlfn.AGGREGATE(15,6,(ROW(Liste_Materiel_Combinee!$G$2:$G$426)-1)/(Liste_Materiel_Combinee!$G$2:$G$426=1),315)+1)),"")</f>
        <v/>
      </c>
      <c r="C317" s="104" t="str">
        <f>IF(IFERROR(INDEX(Liste_Materiel_Combinee!$F:$F,(_xlfn.AGGREGATE(15,6,(ROW(Liste_Materiel_Combinee!$G$2:$G$426)-1)/(Liste_Materiel_Combinee!$G$2:$G$426=1),315)+1)),"")="","",ROUNDUP(IFERROR(INDEX(Liste_Materiel_Combinee!$F:$F,(_xlfn.AGGREGATE(15,6,(ROW(Liste_Materiel_Combinee!$G$2:$G$426)-1)/(Liste_Materiel_Combinee!$G$2:$G$426=1),315)+1)),""),0))</f>
        <v/>
      </c>
      <c r="D317" s="104" t="str">
        <f>IF($H$5="EFFACER","",IFERROR(INDEX(Liste_Materiel_Combinee!$E:$E,(_xlfn.AGGREGATE(15,6,(ROW(Liste_Materiel_Combinee!$G$2:$G$426)-1)/(Liste_Materiel_Combinee!$G$2:$G$426=1),315)+1)),""))</f>
        <v/>
      </c>
      <c r="E317" s="105">
        <f t="shared" si="4"/>
        <v>0</v>
      </c>
      <c r="F317" s="104" t="str">
        <f>IFERROR(INDEX(Catalogue!$K:$K,MATCH(A317,Catalogue!$A:$A,0)),"")</f>
        <v/>
      </c>
      <c r="G317" s="102"/>
      <c r="H317" s="7"/>
      <c r="I317" s="7"/>
    </row>
    <row r="318" spans="1:9" x14ac:dyDescent="0.25">
      <c r="A318" s="103" t="str">
        <f>IFERROR(INDEX(Liste_Materiel_Combinee!$B:$B,(_xlfn.AGGREGATE(15,6,(ROW(Liste_Materiel_Combinee!$G$2:$G$426)-1)/(Liste_Materiel_Combinee!$G$2:$G$426=1),316)+1)),"")</f>
        <v/>
      </c>
      <c r="B318" s="104" t="str">
        <f>IFERROR(INDEX(Liste_Materiel_Combinee!$C:$C,(_xlfn.AGGREGATE(15,6,(ROW(Liste_Materiel_Combinee!$G$2:$G$426)-1)/(Liste_Materiel_Combinee!$G$2:$G$426=1),316)+1)),"")</f>
        <v/>
      </c>
      <c r="C318" s="104" t="str">
        <f>IF(IFERROR(INDEX(Liste_Materiel_Combinee!$F:$F,(_xlfn.AGGREGATE(15,6,(ROW(Liste_Materiel_Combinee!$G$2:$G$426)-1)/(Liste_Materiel_Combinee!$G$2:$G$426=1),316)+1)),"")="","",ROUNDUP(IFERROR(INDEX(Liste_Materiel_Combinee!$F:$F,(_xlfn.AGGREGATE(15,6,(ROW(Liste_Materiel_Combinee!$G$2:$G$426)-1)/(Liste_Materiel_Combinee!$G$2:$G$426=1),316)+1)),""),0))</f>
        <v/>
      </c>
      <c r="D318" s="104" t="str">
        <f>IF($H$5="EFFACER","",IFERROR(INDEX(Liste_Materiel_Combinee!$E:$E,(_xlfn.AGGREGATE(15,6,(ROW(Liste_Materiel_Combinee!$G$2:$G$426)-1)/(Liste_Materiel_Combinee!$G$2:$G$426=1),316)+1)),""))</f>
        <v/>
      </c>
      <c r="E318" s="105">
        <f t="shared" si="4"/>
        <v>0</v>
      </c>
      <c r="F318" s="104" t="str">
        <f>IFERROR(INDEX(Catalogue!$K:$K,MATCH(A318,Catalogue!$A:$A,0)),"")</f>
        <v/>
      </c>
      <c r="G318" s="102"/>
      <c r="H318" s="7"/>
      <c r="I318" s="7"/>
    </row>
    <row r="319" spans="1:9" x14ac:dyDescent="0.25">
      <c r="A319" s="103" t="str">
        <f>IFERROR(INDEX(Liste_Materiel_Combinee!$B:$B,(_xlfn.AGGREGATE(15,6,(ROW(Liste_Materiel_Combinee!$G$2:$G$426)-1)/(Liste_Materiel_Combinee!$G$2:$G$426=1),317)+1)),"")</f>
        <v/>
      </c>
      <c r="B319" s="104" t="str">
        <f>IFERROR(INDEX(Liste_Materiel_Combinee!$C:$C,(_xlfn.AGGREGATE(15,6,(ROW(Liste_Materiel_Combinee!$G$2:$G$426)-1)/(Liste_Materiel_Combinee!$G$2:$G$426=1),317)+1)),"")</f>
        <v/>
      </c>
      <c r="C319" s="104" t="str">
        <f>IF(IFERROR(INDEX(Liste_Materiel_Combinee!$F:$F,(_xlfn.AGGREGATE(15,6,(ROW(Liste_Materiel_Combinee!$G$2:$G$426)-1)/(Liste_Materiel_Combinee!$G$2:$G$426=1),317)+1)),"")="","",ROUNDUP(IFERROR(INDEX(Liste_Materiel_Combinee!$F:$F,(_xlfn.AGGREGATE(15,6,(ROW(Liste_Materiel_Combinee!$G$2:$G$426)-1)/(Liste_Materiel_Combinee!$G$2:$G$426=1),317)+1)),""),0))</f>
        <v/>
      </c>
      <c r="D319" s="104" t="str">
        <f>IF($H$5="EFFACER","",IFERROR(INDEX(Liste_Materiel_Combinee!$E:$E,(_xlfn.AGGREGATE(15,6,(ROW(Liste_Materiel_Combinee!$G$2:$G$426)-1)/(Liste_Materiel_Combinee!$G$2:$G$426=1),317)+1)),""))</f>
        <v/>
      </c>
      <c r="E319" s="105">
        <f t="shared" si="4"/>
        <v>0</v>
      </c>
      <c r="F319" s="104" t="str">
        <f>IFERROR(INDEX(Catalogue!$K:$K,MATCH(A319,Catalogue!$A:$A,0)),"")</f>
        <v/>
      </c>
      <c r="G319" s="102"/>
      <c r="H319" s="7"/>
      <c r="I319" s="7"/>
    </row>
    <row r="320" spans="1:9" x14ac:dyDescent="0.25">
      <c r="A320" s="103" t="str">
        <f>IFERROR(INDEX(Liste_Materiel_Combinee!$B:$B,(_xlfn.AGGREGATE(15,6,(ROW(Liste_Materiel_Combinee!$G$2:$G$426)-1)/(Liste_Materiel_Combinee!$G$2:$G$426=1),318)+1)),"")</f>
        <v/>
      </c>
      <c r="B320" s="104" t="str">
        <f>IFERROR(INDEX(Liste_Materiel_Combinee!$C:$C,(_xlfn.AGGREGATE(15,6,(ROW(Liste_Materiel_Combinee!$G$2:$G$426)-1)/(Liste_Materiel_Combinee!$G$2:$G$426=1),318)+1)),"")</f>
        <v/>
      </c>
      <c r="C320" s="104" t="str">
        <f>IF(IFERROR(INDEX(Liste_Materiel_Combinee!$F:$F,(_xlfn.AGGREGATE(15,6,(ROW(Liste_Materiel_Combinee!$G$2:$G$426)-1)/(Liste_Materiel_Combinee!$G$2:$G$426=1),318)+1)),"")="","",ROUNDUP(IFERROR(INDEX(Liste_Materiel_Combinee!$F:$F,(_xlfn.AGGREGATE(15,6,(ROW(Liste_Materiel_Combinee!$G$2:$G$426)-1)/(Liste_Materiel_Combinee!$G$2:$G$426=1),318)+1)),""),0))</f>
        <v/>
      </c>
      <c r="D320" s="104" t="str">
        <f>IF($H$5="EFFACER","",IFERROR(INDEX(Liste_Materiel_Combinee!$E:$E,(_xlfn.AGGREGATE(15,6,(ROW(Liste_Materiel_Combinee!$G$2:$G$426)-1)/(Liste_Materiel_Combinee!$G$2:$G$426=1),318)+1)),""))</f>
        <v/>
      </c>
      <c r="E320" s="105">
        <f t="shared" si="4"/>
        <v>0</v>
      </c>
      <c r="F320" s="104" t="str">
        <f>IFERROR(INDEX(Catalogue!$K:$K,MATCH(A320,Catalogue!$A:$A,0)),"")</f>
        <v/>
      </c>
      <c r="G320" s="102"/>
      <c r="H320" s="7"/>
      <c r="I320" s="7"/>
    </row>
    <row r="321" spans="1:9" x14ac:dyDescent="0.25">
      <c r="A321" s="103" t="str">
        <f>IFERROR(INDEX(Liste_Materiel_Combinee!$B:$B,(_xlfn.AGGREGATE(15,6,(ROW(Liste_Materiel_Combinee!$G$2:$G$426)-1)/(Liste_Materiel_Combinee!$G$2:$G$426=1),319)+1)),"")</f>
        <v/>
      </c>
      <c r="B321" s="104" t="str">
        <f>IFERROR(INDEX(Liste_Materiel_Combinee!$C:$C,(_xlfn.AGGREGATE(15,6,(ROW(Liste_Materiel_Combinee!$G$2:$G$426)-1)/(Liste_Materiel_Combinee!$G$2:$G$426=1),319)+1)),"")</f>
        <v/>
      </c>
      <c r="C321" s="104" t="str">
        <f>IF(IFERROR(INDEX(Liste_Materiel_Combinee!$F:$F,(_xlfn.AGGREGATE(15,6,(ROW(Liste_Materiel_Combinee!$G$2:$G$426)-1)/(Liste_Materiel_Combinee!$G$2:$G$426=1),319)+1)),"")="","",ROUNDUP(IFERROR(INDEX(Liste_Materiel_Combinee!$F:$F,(_xlfn.AGGREGATE(15,6,(ROW(Liste_Materiel_Combinee!$G$2:$G$426)-1)/(Liste_Materiel_Combinee!$G$2:$G$426=1),319)+1)),""),0))</f>
        <v/>
      </c>
      <c r="D321" s="104" t="str">
        <f>IF($H$5="EFFACER","",IFERROR(INDEX(Liste_Materiel_Combinee!$E:$E,(_xlfn.AGGREGATE(15,6,(ROW(Liste_Materiel_Combinee!$G$2:$G$426)-1)/(Liste_Materiel_Combinee!$G$2:$G$426=1),319)+1)),""))</f>
        <v/>
      </c>
      <c r="E321" s="105">
        <f t="shared" si="4"/>
        <v>0</v>
      </c>
      <c r="F321" s="104" t="str">
        <f>IFERROR(INDEX(Catalogue!$K:$K,MATCH(A321,Catalogue!$A:$A,0)),"")</f>
        <v/>
      </c>
      <c r="G321" s="102"/>
      <c r="H321" s="7"/>
      <c r="I321" s="7"/>
    </row>
    <row r="322" spans="1:9" x14ac:dyDescent="0.25">
      <c r="A322" s="103" t="str">
        <f>IFERROR(INDEX(Liste_Materiel_Combinee!$B:$B,(_xlfn.AGGREGATE(15,6,(ROW(Liste_Materiel_Combinee!$G$2:$G$426)-1)/(Liste_Materiel_Combinee!$G$2:$G$426=1),320)+1)),"")</f>
        <v/>
      </c>
      <c r="B322" s="104" t="str">
        <f>IFERROR(INDEX(Liste_Materiel_Combinee!$C:$C,(_xlfn.AGGREGATE(15,6,(ROW(Liste_Materiel_Combinee!$G$2:$G$426)-1)/(Liste_Materiel_Combinee!$G$2:$G$426=1),320)+1)),"")</f>
        <v/>
      </c>
      <c r="C322" s="104" t="str">
        <f>IF(IFERROR(INDEX(Liste_Materiel_Combinee!$F:$F,(_xlfn.AGGREGATE(15,6,(ROW(Liste_Materiel_Combinee!$G$2:$G$426)-1)/(Liste_Materiel_Combinee!$G$2:$G$426=1),320)+1)),"")="","",ROUNDUP(IFERROR(INDEX(Liste_Materiel_Combinee!$F:$F,(_xlfn.AGGREGATE(15,6,(ROW(Liste_Materiel_Combinee!$G$2:$G$426)-1)/(Liste_Materiel_Combinee!$G$2:$G$426=1),320)+1)),""),0))</f>
        <v/>
      </c>
      <c r="D322" s="104" t="str">
        <f>IF($H$5="EFFACER","",IFERROR(INDEX(Liste_Materiel_Combinee!$E:$E,(_xlfn.AGGREGATE(15,6,(ROW(Liste_Materiel_Combinee!$G$2:$G$426)-1)/(Liste_Materiel_Combinee!$G$2:$G$426=1),320)+1)),""))</f>
        <v/>
      </c>
      <c r="E322" s="105">
        <f t="shared" si="4"/>
        <v>0</v>
      </c>
      <c r="F322" s="104" t="str">
        <f>IFERROR(INDEX(Catalogue!$K:$K,MATCH(A322,Catalogue!$A:$A,0)),"")</f>
        <v/>
      </c>
      <c r="G322" s="102"/>
      <c r="H322" s="7"/>
      <c r="I322" s="7"/>
    </row>
    <row r="323" spans="1:9" x14ac:dyDescent="0.25">
      <c r="A323" s="103" t="str">
        <f>IFERROR(INDEX(Liste_Materiel_Combinee!$B:$B,(_xlfn.AGGREGATE(15,6,(ROW(Liste_Materiel_Combinee!$G$2:$G$426)-1)/(Liste_Materiel_Combinee!$G$2:$G$426=1),321)+1)),"")</f>
        <v/>
      </c>
      <c r="B323" s="104" t="str">
        <f>IFERROR(INDEX(Liste_Materiel_Combinee!$C:$C,(_xlfn.AGGREGATE(15,6,(ROW(Liste_Materiel_Combinee!$G$2:$G$426)-1)/(Liste_Materiel_Combinee!$G$2:$G$426=1),321)+1)),"")</f>
        <v/>
      </c>
      <c r="C323" s="104" t="str">
        <f>IF(IFERROR(INDEX(Liste_Materiel_Combinee!$F:$F,(_xlfn.AGGREGATE(15,6,(ROW(Liste_Materiel_Combinee!$G$2:$G$426)-1)/(Liste_Materiel_Combinee!$G$2:$G$426=1),321)+1)),"")="","",ROUNDUP(IFERROR(INDEX(Liste_Materiel_Combinee!$F:$F,(_xlfn.AGGREGATE(15,6,(ROW(Liste_Materiel_Combinee!$G$2:$G$426)-1)/(Liste_Materiel_Combinee!$G$2:$G$426=1),321)+1)),""),0))</f>
        <v/>
      </c>
      <c r="D323" s="104" t="str">
        <f>IF($H$5="EFFACER","",IFERROR(INDEX(Liste_Materiel_Combinee!$E:$E,(_xlfn.AGGREGATE(15,6,(ROW(Liste_Materiel_Combinee!$G$2:$G$426)-1)/(Liste_Materiel_Combinee!$G$2:$G$426=1),321)+1)),""))</f>
        <v/>
      </c>
      <c r="E323" s="105">
        <f t="shared" ref="E323:E386" si="5">$H$2</f>
        <v>0</v>
      </c>
      <c r="F323" s="104" t="str">
        <f>IFERROR(INDEX(Catalogue!$K:$K,MATCH(A323,Catalogue!$A:$A,0)),"")</f>
        <v/>
      </c>
      <c r="G323" s="102"/>
      <c r="H323" s="7"/>
      <c r="I323" s="7"/>
    </row>
    <row r="324" spans="1:9" x14ac:dyDescent="0.25">
      <c r="A324" s="103" t="str">
        <f>IFERROR(INDEX(Liste_Materiel_Combinee!$B:$B,(_xlfn.AGGREGATE(15,6,(ROW(Liste_Materiel_Combinee!$G$2:$G$426)-1)/(Liste_Materiel_Combinee!$G$2:$G$426=1),322)+1)),"")</f>
        <v/>
      </c>
      <c r="B324" s="104" t="str">
        <f>IFERROR(INDEX(Liste_Materiel_Combinee!$C:$C,(_xlfn.AGGREGATE(15,6,(ROW(Liste_Materiel_Combinee!$G$2:$G$426)-1)/(Liste_Materiel_Combinee!$G$2:$G$426=1),322)+1)),"")</f>
        <v/>
      </c>
      <c r="C324" s="104" t="str">
        <f>IF(IFERROR(INDEX(Liste_Materiel_Combinee!$F:$F,(_xlfn.AGGREGATE(15,6,(ROW(Liste_Materiel_Combinee!$G$2:$G$426)-1)/(Liste_Materiel_Combinee!$G$2:$G$426=1),322)+1)),"")="","",ROUNDUP(IFERROR(INDEX(Liste_Materiel_Combinee!$F:$F,(_xlfn.AGGREGATE(15,6,(ROW(Liste_Materiel_Combinee!$G$2:$G$426)-1)/(Liste_Materiel_Combinee!$G$2:$G$426=1),322)+1)),""),0))</f>
        <v/>
      </c>
      <c r="D324" s="104" t="str">
        <f>IF($H$5="EFFACER","",IFERROR(INDEX(Liste_Materiel_Combinee!$E:$E,(_xlfn.AGGREGATE(15,6,(ROW(Liste_Materiel_Combinee!$G$2:$G$426)-1)/(Liste_Materiel_Combinee!$G$2:$G$426=1),322)+1)),""))</f>
        <v/>
      </c>
      <c r="E324" s="105">
        <f t="shared" si="5"/>
        <v>0</v>
      </c>
      <c r="F324" s="104" t="str">
        <f>IFERROR(INDEX(Catalogue!$K:$K,MATCH(A324,Catalogue!$A:$A,0)),"")</f>
        <v/>
      </c>
      <c r="G324" s="102"/>
      <c r="H324" s="7"/>
      <c r="I324" s="7"/>
    </row>
    <row r="325" spans="1:9" x14ac:dyDescent="0.25">
      <c r="A325" s="103" t="str">
        <f>IFERROR(INDEX(Liste_Materiel_Combinee!$B:$B,(_xlfn.AGGREGATE(15,6,(ROW(Liste_Materiel_Combinee!$G$2:$G$426)-1)/(Liste_Materiel_Combinee!$G$2:$G$426=1),323)+1)),"")</f>
        <v/>
      </c>
      <c r="B325" s="104" t="str">
        <f>IFERROR(INDEX(Liste_Materiel_Combinee!$C:$C,(_xlfn.AGGREGATE(15,6,(ROW(Liste_Materiel_Combinee!$G$2:$G$426)-1)/(Liste_Materiel_Combinee!$G$2:$G$426=1),323)+1)),"")</f>
        <v/>
      </c>
      <c r="C325" s="104" t="str">
        <f>IF(IFERROR(INDEX(Liste_Materiel_Combinee!$F:$F,(_xlfn.AGGREGATE(15,6,(ROW(Liste_Materiel_Combinee!$G$2:$G$426)-1)/(Liste_Materiel_Combinee!$G$2:$G$426=1),323)+1)),"")="","",ROUNDUP(IFERROR(INDEX(Liste_Materiel_Combinee!$F:$F,(_xlfn.AGGREGATE(15,6,(ROW(Liste_Materiel_Combinee!$G$2:$G$426)-1)/(Liste_Materiel_Combinee!$G$2:$G$426=1),323)+1)),""),0))</f>
        <v/>
      </c>
      <c r="D325" s="104" t="str">
        <f>IF($H$5="EFFACER","",IFERROR(INDEX(Liste_Materiel_Combinee!$E:$E,(_xlfn.AGGREGATE(15,6,(ROW(Liste_Materiel_Combinee!$G$2:$G$426)-1)/(Liste_Materiel_Combinee!$G$2:$G$426=1),323)+1)),""))</f>
        <v/>
      </c>
      <c r="E325" s="105">
        <f t="shared" si="5"/>
        <v>0</v>
      </c>
      <c r="F325" s="104" t="str">
        <f>IFERROR(INDEX(Catalogue!$K:$K,MATCH(A325,Catalogue!$A:$A,0)),"")</f>
        <v/>
      </c>
      <c r="G325" s="102"/>
      <c r="H325" s="7"/>
      <c r="I325" s="7"/>
    </row>
    <row r="326" spans="1:9" x14ac:dyDescent="0.25">
      <c r="A326" s="103" t="str">
        <f>IFERROR(INDEX(Liste_Materiel_Combinee!$B:$B,(_xlfn.AGGREGATE(15,6,(ROW(Liste_Materiel_Combinee!$G$2:$G$426)-1)/(Liste_Materiel_Combinee!$G$2:$G$426=1),324)+1)),"")</f>
        <v/>
      </c>
      <c r="B326" s="104" t="str">
        <f>IFERROR(INDEX(Liste_Materiel_Combinee!$C:$C,(_xlfn.AGGREGATE(15,6,(ROW(Liste_Materiel_Combinee!$G$2:$G$426)-1)/(Liste_Materiel_Combinee!$G$2:$G$426=1),324)+1)),"")</f>
        <v/>
      </c>
      <c r="C326" s="104" t="str">
        <f>IF(IFERROR(INDEX(Liste_Materiel_Combinee!$F:$F,(_xlfn.AGGREGATE(15,6,(ROW(Liste_Materiel_Combinee!$G$2:$G$426)-1)/(Liste_Materiel_Combinee!$G$2:$G$426=1),324)+1)),"")="","",ROUNDUP(IFERROR(INDEX(Liste_Materiel_Combinee!$F:$F,(_xlfn.AGGREGATE(15,6,(ROW(Liste_Materiel_Combinee!$G$2:$G$426)-1)/(Liste_Materiel_Combinee!$G$2:$G$426=1),324)+1)),""),0))</f>
        <v/>
      </c>
      <c r="D326" s="104" t="str">
        <f>IF($H$5="EFFACER","",IFERROR(INDEX(Liste_Materiel_Combinee!$E:$E,(_xlfn.AGGREGATE(15,6,(ROW(Liste_Materiel_Combinee!$G$2:$G$426)-1)/(Liste_Materiel_Combinee!$G$2:$G$426=1),324)+1)),""))</f>
        <v/>
      </c>
      <c r="E326" s="105">
        <f t="shared" si="5"/>
        <v>0</v>
      </c>
      <c r="F326" s="104" t="str">
        <f>IFERROR(INDEX(Catalogue!$K:$K,MATCH(A326,Catalogue!$A:$A,0)),"")</f>
        <v/>
      </c>
      <c r="G326" s="102"/>
      <c r="H326" s="7"/>
      <c r="I326" s="7"/>
    </row>
    <row r="327" spans="1:9" x14ac:dyDescent="0.25">
      <c r="A327" s="103" t="str">
        <f>IFERROR(INDEX(Liste_Materiel_Combinee!$B:$B,(_xlfn.AGGREGATE(15,6,(ROW(Liste_Materiel_Combinee!$G$2:$G$426)-1)/(Liste_Materiel_Combinee!$G$2:$G$426=1),325)+1)),"")</f>
        <v/>
      </c>
      <c r="B327" s="104" t="str">
        <f>IFERROR(INDEX(Liste_Materiel_Combinee!$C:$C,(_xlfn.AGGREGATE(15,6,(ROW(Liste_Materiel_Combinee!$G$2:$G$426)-1)/(Liste_Materiel_Combinee!$G$2:$G$426=1),325)+1)),"")</f>
        <v/>
      </c>
      <c r="C327" s="104" t="str">
        <f>IF(IFERROR(INDEX(Liste_Materiel_Combinee!$F:$F,(_xlfn.AGGREGATE(15,6,(ROW(Liste_Materiel_Combinee!$G$2:$G$426)-1)/(Liste_Materiel_Combinee!$G$2:$G$426=1),325)+1)),"")="","",ROUNDUP(IFERROR(INDEX(Liste_Materiel_Combinee!$F:$F,(_xlfn.AGGREGATE(15,6,(ROW(Liste_Materiel_Combinee!$G$2:$G$426)-1)/(Liste_Materiel_Combinee!$G$2:$G$426=1),325)+1)),""),0))</f>
        <v/>
      </c>
      <c r="D327" s="104" t="str">
        <f>IF($H$5="EFFACER","",IFERROR(INDEX(Liste_Materiel_Combinee!$E:$E,(_xlfn.AGGREGATE(15,6,(ROW(Liste_Materiel_Combinee!$G$2:$G$426)-1)/(Liste_Materiel_Combinee!$G$2:$G$426=1),325)+1)),""))</f>
        <v/>
      </c>
      <c r="E327" s="105">
        <f t="shared" si="5"/>
        <v>0</v>
      </c>
      <c r="F327" s="104" t="str">
        <f>IFERROR(INDEX(Catalogue!$K:$K,MATCH(A327,Catalogue!$A:$A,0)),"")</f>
        <v/>
      </c>
      <c r="G327" s="102"/>
      <c r="H327" s="7"/>
      <c r="I327" s="7"/>
    </row>
    <row r="328" spans="1:9" x14ac:dyDescent="0.25">
      <c r="A328" s="103" t="str">
        <f>IFERROR(INDEX(Liste_Materiel_Combinee!$B:$B,(_xlfn.AGGREGATE(15,6,(ROW(Liste_Materiel_Combinee!$G$2:$G$426)-1)/(Liste_Materiel_Combinee!$G$2:$G$426=1),326)+1)),"")</f>
        <v/>
      </c>
      <c r="B328" s="104" t="str">
        <f>IFERROR(INDEX(Liste_Materiel_Combinee!$C:$C,(_xlfn.AGGREGATE(15,6,(ROW(Liste_Materiel_Combinee!$G$2:$G$426)-1)/(Liste_Materiel_Combinee!$G$2:$G$426=1),326)+1)),"")</f>
        <v/>
      </c>
      <c r="C328" s="104" t="str">
        <f>IF(IFERROR(INDEX(Liste_Materiel_Combinee!$F:$F,(_xlfn.AGGREGATE(15,6,(ROW(Liste_Materiel_Combinee!$G$2:$G$426)-1)/(Liste_Materiel_Combinee!$G$2:$G$426=1),326)+1)),"")="","",ROUNDUP(IFERROR(INDEX(Liste_Materiel_Combinee!$F:$F,(_xlfn.AGGREGATE(15,6,(ROW(Liste_Materiel_Combinee!$G$2:$G$426)-1)/(Liste_Materiel_Combinee!$G$2:$G$426=1),326)+1)),""),0))</f>
        <v/>
      </c>
      <c r="D328" s="104" t="str">
        <f>IF($H$5="EFFACER","",IFERROR(INDEX(Liste_Materiel_Combinee!$E:$E,(_xlfn.AGGREGATE(15,6,(ROW(Liste_Materiel_Combinee!$G$2:$G$426)-1)/(Liste_Materiel_Combinee!$G$2:$G$426=1),326)+1)),""))</f>
        <v/>
      </c>
      <c r="E328" s="105">
        <f t="shared" si="5"/>
        <v>0</v>
      </c>
      <c r="F328" s="104" t="str">
        <f>IFERROR(INDEX(Catalogue!$K:$K,MATCH(A328,Catalogue!$A:$A,0)),"")</f>
        <v/>
      </c>
      <c r="G328" s="102"/>
      <c r="H328" s="7"/>
      <c r="I328" s="7"/>
    </row>
    <row r="329" spans="1:9" x14ac:dyDescent="0.25">
      <c r="A329" s="103" t="str">
        <f>IFERROR(INDEX(Liste_Materiel_Combinee!$B:$B,(_xlfn.AGGREGATE(15,6,(ROW(Liste_Materiel_Combinee!$G$2:$G$426)-1)/(Liste_Materiel_Combinee!$G$2:$G$426=1),327)+1)),"")</f>
        <v/>
      </c>
      <c r="B329" s="104" t="str">
        <f>IFERROR(INDEX(Liste_Materiel_Combinee!$C:$C,(_xlfn.AGGREGATE(15,6,(ROW(Liste_Materiel_Combinee!$G$2:$G$426)-1)/(Liste_Materiel_Combinee!$G$2:$G$426=1),327)+1)),"")</f>
        <v/>
      </c>
      <c r="C329" s="104" t="str">
        <f>IF(IFERROR(INDEX(Liste_Materiel_Combinee!$F:$F,(_xlfn.AGGREGATE(15,6,(ROW(Liste_Materiel_Combinee!$G$2:$G$426)-1)/(Liste_Materiel_Combinee!$G$2:$G$426=1),327)+1)),"")="","",ROUNDUP(IFERROR(INDEX(Liste_Materiel_Combinee!$F:$F,(_xlfn.AGGREGATE(15,6,(ROW(Liste_Materiel_Combinee!$G$2:$G$426)-1)/(Liste_Materiel_Combinee!$G$2:$G$426=1),327)+1)),""),0))</f>
        <v/>
      </c>
      <c r="D329" s="104" t="str">
        <f>IF($H$5="EFFACER","",IFERROR(INDEX(Liste_Materiel_Combinee!$E:$E,(_xlfn.AGGREGATE(15,6,(ROW(Liste_Materiel_Combinee!$G$2:$G$426)-1)/(Liste_Materiel_Combinee!$G$2:$G$426=1),327)+1)),""))</f>
        <v/>
      </c>
      <c r="E329" s="105">
        <f t="shared" si="5"/>
        <v>0</v>
      </c>
      <c r="F329" s="104" t="str">
        <f>IFERROR(INDEX(Catalogue!$K:$K,MATCH(A329,Catalogue!$A:$A,0)),"")</f>
        <v/>
      </c>
      <c r="G329" s="102"/>
      <c r="H329" s="7"/>
      <c r="I329" s="7"/>
    </row>
    <row r="330" spans="1:9" x14ac:dyDescent="0.25">
      <c r="A330" s="103" t="str">
        <f>IFERROR(INDEX(Liste_Materiel_Combinee!$B:$B,(_xlfn.AGGREGATE(15,6,(ROW(Liste_Materiel_Combinee!$G$2:$G$426)-1)/(Liste_Materiel_Combinee!$G$2:$G$426=1),328)+1)),"")</f>
        <v/>
      </c>
      <c r="B330" s="104" t="str">
        <f>IFERROR(INDEX(Liste_Materiel_Combinee!$C:$C,(_xlfn.AGGREGATE(15,6,(ROW(Liste_Materiel_Combinee!$G$2:$G$426)-1)/(Liste_Materiel_Combinee!$G$2:$G$426=1),328)+1)),"")</f>
        <v/>
      </c>
      <c r="C330" s="104" t="str">
        <f>IF(IFERROR(INDEX(Liste_Materiel_Combinee!$F:$F,(_xlfn.AGGREGATE(15,6,(ROW(Liste_Materiel_Combinee!$G$2:$G$426)-1)/(Liste_Materiel_Combinee!$G$2:$G$426=1),328)+1)),"")="","",ROUNDUP(IFERROR(INDEX(Liste_Materiel_Combinee!$F:$F,(_xlfn.AGGREGATE(15,6,(ROW(Liste_Materiel_Combinee!$G$2:$G$426)-1)/(Liste_Materiel_Combinee!$G$2:$G$426=1),328)+1)),""),0))</f>
        <v/>
      </c>
      <c r="D330" s="104" t="str">
        <f>IF($H$5="EFFACER","",IFERROR(INDEX(Liste_Materiel_Combinee!$E:$E,(_xlfn.AGGREGATE(15,6,(ROW(Liste_Materiel_Combinee!$G$2:$G$426)-1)/(Liste_Materiel_Combinee!$G$2:$G$426=1),328)+1)),""))</f>
        <v/>
      </c>
      <c r="E330" s="105">
        <f t="shared" si="5"/>
        <v>0</v>
      </c>
      <c r="F330" s="104" t="str">
        <f>IFERROR(INDEX(Catalogue!$K:$K,MATCH(A330,Catalogue!$A:$A,0)),"")</f>
        <v/>
      </c>
      <c r="G330" s="102"/>
      <c r="H330" s="7"/>
      <c r="I330" s="7"/>
    </row>
    <row r="331" spans="1:9" x14ac:dyDescent="0.25">
      <c r="A331" s="103" t="str">
        <f>IFERROR(INDEX(Liste_Materiel_Combinee!$B:$B,(_xlfn.AGGREGATE(15,6,(ROW(Liste_Materiel_Combinee!$G$2:$G$426)-1)/(Liste_Materiel_Combinee!$G$2:$G$426=1),329)+1)),"")</f>
        <v/>
      </c>
      <c r="B331" s="104" t="str">
        <f>IFERROR(INDEX(Liste_Materiel_Combinee!$C:$C,(_xlfn.AGGREGATE(15,6,(ROW(Liste_Materiel_Combinee!$G$2:$G$426)-1)/(Liste_Materiel_Combinee!$G$2:$G$426=1),329)+1)),"")</f>
        <v/>
      </c>
      <c r="C331" s="104" t="str">
        <f>IF(IFERROR(INDEX(Liste_Materiel_Combinee!$F:$F,(_xlfn.AGGREGATE(15,6,(ROW(Liste_Materiel_Combinee!$G$2:$G$426)-1)/(Liste_Materiel_Combinee!$G$2:$G$426=1),329)+1)),"")="","",ROUNDUP(IFERROR(INDEX(Liste_Materiel_Combinee!$F:$F,(_xlfn.AGGREGATE(15,6,(ROW(Liste_Materiel_Combinee!$G$2:$G$426)-1)/(Liste_Materiel_Combinee!$G$2:$G$426=1),329)+1)),""),0))</f>
        <v/>
      </c>
      <c r="D331" s="104" t="str">
        <f>IF($H$5="EFFACER","",IFERROR(INDEX(Liste_Materiel_Combinee!$E:$E,(_xlfn.AGGREGATE(15,6,(ROW(Liste_Materiel_Combinee!$G$2:$G$426)-1)/(Liste_Materiel_Combinee!$G$2:$G$426=1),329)+1)),""))</f>
        <v/>
      </c>
      <c r="E331" s="105">
        <f t="shared" si="5"/>
        <v>0</v>
      </c>
      <c r="F331" s="104" t="str">
        <f>IFERROR(INDEX(Catalogue!$K:$K,MATCH(A331,Catalogue!$A:$A,0)),"")</f>
        <v/>
      </c>
      <c r="G331" s="102"/>
      <c r="H331" s="7"/>
      <c r="I331" s="7"/>
    </row>
    <row r="332" spans="1:9" x14ac:dyDescent="0.25">
      <c r="A332" s="103" t="str">
        <f>IFERROR(INDEX(Liste_Materiel_Combinee!$B:$B,(_xlfn.AGGREGATE(15,6,(ROW(Liste_Materiel_Combinee!$G$2:$G$426)-1)/(Liste_Materiel_Combinee!$G$2:$G$426=1),330)+1)),"")</f>
        <v/>
      </c>
      <c r="B332" s="104" t="str">
        <f>IFERROR(INDEX(Liste_Materiel_Combinee!$C:$C,(_xlfn.AGGREGATE(15,6,(ROW(Liste_Materiel_Combinee!$G$2:$G$426)-1)/(Liste_Materiel_Combinee!$G$2:$G$426=1),330)+1)),"")</f>
        <v/>
      </c>
      <c r="C332" s="104" t="str">
        <f>IF(IFERROR(INDEX(Liste_Materiel_Combinee!$F:$F,(_xlfn.AGGREGATE(15,6,(ROW(Liste_Materiel_Combinee!$G$2:$G$426)-1)/(Liste_Materiel_Combinee!$G$2:$G$426=1),330)+1)),"")="","",ROUNDUP(IFERROR(INDEX(Liste_Materiel_Combinee!$F:$F,(_xlfn.AGGREGATE(15,6,(ROW(Liste_Materiel_Combinee!$G$2:$G$426)-1)/(Liste_Materiel_Combinee!$G$2:$G$426=1),330)+1)),""),0))</f>
        <v/>
      </c>
      <c r="D332" s="104" t="str">
        <f>IF($H$5="EFFACER","",IFERROR(INDEX(Liste_Materiel_Combinee!$E:$E,(_xlfn.AGGREGATE(15,6,(ROW(Liste_Materiel_Combinee!$G$2:$G$426)-1)/(Liste_Materiel_Combinee!$G$2:$G$426=1),330)+1)),""))</f>
        <v/>
      </c>
      <c r="E332" s="105">
        <f t="shared" si="5"/>
        <v>0</v>
      </c>
      <c r="F332" s="104" t="str">
        <f>IFERROR(INDEX(Catalogue!$K:$K,MATCH(A332,Catalogue!$A:$A,0)),"")</f>
        <v/>
      </c>
      <c r="G332" s="102"/>
      <c r="H332" s="7"/>
      <c r="I332" s="7"/>
    </row>
    <row r="333" spans="1:9" x14ac:dyDescent="0.25">
      <c r="A333" s="103" t="str">
        <f>IFERROR(INDEX(Liste_Materiel_Combinee!$B:$B,(_xlfn.AGGREGATE(15,6,(ROW(Liste_Materiel_Combinee!$G$2:$G$426)-1)/(Liste_Materiel_Combinee!$G$2:$G$426=1),331)+1)),"")</f>
        <v/>
      </c>
      <c r="B333" s="104" t="str">
        <f>IFERROR(INDEX(Liste_Materiel_Combinee!$C:$C,(_xlfn.AGGREGATE(15,6,(ROW(Liste_Materiel_Combinee!$G$2:$G$426)-1)/(Liste_Materiel_Combinee!$G$2:$G$426=1),331)+1)),"")</f>
        <v/>
      </c>
      <c r="C333" s="104" t="str">
        <f>IF(IFERROR(INDEX(Liste_Materiel_Combinee!$F:$F,(_xlfn.AGGREGATE(15,6,(ROW(Liste_Materiel_Combinee!$G$2:$G$426)-1)/(Liste_Materiel_Combinee!$G$2:$G$426=1),331)+1)),"")="","",ROUNDUP(IFERROR(INDEX(Liste_Materiel_Combinee!$F:$F,(_xlfn.AGGREGATE(15,6,(ROW(Liste_Materiel_Combinee!$G$2:$G$426)-1)/(Liste_Materiel_Combinee!$G$2:$G$426=1),331)+1)),""),0))</f>
        <v/>
      </c>
      <c r="D333" s="104" t="str">
        <f>IF($H$5="EFFACER","",IFERROR(INDEX(Liste_Materiel_Combinee!$E:$E,(_xlfn.AGGREGATE(15,6,(ROW(Liste_Materiel_Combinee!$G$2:$G$426)-1)/(Liste_Materiel_Combinee!$G$2:$G$426=1),331)+1)),""))</f>
        <v/>
      </c>
      <c r="E333" s="105">
        <f t="shared" si="5"/>
        <v>0</v>
      </c>
      <c r="F333" s="104" t="str">
        <f>IFERROR(INDEX(Catalogue!$K:$K,MATCH(A333,Catalogue!$A:$A,0)),"")</f>
        <v/>
      </c>
      <c r="G333" s="102"/>
      <c r="H333" s="7"/>
      <c r="I333" s="7"/>
    </row>
    <row r="334" spans="1:9" x14ac:dyDescent="0.25">
      <c r="A334" s="103" t="str">
        <f>IFERROR(INDEX(Liste_Materiel_Combinee!$B:$B,(_xlfn.AGGREGATE(15,6,(ROW(Liste_Materiel_Combinee!$G$2:$G$426)-1)/(Liste_Materiel_Combinee!$G$2:$G$426=1),332)+1)),"")</f>
        <v/>
      </c>
      <c r="B334" s="104" t="str">
        <f>IFERROR(INDEX(Liste_Materiel_Combinee!$C:$C,(_xlfn.AGGREGATE(15,6,(ROW(Liste_Materiel_Combinee!$G$2:$G$426)-1)/(Liste_Materiel_Combinee!$G$2:$G$426=1),332)+1)),"")</f>
        <v/>
      </c>
      <c r="C334" s="104" t="str">
        <f>IF(IFERROR(INDEX(Liste_Materiel_Combinee!$F:$F,(_xlfn.AGGREGATE(15,6,(ROW(Liste_Materiel_Combinee!$G$2:$G$426)-1)/(Liste_Materiel_Combinee!$G$2:$G$426=1),332)+1)),"")="","",ROUNDUP(IFERROR(INDEX(Liste_Materiel_Combinee!$F:$F,(_xlfn.AGGREGATE(15,6,(ROW(Liste_Materiel_Combinee!$G$2:$G$426)-1)/(Liste_Materiel_Combinee!$G$2:$G$426=1),332)+1)),""),0))</f>
        <v/>
      </c>
      <c r="D334" s="104" t="str">
        <f>IF($H$5="EFFACER","",IFERROR(INDEX(Liste_Materiel_Combinee!$E:$E,(_xlfn.AGGREGATE(15,6,(ROW(Liste_Materiel_Combinee!$G$2:$G$426)-1)/(Liste_Materiel_Combinee!$G$2:$G$426=1),332)+1)),""))</f>
        <v/>
      </c>
      <c r="E334" s="105">
        <f t="shared" si="5"/>
        <v>0</v>
      </c>
      <c r="F334" s="104" t="str">
        <f>IFERROR(INDEX(Catalogue!$K:$K,MATCH(A334,Catalogue!$A:$A,0)),"")</f>
        <v/>
      </c>
      <c r="G334" s="102"/>
      <c r="H334" s="7"/>
      <c r="I334" s="7"/>
    </row>
    <row r="335" spans="1:9" x14ac:dyDescent="0.25">
      <c r="A335" s="103" t="str">
        <f>IFERROR(INDEX(Liste_Materiel_Combinee!$B:$B,(_xlfn.AGGREGATE(15,6,(ROW(Liste_Materiel_Combinee!$G$2:$G$426)-1)/(Liste_Materiel_Combinee!$G$2:$G$426=1),333)+1)),"")</f>
        <v/>
      </c>
      <c r="B335" s="104" t="str">
        <f>IFERROR(INDEX(Liste_Materiel_Combinee!$C:$C,(_xlfn.AGGREGATE(15,6,(ROW(Liste_Materiel_Combinee!$G$2:$G$426)-1)/(Liste_Materiel_Combinee!$G$2:$G$426=1),333)+1)),"")</f>
        <v/>
      </c>
      <c r="C335" s="104" t="str">
        <f>IF(IFERROR(INDEX(Liste_Materiel_Combinee!$F:$F,(_xlfn.AGGREGATE(15,6,(ROW(Liste_Materiel_Combinee!$G$2:$G$426)-1)/(Liste_Materiel_Combinee!$G$2:$G$426=1),333)+1)),"")="","",ROUNDUP(IFERROR(INDEX(Liste_Materiel_Combinee!$F:$F,(_xlfn.AGGREGATE(15,6,(ROW(Liste_Materiel_Combinee!$G$2:$G$426)-1)/(Liste_Materiel_Combinee!$G$2:$G$426=1),333)+1)),""),0))</f>
        <v/>
      </c>
      <c r="D335" s="104" t="str">
        <f>IF($H$5="EFFACER","",IFERROR(INDEX(Liste_Materiel_Combinee!$E:$E,(_xlfn.AGGREGATE(15,6,(ROW(Liste_Materiel_Combinee!$G$2:$G$426)-1)/(Liste_Materiel_Combinee!$G$2:$G$426=1),333)+1)),""))</f>
        <v/>
      </c>
      <c r="E335" s="105">
        <f t="shared" si="5"/>
        <v>0</v>
      </c>
      <c r="F335" s="104" t="str">
        <f>IFERROR(INDEX(Catalogue!$K:$K,MATCH(A335,Catalogue!$A:$A,0)),"")</f>
        <v/>
      </c>
      <c r="G335" s="102"/>
      <c r="H335" s="7"/>
      <c r="I335" s="7"/>
    </row>
    <row r="336" spans="1:9" x14ac:dyDescent="0.25">
      <c r="A336" s="103" t="str">
        <f>IFERROR(INDEX(Liste_Materiel_Combinee!$B:$B,(_xlfn.AGGREGATE(15,6,(ROW(Liste_Materiel_Combinee!$G$2:$G$426)-1)/(Liste_Materiel_Combinee!$G$2:$G$426=1),334)+1)),"")</f>
        <v/>
      </c>
      <c r="B336" s="104" t="str">
        <f>IFERROR(INDEX(Liste_Materiel_Combinee!$C:$C,(_xlfn.AGGREGATE(15,6,(ROW(Liste_Materiel_Combinee!$G$2:$G$426)-1)/(Liste_Materiel_Combinee!$G$2:$G$426=1),334)+1)),"")</f>
        <v/>
      </c>
      <c r="C336" s="104" t="str">
        <f>IF(IFERROR(INDEX(Liste_Materiel_Combinee!$F:$F,(_xlfn.AGGREGATE(15,6,(ROW(Liste_Materiel_Combinee!$G$2:$G$426)-1)/(Liste_Materiel_Combinee!$G$2:$G$426=1),334)+1)),"")="","",ROUNDUP(IFERROR(INDEX(Liste_Materiel_Combinee!$F:$F,(_xlfn.AGGREGATE(15,6,(ROW(Liste_Materiel_Combinee!$G$2:$G$426)-1)/(Liste_Materiel_Combinee!$G$2:$G$426=1),334)+1)),""),0))</f>
        <v/>
      </c>
      <c r="D336" s="104" t="str">
        <f>IF($H$5="EFFACER","",IFERROR(INDEX(Liste_Materiel_Combinee!$E:$E,(_xlfn.AGGREGATE(15,6,(ROW(Liste_Materiel_Combinee!$G$2:$G$426)-1)/(Liste_Materiel_Combinee!$G$2:$G$426=1),334)+1)),""))</f>
        <v/>
      </c>
      <c r="E336" s="105">
        <f t="shared" si="5"/>
        <v>0</v>
      </c>
      <c r="F336" s="104" t="str">
        <f>IFERROR(INDEX(Catalogue!$K:$K,MATCH(A336,Catalogue!$A:$A,0)),"")</f>
        <v/>
      </c>
      <c r="G336" s="102"/>
      <c r="H336" s="7"/>
      <c r="I336" s="7"/>
    </row>
    <row r="337" spans="1:9" x14ac:dyDescent="0.25">
      <c r="A337" s="103" t="str">
        <f>IFERROR(INDEX(Liste_Materiel_Combinee!$B:$B,(_xlfn.AGGREGATE(15,6,(ROW(Liste_Materiel_Combinee!$G$2:$G$426)-1)/(Liste_Materiel_Combinee!$G$2:$G$426=1),335)+1)),"")</f>
        <v/>
      </c>
      <c r="B337" s="104" t="str">
        <f>IFERROR(INDEX(Liste_Materiel_Combinee!$C:$C,(_xlfn.AGGREGATE(15,6,(ROW(Liste_Materiel_Combinee!$G$2:$G$426)-1)/(Liste_Materiel_Combinee!$G$2:$G$426=1),335)+1)),"")</f>
        <v/>
      </c>
      <c r="C337" s="104" t="str">
        <f>IF(IFERROR(INDEX(Liste_Materiel_Combinee!$F:$F,(_xlfn.AGGREGATE(15,6,(ROW(Liste_Materiel_Combinee!$G$2:$G$426)-1)/(Liste_Materiel_Combinee!$G$2:$G$426=1),335)+1)),"")="","",ROUNDUP(IFERROR(INDEX(Liste_Materiel_Combinee!$F:$F,(_xlfn.AGGREGATE(15,6,(ROW(Liste_Materiel_Combinee!$G$2:$G$426)-1)/(Liste_Materiel_Combinee!$G$2:$G$426=1),335)+1)),""),0))</f>
        <v/>
      </c>
      <c r="D337" s="104" t="str">
        <f>IF($H$5="EFFACER","",IFERROR(INDEX(Liste_Materiel_Combinee!$E:$E,(_xlfn.AGGREGATE(15,6,(ROW(Liste_Materiel_Combinee!$G$2:$G$426)-1)/(Liste_Materiel_Combinee!$G$2:$G$426=1),335)+1)),""))</f>
        <v/>
      </c>
      <c r="E337" s="105">
        <f t="shared" si="5"/>
        <v>0</v>
      </c>
      <c r="F337" s="104" t="str">
        <f>IFERROR(INDEX(Catalogue!$K:$K,MATCH(A337,Catalogue!$A:$A,0)),"")</f>
        <v/>
      </c>
      <c r="G337" s="102"/>
      <c r="H337" s="7"/>
      <c r="I337" s="7"/>
    </row>
    <row r="338" spans="1:9" x14ac:dyDescent="0.25">
      <c r="A338" s="103" t="str">
        <f>IFERROR(INDEX(Liste_Materiel_Combinee!$B:$B,(_xlfn.AGGREGATE(15,6,(ROW(Liste_Materiel_Combinee!$G$2:$G$426)-1)/(Liste_Materiel_Combinee!$G$2:$G$426=1),336)+1)),"")</f>
        <v/>
      </c>
      <c r="B338" s="104" t="str">
        <f>IFERROR(INDEX(Liste_Materiel_Combinee!$C:$C,(_xlfn.AGGREGATE(15,6,(ROW(Liste_Materiel_Combinee!$G$2:$G$426)-1)/(Liste_Materiel_Combinee!$G$2:$G$426=1),336)+1)),"")</f>
        <v/>
      </c>
      <c r="C338" s="104" t="str">
        <f>IF(IFERROR(INDEX(Liste_Materiel_Combinee!$F:$F,(_xlfn.AGGREGATE(15,6,(ROW(Liste_Materiel_Combinee!$G$2:$G$426)-1)/(Liste_Materiel_Combinee!$G$2:$G$426=1),336)+1)),"")="","",ROUNDUP(IFERROR(INDEX(Liste_Materiel_Combinee!$F:$F,(_xlfn.AGGREGATE(15,6,(ROW(Liste_Materiel_Combinee!$G$2:$G$426)-1)/(Liste_Materiel_Combinee!$G$2:$G$426=1),336)+1)),""),0))</f>
        <v/>
      </c>
      <c r="D338" s="104" t="str">
        <f>IF($H$5="EFFACER","",IFERROR(INDEX(Liste_Materiel_Combinee!$E:$E,(_xlfn.AGGREGATE(15,6,(ROW(Liste_Materiel_Combinee!$G$2:$G$426)-1)/(Liste_Materiel_Combinee!$G$2:$G$426=1),336)+1)),""))</f>
        <v/>
      </c>
      <c r="E338" s="105">
        <f t="shared" si="5"/>
        <v>0</v>
      </c>
      <c r="F338" s="104" t="str">
        <f>IFERROR(INDEX(Catalogue!$K:$K,MATCH(A338,Catalogue!$A:$A,0)),"")</f>
        <v/>
      </c>
      <c r="G338" s="102"/>
      <c r="H338" s="7"/>
      <c r="I338" s="7"/>
    </row>
    <row r="339" spans="1:9" x14ac:dyDescent="0.25">
      <c r="A339" s="103" t="str">
        <f>IFERROR(INDEX(Liste_Materiel_Combinee!$B:$B,(_xlfn.AGGREGATE(15,6,(ROW(Liste_Materiel_Combinee!$G$2:$G$426)-1)/(Liste_Materiel_Combinee!$G$2:$G$426=1),337)+1)),"")</f>
        <v/>
      </c>
      <c r="B339" s="104" t="str">
        <f>IFERROR(INDEX(Liste_Materiel_Combinee!$C:$C,(_xlfn.AGGREGATE(15,6,(ROW(Liste_Materiel_Combinee!$G$2:$G$426)-1)/(Liste_Materiel_Combinee!$G$2:$G$426=1),337)+1)),"")</f>
        <v/>
      </c>
      <c r="C339" s="104" t="str">
        <f>IF(IFERROR(INDEX(Liste_Materiel_Combinee!$F:$F,(_xlfn.AGGREGATE(15,6,(ROW(Liste_Materiel_Combinee!$G$2:$G$426)-1)/(Liste_Materiel_Combinee!$G$2:$G$426=1),337)+1)),"")="","",ROUNDUP(IFERROR(INDEX(Liste_Materiel_Combinee!$F:$F,(_xlfn.AGGREGATE(15,6,(ROW(Liste_Materiel_Combinee!$G$2:$G$426)-1)/(Liste_Materiel_Combinee!$G$2:$G$426=1),337)+1)),""),0))</f>
        <v/>
      </c>
      <c r="D339" s="104" t="str">
        <f>IF($H$5="EFFACER","",IFERROR(INDEX(Liste_Materiel_Combinee!$E:$E,(_xlfn.AGGREGATE(15,6,(ROW(Liste_Materiel_Combinee!$G$2:$G$426)-1)/(Liste_Materiel_Combinee!$G$2:$G$426=1),337)+1)),""))</f>
        <v/>
      </c>
      <c r="E339" s="105">
        <f t="shared" si="5"/>
        <v>0</v>
      </c>
      <c r="F339" s="104" t="str">
        <f>IFERROR(INDEX(Catalogue!$K:$K,MATCH(A339,Catalogue!$A:$A,0)),"")</f>
        <v/>
      </c>
      <c r="G339" s="102"/>
      <c r="H339" s="7"/>
      <c r="I339" s="7"/>
    </row>
    <row r="340" spans="1:9" x14ac:dyDescent="0.25">
      <c r="A340" s="103" t="str">
        <f>IFERROR(INDEX(Liste_Materiel_Combinee!$B:$B,(_xlfn.AGGREGATE(15,6,(ROW(Liste_Materiel_Combinee!$G$2:$G$426)-1)/(Liste_Materiel_Combinee!$G$2:$G$426=1),338)+1)),"")</f>
        <v/>
      </c>
      <c r="B340" s="104" t="str">
        <f>IFERROR(INDEX(Liste_Materiel_Combinee!$C:$C,(_xlfn.AGGREGATE(15,6,(ROW(Liste_Materiel_Combinee!$G$2:$G$426)-1)/(Liste_Materiel_Combinee!$G$2:$G$426=1),338)+1)),"")</f>
        <v/>
      </c>
      <c r="C340" s="104" t="str">
        <f>IF(IFERROR(INDEX(Liste_Materiel_Combinee!$F:$F,(_xlfn.AGGREGATE(15,6,(ROW(Liste_Materiel_Combinee!$G$2:$G$426)-1)/(Liste_Materiel_Combinee!$G$2:$G$426=1),338)+1)),"")="","",ROUNDUP(IFERROR(INDEX(Liste_Materiel_Combinee!$F:$F,(_xlfn.AGGREGATE(15,6,(ROW(Liste_Materiel_Combinee!$G$2:$G$426)-1)/(Liste_Materiel_Combinee!$G$2:$G$426=1),338)+1)),""),0))</f>
        <v/>
      </c>
      <c r="D340" s="104" t="str">
        <f>IF($H$5="EFFACER","",IFERROR(INDEX(Liste_Materiel_Combinee!$E:$E,(_xlfn.AGGREGATE(15,6,(ROW(Liste_Materiel_Combinee!$G$2:$G$426)-1)/(Liste_Materiel_Combinee!$G$2:$G$426=1),338)+1)),""))</f>
        <v/>
      </c>
      <c r="E340" s="105">
        <f t="shared" si="5"/>
        <v>0</v>
      </c>
      <c r="F340" s="104" t="str">
        <f>IFERROR(INDEX(Catalogue!$K:$K,MATCH(A340,Catalogue!$A:$A,0)),"")</f>
        <v/>
      </c>
      <c r="G340" s="102"/>
      <c r="H340" s="7"/>
      <c r="I340" s="7"/>
    </row>
    <row r="341" spans="1:9" x14ac:dyDescent="0.25">
      <c r="A341" s="103" t="str">
        <f>IFERROR(INDEX(Liste_Materiel_Combinee!$B:$B,(_xlfn.AGGREGATE(15,6,(ROW(Liste_Materiel_Combinee!$G$2:$G$426)-1)/(Liste_Materiel_Combinee!$G$2:$G$426=1),339)+1)),"")</f>
        <v/>
      </c>
      <c r="B341" s="104" t="str">
        <f>IFERROR(INDEX(Liste_Materiel_Combinee!$C:$C,(_xlfn.AGGREGATE(15,6,(ROW(Liste_Materiel_Combinee!$G$2:$G$426)-1)/(Liste_Materiel_Combinee!$G$2:$G$426=1),339)+1)),"")</f>
        <v/>
      </c>
      <c r="C341" s="104" t="str">
        <f>IF(IFERROR(INDEX(Liste_Materiel_Combinee!$F:$F,(_xlfn.AGGREGATE(15,6,(ROW(Liste_Materiel_Combinee!$G$2:$G$426)-1)/(Liste_Materiel_Combinee!$G$2:$G$426=1),339)+1)),"")="","",ROUNDUP(IFERROR(INDEX(Liste_Materiel_Combinee!$F:$F,(_xlfn.AGGREGATE(15,6,(ROW(Liste_Materiel_Combinee!$G$2:$G$426)-1)/(Liste_Materiel_Combinee!$G$2:$G$426=1),339)+1)),""),0))</f>
        <v/>
      </c>
      <c r="D341" s="104" t="str">
        <f>IF($H$5="EFFACER","",IFERROR(INDEX(Liste_Materiel_Combinee!$E:$E,(_xlfn.AGGREGATE(15,6,(ROW(Liste_Materiel_Combinee!$G$2:$G$426)-1)/(Liste_Materiel_Combinee!$G$2:$G$426=1),339)+1)),""))</f>
        <v/>
      </c>
      <c r="E341" s="105">
        <f t="shared" si="5"/>
        <v>0</v>
      </c>
      <c r="F341" s="104" t="str">
        <f>IFERROR(INDEX(Catalogue!$K:$K,MATCH(A341,Catalogue!$A:$A,0)),"")</f>
        <v/>
      </c>
      <c r="G341" s="102"/>
      <c r="H341" s="7"/>
      <c r="I341" s="7"/>
    </row>
    <row r="342" spans="1:9" x14ac:dyDescent="0.25">
      <c r="A342" s="103" t="str">
        <f>IFERROR(INDEX(Liste_Materiel_Combinee!$B:$B,(_xlfn.AGGREGATE(15,6,(ROW(Liste_Materiel_Combinee!$G$2:$G$426)-1)/(Liste_Materiel_Combinee!$G$2:$G$426=1),340)+1)),"")</f>
        <v/>
      </c>
      <c r="B342" s="104" t="str">
        <f>IFERROR(INDEX(Liste_Materiel_Combinee!$C:$C,(_xlfn.AGGREGATE(15,6,(ROW(Liste_Materiel_Combinee!$G$2:$G$426)-1)/(Liste_Materiel_Combinee!$G$2:$G$426=1),340)+1)),"")</f>
        <v/>
      </c>
      <c r="C342" s="104" t="str">
        <f>IF(IFERROR(INDEX(Liste_Materiel_Combinee!$F:$F,(_xlfn.AGGREGATE(15,6,(ROW(Liste_Materiel_Combinee!$G$2:$G$426)-1)/(Liste_Materiel_Combinee!$G$2:$G$426=1),340)+1)),"")="","",ROUNDUP(IFERROR(INDEX(Liste_Materiel_Combinee!$F:$F,(_xlfn.AGGREGATE(15,6,(ROW(Liste_Materiel_Combinee!$G$2:$G$426)-1)/(Liste_Materiel_Combinee!$G$2:$G$426=1),340)+1)),""),0))</f>
        <v/>
      </c>
      <c r="D342" s="104" t="str">
        <f>IF($H$5="EFFACER","",IFERROR(INDEX(Liste_Materiel_Combinee!$E:$E,(_xlfn.AGGREGATE(15,6,(ROW(Liste_Materiel_Combinee!$G$2:$G$426)-1)/(Liste_Materiel_Combinee!$G$2:$G$426=1),340)+1)),""))</f>
        <v/>
      </c>
      <c r="E342" s="105">
        <f t="shared" si="5"/>
        <v>0</v>
      </c>
      <c r="F342" s="104" t="str">
        <f>IFERROR(INDEX(Catalogue!$K:$K,MATCH(A342,Catalogue!$A:$A,0)),"")</f>
        <v/>
      </c>
      <c r="G342" s="102"/>
      <c r="H342" s="7"/>
      <c r="I342" s="7"/>
    </row>
    <row r="343" spans="1:9" x14ac:dyDescent="0.25">
      <c r="A343" s="103" t="str">
        <f>IFERROR(INDEX(Liste_Materiel_Combinee!$B:$B,(_xlfn.AGGREGATE(15,6,(ROW(Liste_Materiel_Combinee!$G$2:$G$426)-1)/(Liste_Materiel_Combinee!$G$2:$G$426=1),341)+1)),"")</f>
        <v/>
      </c>
      <c r="B343" s="104" t="str">
        <f>IFERROR(INDEX(Liste_Materiel_Combinee!$C:$C,(_xlfn.AGGREGATE(15,6,(ROW(Liste_Materiel_Combinee!$G$2:$G$426)-1)/(Liste_Materiel_Combinee!$G$2:$G$426=1),341)+1)),"")</f>
        <v/>
      </c>
      <c r="C343" s="104" t="str">
        <f>IF(IFERROR(INDEX(Liste_Materiel_Combinee!$F:$F,(_xlfn.AGGREGATE(15,6,(ROW(Liste_Materiel_Combinee!$G$2:$G$426)-1)/(Liste_Materiel_Combinee!$G$2:$G$426=1),341)+1)),"")="","",ROUNDUP(IFERROR(INDEX(Liste_Materiel_Combinee!$F:$F,(_xlfn.AGGREGATE(15,6,(ROW(Liste_Materiel_Combinee!$G$2:$G$426)-1)/(Liste_Materiel_Combinee!$G$2:$G$426=1),341)+1)),""),0))</f>
        <v/>
      </c>
      <c r="D343" s="104" t="str">
        <f>IF($H$5="EFFACER","",IFERROR(INDEX(Liste_Materiel_Combinee!$E:$E,(_xlfn.AGGREGATE(15,6,(ROW(Liste_Materiel_Combinee!$G$2:$G$426)-1)/(Liste_Materiel_Combinee!$G$2:$G$426=1),341)+1)),""))</f>
        <v/>
      </c>
      <c r="E343" s="105">
        <f t="shared" si="5"/>
        <v>0</v>
      </c>
      <c r="F343" s="104" t="str">
        <f>IFERROR(INDEX(Catalogue!$K:$K,MATCH(A343,Catalogue!$A:$A,0)),"")</f>
        <v/>
      </c>
      <c r="G343" s="102"/>
      <c r="H343" s="7"/>
      <c r="I343" s="7"/>
    </row>
    <row r="344" spans="1:9" x14ac:dyDescent="0.25">
      <c r="A344" s="103" t="str">
        <f>IFERROR(INDEX(Liste_Materiel_Combinee!$B:$B,(_xlfn.AGGREGATE(15,6,(ROW(Liste_Materiel_Combinee!$G$2:$G$426)-1)/(Liste_Materiel_Combinee!$G$2:$G$426=1),342)+1)),"")</f>
        <v/>
      </c>
      <c r="B344" s="104" t="str">
        <f>IFERROR(INDEX(Liste_Materiel_Combinee!$C:$C,(_xlfn.AGGREGATE(15,6,(ROW(Liste_Materiel_Combinee!$G$2:$G$426)-1)/(Liste_Materiel_Combinee!$G$2:$G$426=1),342)+1)),"")</f>
        <v/>
      </c>
      <c r="C344" s="104" t="str">
        <f>IF(IFERROR(INDEX(Liste_Materiel_Combinee!$F:$F,(_xlfn.AGGREGATE(15,6,(ROW(Liste_Materiel_Combinee!$G$2:$G$426)-1)/(Liste_Materiel_Combinee!$G$2:$G$426=1),342)+1)),"")="","",ROUNDUP(IFERROR(INDEX(Liste_Materiel_Combinee!$F:$F,(_xlfn.AGGREGATE(15,6,(ROW(Liste_Materiel_Combinee!$G$2:$G$426)-1)/(Liste_Materiel_Combinee!$G$2:$G$426=1),342)+1)),""),0))</f>
        <v/>
      </c>
      <c r="D344" s="104" t="str">
        <f>IF($H$5="EFFACER","",IFERROR(INDEX(Liste_Materiel_Combinee!$E:$E,(_xlfn.AGGREGATE(15,6,(ROW(Liste_Materiel_Combinee!$G$2:$G$426)-1)/(Liste_Materiel_Combinee!$G$2:$G$426=1),342)+1)),""))</f>
        <v/>
      </c>
      <c r="E344" s="105">
        <f t="shared" si="5"/>
        <v>0</v>
      </c>
      <c r="F344" s="104" t="str">
        <f>IFERROR(INDEX(Catalogue!$K:$K,MATCH(A344,Catalogue!$A:$A,0)),"")</f>
        <v/>
      </c>
      <c r="G344" s="102"/>
      <c r="H344" s="7"/>
      <c r="I344" s="7"/>
    </row>
    <row r="345" spans="1:9" x14ac:dyDescent="0.25">
      <c r="A345" s="103" t="str">
        <f>IFERROR(INDEX(Liste_Materiel_Combinee!$B:$B,(_xlfn.AGGREGATE(15,6,(ROW(Liste_Materiel_Combinee!$G$2:$G$426)-1)/(Liste_Materiel_Combinee!$G$2:$G$426=1),343)+1)),"")</f>
        <v/>
      </c>
      <c r="B345" s="104" t="str">
        <f>IFERROR(INDEX(Liste_Materiel_Combinee!$C:$C,(_xlfn.AGGREGATE(15,6,(ROW(Liste_Materiel_Combinee!$G$2:$G$426)-1)/(Liste_Materiel_Combinee!$G$2:$G$426=1),343)+1)),"")</f>
        <v/>
      </c>
      <c r="C345" s="104" t="str">
        <f>IF(IFERROR(INDEX(Liste_Materiel_Combinee!$F:$F,(_xlfn.AGGREGATE(15,6,(ROW(Liste_Materiel_Combinee!$G$2:$G$426)-1)/(Liste_Materiel_Combinee!$G$2:$G$426=1),343)+1)),"")="","",ROUNDUP(IFERROR(INDEX(Liste_Materiel_Combinee!$F:$F,(_xlfn.AGGREGATE(15,6,(ROW(Liste_Materiel_Combinee!$G$2:$G$426)-1)/(Liste_Materiel_Combinee!$G$2:$G$426=1),343)+1)),""),0))</f>
        <v/>
      </c>
      <c r="D345" s="104" t="str">
        <f>IF($H$5="EFFACER","",IFERROR(INDEX(Liste_Materiel_Combinee!$E:$E,(_xlfn.AGGREGATE(15,6,(ROW(Liste_Materiel_Combinee!$G$2:$G$426)-1)/(Liste_Materiel_Combinee!$G$2:$G$426=1),343)+1)),""))</f>
        <v/>
      </c>
      <c r="E345" s="105">
        <f t="shared" si="5"/>
        <v>0</v>
      </c>
      <c r="F345" s="104" t="str">
        <f>IFERROR(INDEX(Catalogue!$K:$K,MATCH(A345,Catalogue!$A:$A,0)),"")</f>
        <v/>
      </c>
      <c r="G345" s="102"/>
      <c r="H345" s="7"/>
      <c r="I345" s="7"/>
    </row>
    <row r="346" spans="1:9" x14ac:dyDescent="0.25">
      <c r="A346" s="103" t="str">
        <f>IFERROR(INDEX(Liste_Materiel_Combinee!$B:$B,(_xlfn.AGGREGATE(15,6,(ROW(Liste_Materiel_Combinee!$G$2:$G$426)-1)/(Liste_Materiel_Combinee!$G$2:$G$426=1),344)+1)),"")</f>
        <v/>
      </c>
      <c r="B346" s="104" t="str">
        <f>IFERROR(INDEX(Liste_Materiel_Combinee!$C:$C,(_xlfn.AGGREGATE(15,6,(ROW(Liste_Materiel_Combinee!$G$2:$G$426)-1)/(Liste_Materiel_Combinee!$G$2:$G$426=1),344)+1)),"")</f>
        <v/>
      </c>
      <c r="C346" s="104" t="str">
        <f>IF(IFERROR(INDEX(Liste_Materiel_Combinee!$F:$F,(_xlfn.AGGREGATE(15,6,(ROW(Liste_Materiel_Combinee!$G$2:$G$426)-1)/(Liste_Materiel_Combinee!$G$2:$G$426=1),344)+1)),"")="","",ROUNDUP(IFERROR(INDEX(Liste_Materiel_Combinee!$F:$F,(_xlfn.AGGREGATE(15,6,(ROW(Liste_Materiel_Combinee!$G$2:$G$426)-1)/(Liste_Materiel_Combinee!$G$2:$G$426=1),344)+1)),""),0))</f>
        <v/>
      </c>
      <c r="D346" s="104" t="str">
        <f>IF($H$5="EFFACER","",IFERROR(INDEX(Liste_Materiel_Combinee!$E:$E,(_xlfn.AGGREGATE(15,6,(ROW(Liste_Materiel_Combinee!$G$2:$G$426)-1)/(Liste_Materiel_Combinee!$G$2:$G$426=1),344)+1)),""))</f>
        <v/>
      </c>
      <c r="E346" s="105">
        <f t="shared" si="5"/>
        <v>0</v>
      </c>
      <c r="F346" s="104" t="str">
        <f>IFERROR(INDEX(Catalogue!$K:$K,MATCH(A346,Catalogue!$A:$A,0)),"")</f>
        <v/>
      </c>
      <c r="G346" s="102"/>
      <c r="H346" s="7"/>
      <c r="I346" s="7"/>
    </row>
    <row r="347" spans="1:9" x14ac:dyDescent="0.25">
      <c r="A347" s="103" t="str">
        <f>IFERROR(INDEX(Liste_Materiel_Combinee!$B:$B,(_xlfn.AGGREGATE(15,6,(ROW(Liste_Materiel_Combinee!$G$2:$G$426)-1)/(Liste_Materiel_Combinee!$G$2:$G$426=1),345)+1)),"")</f>
        <v/>
      </c>
      <c r="B347" s="104" t="str">
        <f>IFERROR(INDEX(Liste_Materiel_Combinee!$C:$C,(_xlfn.AGGREGATE(15,6,(ROW(Liste_Materiel_Combinee!$G$2:$G$426)-1)/(Liste_Materiel_Combinee!$G$2:$G$426=1),345)+1)),"")</f>
        <v/>
      </c>
      <c r="C347" s="104" t="str">
        <f>IF(IFERROR(INDEX(Liste_Materiel_Combinee!$F:$F,(_xlfn.AGGREGATE(15,6,(ROW(Liste_Materiel_Combinee!$G$2:$G$426)-1)/(Liste_Materiel_Combinee!$G$2:$G$426=1),345)+1)),"")="","",ROUNDUP(IFERROR(INDEX(Liste_Materiel_Combinee!$F:$F,(_xlfn.AGGREGATE(15,6,(ROW(Liste_Materiel_Combinee!$G$2:$G$426)-1)/(Liste_Materiel_Combinee!$G$2:$G$426=1),345)+1)),""),0))</f>
        <v/>
      </c>
      <c r="D347" s="104" t="str">
        <f>IF($H$5="EFFACER","",IFERROR(INDEX(Liste_Materiel_Combinee!$E:$E,(_xlfn.AGGREGATE(15,6,(ROW(Liste_Materiel_Combinee!$G$2:$G$426)-1)/(Liste_Materiel_Combinee!$G$2:$G$426=1),345)+1)),""))</f>
        <v/>
      </c>
      <c r="E347" s="105">
        <f t="shared" si="5"/>
        <v>0</v>
      </c>
      <c r="F347" s="104" t="str">
        <f>IFERROR(INDEX(Catalogue!$K:$K,MATCH(A347,Catalogue!$A:$A,0)),"")</f>
        <v/>
      </c>
      <c r="G347" s="102"/>
      <c r="H347" s="7"/>
      <c r="I347" s="7"/>
    </row>
    <row r="348" spans="1:9" x14ac:dyDescent="0.25">
      <c r="A348" s="103" t="str">
        <f>IFERROR(INDEX(Liste_Materiel_Combinee!$B:$B,(_xlfn.AGGREGATE(15,6,(ROW(Liste_Materiel_Combinee!$G$2:$G$426)-1)/(Liste_Materiel_Combinee!$G$2:$G$426=1),346)+1)),"")</f>
        <v/>
      </c>
      <c r="B348" s="104" t="str">
        <f>IFERROR(INDEX(Liste_Materiel_Combinee!$C:$C,(_xlfn.AGGREGATE(15,6,(ROW(Liste_Materiel_Combinee!$G$2:$G$426)-1)/(Liste_Materiel_Combinee!$G$2:$G$426=1),346)+1)),"")</f>
        <v/>
      </c>
      <c r="C348" s="104" t="str">
        <f>IF(IFERROR(INDEX(Liste_Materiel_Combinee!$F:$F,(_xlfn.AGGREGATE(15,6,(ROW(Liste_Materiel_Combinee!$G$2:$G$426)-1)/(Liste_Materiel_Combinee!$G$2:$G$426=1),346)+1)),"")="","",ROUNDUP(IFERROR(INDEX(Liste_Materiel_Combinee!$F:$F,(_xlfn.AGGREGATE(15,6,(ROW(Liste_Materiel_Combinee!$G$2:$G$426)-1)/(Liste_Materiel_Combinee!$G$2:$G$426=1),346)+1)),""),0))</f>
        <v/>
      </c>
      <c r="D348" s="104" t="str">
        <f>IF($H$5="EFFACER","",IFERROR(INDEX(Liste_Materiel_Combinee!$E:$E,(_xlfn.AGGREGATE(15,6,(ROW(Liste_Materiel_Combinee!$G$2:$G$426)-1)/(Liste_Materiel_Combinee!$G$2:$G$426=1),346)+1)),""))</f>
        <v/>
      </c>
      <c r="E348" s="105">
        <f t="shared" si="5"/>
        <v>0</v>
      </c>
      <c r="F348" s="104" t="str">
        <f>IFERROR(INDEX(Catalogue!$K:$K,MATCH(A348,Catalogue!$A:$A,0)),"")</f>
        <v/>
      </c>
      <c r="G348" s="102"/>
      <c r="H348" s="7"/>
      <c r="I348" s="7"/>
    </row>
    <row r="349" spans="1:9" x14ac:dyDescent="0.25">
      <c r="A349" s="103" t="str">
        <f>IFERROR(INDEX(Liste_Materiel_Combinee!$B:$B,(_xlfn.AGGREGATE(15,6,(ROW(Liste_Materiel_Combinee!$G$2:$G$426)-1)/(Liste_Materiel_Combinee!$G$2:$G$426=1),347)+1)),"")</f>
        <v/>
      </c>
      <c r="B349" s="104" t="str">
        <f>IFERROR(INDEX(Liste_Materiel_Combinee!$C:$C,(_xlfn.AGGREGATE(15,6,(ROW(Liste_Materiel_Combinee!$G$2:$G$426)-1)/(Liste_Materiel_Combinee!$G$2:$G$426=1),347)+1)),"")</f>
        <v/>
      </c>
      <c r="C349" s="104" t="str">
        <f>IF(IFERROR(INDEX(Liste_Materiel_Combinee!$F:$F,(_xlfn.AGGREGATE(15,6,(ROW(Liste_Materiel_Combinee!$G$2:$G$426)-1)/(Liste_Materiel_Combinee!$G$2:$G$426=1),347)+1)),"")="","",ROUNDUP(IFERROR(INDEX(Liste_Materiel_Combinee!$F:$F,(_xlfn.AGGREGATE(15,6,(ROW(Liste_Materiel_Combinee!$G$2:$G$426)-1)/(Liste_Materiel_Combinee!$G$2:$G$426=1),347)+1)),""),0))</f>
        <v/>
      </c>
      <c r="D349" s="104" t="str">
        <f>IF($H$5="EFFACER","",IFERROR(INDEX(Liste_Materiel_Combinee!$E:$E,(_xlfn.AGGREGATE(15,6,(ROW(Liste_Materiel_Combinee!$G$2:$G$426)-1)/(Liste_Materiel_Combinee!$G$2:$G$426=1),347)+1)),""))</f>
        <v/>
      </c>
      <c r="E349" s="105">
        <f t="shared" si="5"/>
        <v>0</v>
      </c>
      <c r="F349" s="104" t="str">
        <f>IFERROR(INDEX(Catalogue!$K:$K,MATCH(A349,Catalogue!$A:$A,0)),"")</f>
        <v/>
      </c>
      <c r="G349" s="102"/>
      <c r="H349" s="7"/>
      <c r="I349" s="7"/>
    </row>
    <row r="350" spans="1:9" x14ac:dyDescent="0.25">
      <c r="A350" s="103" t="str">
        <f>IFERROR(INDEX(Liste_Materiel_Combinee!$B:$B,(_xlfn.AGGREGATE(15,6,(ROW(Liste_Materiel_Combinee!$G$2:$G$426)-1)/(Liste_Materiel_Combinee!$G$2:$G$426=1),348)+1)),"")</f>
        <v/>
      </c>
      <c r="B350" s="104" t="str">
        <f>IFERROR(INDEX(Liste_Materiel_Combinee!$C:$C,(_xlfn.AGGREGATE(15,6,(ROW(Liste_Materiel_Combinee!$G$2:$G$426)-1)/(Liste_Materiel_Combinee!$G$2:$G$426=1),348)+1)),"")</f>
        <v/>
      </c>
      <c r="C350" s="104" t="str">
        <f>IF(IFERROR(INDEX(Liste_Materiel_Combinee!$F:$F,(_xlfn.AGGREGATE(15,6,(ROW(Liste_Materiel_Combinee!$G$2:$G$426)-1)/(Liste_Materiel_Combinee!$G$2:$G$426=1),348)+1)),"")="","",ROUNDUP(IFERROR(INDEX(Liste_Materiel_Combinee!$F:$F,(_xlfn.AGGREGATE(15,6,(ROW(Liste_Materiel_Combinee!$G$2:$G$426)-1)/(Liste_Materiel_Combinee!$G$2:$G$426=1),348)+1)),""),0))</f>
        <v/>
      </c>
      <c r="D350" s="104" t="str">
        <f>IF($H$5="EFFACER","",IFERROR(INDEX(Liste_Materiel_Combinee!$E:$E,(_xlfn.AGGREGATE(15,6,(ROW(Liste_Materiel_Combinee!$G$2:$G$426)-1)/(Liste_Materiel_Combinee!$G$2:$G$426=1),348)+1)),""))</f>
        <v/>
      </c>
      <c r="E350" s="105">
        <f t="shared" si="5"/>
        <v>0</v>
      </c>
      <c r="F350" s="104" t="str">
        <f>IFERROR(INDEX(Catalogue!$K:$K,MATCH(A350,Catalogue!$A:$A,0)),"")</f>
        <v/>
      </c>
      <c r="G350" s="102"/>
      <c r="H350" s="7"/>
      <c r="I350" s="7"/>
    </row>
    <row r="351" spans="1:9" x14ac:dyDescent="0.25">
      <c r="A351" s="103" t="str">
        <f>IFERROR(INDEX(Liste_Materiel_Combinee!$B:$B,(_xlfn.AGGREGATE(15,6,(ROW(Liste_Materiel_Combinee!$G$2:$G$426)-1)/(Liste_Materiel_Combinee!$G$2:$G$426=1),349)+1)),"")</f>
        <v/>
      </c>
      <c r="B351" s="104" t="str">
        <f>IFERROR(INDEX(Liste_Materiel_Combinee!$C:$C,(_xlfn.AGGREGATE(15,6,(ROW(Liste_Materiel_Combinee!$G$2:$G$426)-1)/(Liste_Materiel_Combinee!$G$2:$G$426=1),349)+1)),"")</f>
        <v/>
      </c>
      <c r="C351" s="104" t="str">
        <f>IF(IFERROR(INDEX(Liste_Materiel_Combinee!$F:$F,(_xlfn.AGGREGATE(15,6,(ROW(Liste_Materiel_Combinee!$G$2:$G$426)-1)/(Liste_Materiel_Combinee!$G$2:$G$426=1),349)+1)),"")="","",ROUNDUP(IFERROR(INDEX(Liste_Materiel_Combinee!$F:$F,(_xlfn.AGGREGATE(15,6,(ROW(Liste_Materiel_Combinee!$G$2:$G$426)-1)/(Liste_Materiel_Combinee!$G$2:$G$426=1),349)+1)),""),0))</f>
        <v/>
      </c>
      <c r="D351" s="104" t="str">
        <f>IF($H$5="EFFACER","",IFERROR(INDEX(Liste_Materiel_Combinee!$E:$E,(_xlfn.AGGREGATE(15,6,(ROW(Liste_Materiel_Combinee!$G$2:$G$426)-1)/(Liste_Materiel_Combinee!$G$2:$G$426=1),349)+1)),""))</f>
        <v/>
      </c>
      <c r="E351" s="105">
        <f t="shared" si="5"/>
        <v>0</v>
      </c>
      <c r="F351" s="104" t="str">
        <f>IFERROR(INDEX(Catalogue!$K:$K,MATCH(A351,Catalogue!$A:$A,0)),"")</f>
        <v/>
      </c>
      <c r="G351" s="102"/>
      <c r="H351" s="7"/>
      <c r="I351" s="7"/>
    </row>
    <row r="352" spans="1:9" x14ac:dyDescent="0.25">
      <c r="A352" s="103" t="str">
        <f>IFERROR(INDEX(Liste_Materiel_Combinee!$B:$B,(_xlfn.AGGREGATE(15,6,(ROW(Liste_Materiel_Combinee!$G$2:$G$426)-1)/(Liste_Materiel_Combinee!$G$2:$G$426=1),350)+1)),"")</f>
        <v/>
      </c>
      <c r="B352" s="104" t="str">
        <f>IFERROR(INDEX(Liste_Materiel_Combinee!$C:$C,(_xlfn.AGGREGATE(15,6,(ROW(Liste_Materiel_Combinee!$G$2:$G$426)-1)/(Liste_Materiel_Combinee!$G$2:$G$426=1),350)+1)),"")</f>
        <v/>
      </c>
      <c r="C352" s="104" t="str">
        <f>IF(IFERROR(INDEX(Liste_Materiel_Combinee!$F:$F,(_xlfn.AGGREGATE(15,6,(ROW(Liste_Materiel_Combinee!$G$2:$G$426)-1)/(Liste_Materiel_Combinee!$G$2:$G$426=1),350)+1)),"")="","",ROUNDUP(IFERROR(INDEX(Liste_Materiel_Combinee!$F:$F,(_xlfn.AGGREGATE(15,6,(ROW(Liste_Materiel_Combinee!$G$2:$G$426)-1)/(Liste_Materiel_Combinee!$G$2:$G$426=1),350)+1)),""),0))</f>
        <v/>
      </c>
      <c r="D352" s="104" t="str">
        <f>IF($H$5="EFFACER","",IFERROR(INDEX(Liste_Materiel_Combinee!$E:$E,(_xlfn.AGGREGATE(15,6,(ROW(Liste_Materiel_Combinee!$G$2:$G$426)-1)/(Liste_Materiel_Combinee!$G$2:$G$426=1),350)+1)),""))</f>
        <v/>
      </c>
      <c r="E352" s="105">
        <f t="shared" si="5"/>
        <v>0</v>
      </c>
      <c r="F352" s="104" t="str">
        <f>IFERROR(INDEX(Catalogue!$K:$K,MATCH(A352,Catalogue!$A:$A,0)),"")</f>
        <v/>
      </c>
      <c r="G352" s="102"/>
      <c r="H352" s="7"/>
      <c r="I352" s="7"/>
    </row>
    <row r="353" spans="1:9" x14ac:dyDescent="0.25">
      <c r="A353" s="103" t="str">
        <f>IFERROR(INDEX(Liste_Materiel_Combinee!$B:$B,(_xlfn.AGGREGATE(15,6,(ROW(Liste_Materiel_Combinee!$G$2:$G$426)-1)/(Liste_Materiel_Combinee!$G$2:$G$426=1),351)+1)),"")</f>
        <v/>
      </c>
      <c r="B353" s="104" t="str">
        <f>IFERROR(INDEX(Liste_Materiel_Combinee!$C:$C,(_xlfn.AGGREGATE(15,6,(ROW(Liste_Materiel_Combinee!$G$2:$G$426)-1)/(Liste_Materiel_Combinee!$G$2:$G$426=1),351)+1)),"")</f>
        <v/>
      </c>
      <c r="C353" s="104" t="str">
        <f>IF(IFERROR(INDEX(Liste_Materiel_Combinee!$F:$F,(_xlfn.AGGREGATE(15,6,(ROW(Liste_Materiel_Combinee!$G$2:$G$426)-1)/(Liste_Materiel_Combinee!$G$2:$G$426=1),351)+1)),"")="","",ROUNDUP(IFERROR(INDEX(Liste_Materiel_Combinee!$F:$F,(_xlfn.AGGREGATE(15,6,(ROW(Liste_Materiel_Combinee!$G$2:$G$426)-1)/(Liste_Materiel_Combinee!$G$2:$G$426=1),351)+1)),""),0))</f>
        <v/>
      </c>
      <c r="D353" s="104" t="str">
        <f>IF($H$5="EFFACER","",IFERROR(INDEX(Liste_Materiel_Combinee!$E:$E,(_xlfn.AGGREGATE(15,6,(ROW(Liste_Materiel_Combinee!$G$2:$G$426)-1)/(Liste_Materiel_Combinee!$G$2:$G$426=1),351)+1)),""))</f>
        <v/>
      </c>
      <c r="E353" s="105">
        <f t="shared" si="5"/>
        <v>0</v>
      </c>
      <c r="F353" s="104" t="str">
        <f>IFERROR(INDEX(Catalogue!$K:$K,MATCH(A353,Catalogue!$A:$A,0)),"")</f>
        <v/>
      </c>
      <c r="G353" s="102"/>
      <c r="H353" s="7"/>
      <c r="I353" s="7"/>
    </row>
    <row r="354" spans="1:9" x14ac:dyDescent="0.25">
      <c r="A354" s="103" t="str">
        <f>IFERROR(INDEX(Liste_Materiel_Combinee!$B:$B,(_xlfn.AGGREGATE(15,6,(ROW(Liste_Materiel_Combinee!$G$2:$G$426)-1)/(Liste_Materiel_Combinee!$G$2:$G$426=1),352)+1)),"")</f>
        <v/>
      </c>
      <c r="B354" s="104" t="str">
        <f>IFERROR(INDEX(Liste_Materiel_Combinee!$C:$C,(_xlfn.AGGREGATE(15,6,(ROW(Liste_Materiel_Combinee!$G$2:$G$426)-1)/(Liste_Materiel_Combinee!$G$2:$G$426=1),352)+1)),"")</f>
        <v/>
      </c>
      <c r="C354" s="104" t="str">
        <f>IF(IFERROR(INDEX(Liste_Materiel_Combinee!$F:$F,(_xlfn.AGGREGATE(15,6,(ROW(Liste_Materiel_Combinee!$G$2:$G$426)-1)/(Liste_Materiel_Combinee!$G$2:$G$426=1),352)+1)),"")="","",ROUNDUP(IFERROR(INDEX(Liste_Materiel_Combinee!$F:$F,(_xlfn.AGGREGATE(15,6,(ROW(Liste_Materiel_Combinee!$G$2:$G$426)-1)/(Liste_Materiel_Combinee!$G$2:$G$426=1),352)+1)),""),0))</f>
        <v/>
      </c>
      <c r="D354" s="104" t="str">
        <f>IF($H$5="EFFACER","",IFERROR(INDEX(Liste_Materiel_Combinee!$E:$E,(_xlfn.AGGREGATE(15,6,(ROW(Liste_Materiel_Combinee!$G$2:$G$426)-1)/(Liste_Materiel_Combinee!$G$2:$G$426=1),352)+1)),""))</f>
        <v/>
      </c>
      <c r="E354" s="105">
        <f t="shared" si="5"/>
        <v>0</v>
      </c>
      <c r="F354" s="104" t="str">
        <f>IFERROR(INDEX(Catalogue!$K:$K,MATCH(A354,Catalogue!$A:$A,0)),"")</f>
        <v/>
      </c>
      <c r="G354" s="102"/>
      <c r="H354" s="7"/>
      <c r="I354" s="7"/>
    </row>
    <row r="355" spans="1:9" x14ac:dyDescent="0.25">
      <c r="A355" s="103" t="str">
        <f>IFERROR(INDEX(Liste_Materiel_Combinee!$B:$B,(_xlfn.AGGREGATE(15,6,(ROW(Liste_Materiel_Combinee!$G$2:$G$426)-1)/(Liste_Materiel_Combinee!$G$2:$G$426=1),353)+1)),"")</f>
        <v/>
      </c>
      <c r="B355" s="104" t="str">
        <f>IFERROR(INDEX(Liste_Materiel_Combinee!$C:$C,(_xlfn.AGGREGATE(15,6,(ROW(Liste_Materiel_Combinee!$G$2:$G$426)-1)/(Liste_Materiel_Combinee!$G$2:$G$426=1),353)+1)),"")</f>
        <v/>
      </c>
      <c r="C355" s="104" t="str">
        <f>IF(IFERROR(INDEX(Liste_Materiel_Combinee!$F:$F,(_xlfn.AGGREGATE(15,6,(ROW(Liste_Materiel_Combinee!$G$2:$G$426)-1)/(Liste_Materiel_Combinee!$G$2:$G$426=1),353)+1)),"")="","",ROUNDUP(IFERROR(INDEX(Liste_Materiel_Combinee!$F:$F,(_xlfn.AGGREGATE(15,6,(ROW(Liste_Materiel_Combinee!$G$2:$G$426)-1)/(Liste_Materiel_Combinee!$G$2:$G$426=1),353)+1)),""),0))</f>
        <v/>
      </c>
      <c r="D355" s="104" t="str">
        <f>IF($H$5="EFFACER","",IFERROR(INDEX(Liste_Materiel_Combinee!$E:$E,(_xlfn.AGGREGATE(15,6,(ROW(Liste_Materiel_Combinee!$G$2:$G$426)-1)/(Liste_Materiel_Combinee!$G$2:$G$426=1),353)+1)),""))</f>
        <v/>
      </c>
      <c r="E355" s="105">
        <f t="shared" si="5"/>
        <v>0</v>
      </c>
      <c r="F355" s="104" t="str">
        <f>IFERROR(INDEX(Catalogue!$K:$K,MATCH(A355,Catalogue!$A:$A,0)),"")</f>
        <v/>
      </c>
      <c r="G355" s="102"/>
      <c r="H355" s="7"/>
      <c r="I355" s="7"/>
    </row>
    <row r="356" spans="1:9" x14ac:dyDescent="0.25">
      <c r="A356" s="103" t="str">
        <f>IFERROR(INDEX(Liste_Materiel_Combinee!$B:$B,(_xlfn.AGGREGATE(15,6,(ROW(Liste_Materiel_Combinee!$G$2:$G$426)-1)/(Liste_Materiel_Combinee!$G$2:$G$426=1),354)+1)),"")</f>
        <v/>
      </c>
      <c r="B356" s="104" t="str">
        <f>IFERROR(INDEX(Liste_Materiel_Combinee!$C:$C,(_xlfn.AGGREGATE(15,6,(ROW(Liste_Materiel_Combinee!$G$2:$G$426)-1)/(Liste_Materiel_Combinee!$G$2:$G$426=1),354)+1)),"")</f>
        <v/>
      </c>
      <c r="C356" s="104" t="str">
        <f>IF(IFERROR(INDEX(Liste_Materiel_Combinee!$F:$F,(_xlfn.AGGREGATE(15,6,(ROW(Liste_Materiel_Combinee!$G$2:$G$426)-1)/(Liste_Materiel_Combinee!$G$2:$G$426=1),354)+1)),"")="","",ROUNDUP(IFERROR(INDEX(Liste_Materiel_Combinee!$F:$F,(_xlfn.AGGREGATE(15,6,(ROW(Liste_Materiel_Combinee!$G$2:$G$426)-1)/(Liste_Materiel_Combinee!$G$2:$G$426=1),354)+1)),""),0))</f>
        <v/>
      </c>
      <c r="D356" s="104" t="str">
        <f>IF($H$5="EFFACER","",IFERROR(INDEX(Liste_Materiel_Combinee!$E:$E,(_xlfn.AGGREGATE(15,6,(ROW(Liste_Materiel_Combinee!$G$2:$G$426)-1)/(Liste_Materiel_Combinee!$G$2:$G$426=1),354)+1)),""))</f>
        <v/>
      </c>
      <c r="E356" s="105">
        <f t="shared" si="5"/>
        <v>0</v>
      </c>
      <c r="F356" s="104" t="str">
        <f>IFERROR(INDEX(Catalogue!$K:$K,MATCH(A356,Catalogue!$A:$A,0)),"")</f>
        <v/>
      </c>
      <c r="G356" s="102"/>
      <c r="H356" s="7"/>
      <c r="I356" s="7"/>
    </row>
    <row r="357" spans="1:9" x14ac:dyDescent="0.25">
      <c r="A357" s="103" t="str">
        <f>IFERROR(INDEX(Liste_Materiel_Combinee!$B:$B,(_xlfn.AGGREGATE(15,6,(ROW(Liste_Materiel_Combinee!$G$2:$G$426)-1)/(Liste_Materiel_Combinee!$G$2:$G$426=1),355)+1)),"")</f>
        <v/>
      </c>
      <c r="B357" s="104" t="str">
        <f>IFERROR(INDEX(Liste_Materiel_Combinee!$C:$C,(_xlfn.AGGREGATE(15,6,(ROW(Liste_Materiel_Combinee!$G$2:$G$426)-1)/(Liste_Materiel_Combinee!$G$2:$G$426=1),355)+1)),"")</f>
        <v/>
      </c>
      <c r="C357" s="104" t="str">
        <f>IF(IFERROR(INDEX(Liste_Materiel_Combinee!$F:$F,(_xlfn.AGGREGATE(15,6,(ROW(Liste_Materiel_Combinee!$G$2:$G$426)-1)/(Liste_Materiel_Combinee!$G$2:$G$426=1),355)+1)),"")="","",ROUNDUP(IFERROR(INDEX(Liste_Materiel_Combinee!$F:$F,(_xlfn.AGGREGATE(15,6,(ROW(Liste_Materiel_Combinee!$G$2:$G$426)-1)/(Liste_Materiel_Combinee!$G$2:$G$426=1),355)+1)),""),0))</f>
        <v/>
      </c>
      <c r="D357" s="104" t="str">
        <f>IF($H$5="EFFACER","",IFERROR(INDEX(Liste_Materiel_Combinee!$E:$E,(_xlfn.AGGREGATE(15,6,(ROW(Liste_Materiel_Combinee!$G$2:$G$426)-1)/(Liste_Materiel_Combinee!$G$2:$G$426=1),355)+1)),""))</f>
        <v/>
      </c>
      <c r="E357" s="105">
        <f t="shared" si="5"/>
        <v>0</v>
      </c>
      <c r="F357" s="104" t="str">
        <f>IFERROR(INDEX(Catalogue!$K:$K,MATCH(A357,Catalogue!$A:$A,0)),"")</f>
        <v/>
      </c>
      <c r="G357" s="102"/>
      <c r="H357" s="7"/>
      <c r="I357" s="7"/>
    </row>
    <row r="358" spans="1:9" x14ac:dyDescent="0.25">
      <c r="A358" s="103" t="str">
        <f>IFERROR(INDEX(Liste_Materiel_Combinee!$B:$B,(_xlfn.AGGREGATE(15,6,(ROW(Liste_Materiel_Combinee!$G$2:$G$426)-1)/(Liste_Materiel_Combinee!$G$2:$G$426=1),356)+1)),"")</f>
        <v/>
      </c>
      <c r="B358" s="104" t="str">
        <f>IFERROR(INDEX(Liste_Materiel_Combinee!$C:$C,(_xlfn.AGGREGATE(15,6,(ROW(Liste_Materiel_Combinee!$G$2:$G$426)-1)/(Liste_Materiel_Combinee!$G$2:$G$426=1),356)+1)),"")</f>
        <v/>
      </c>
      <c r="C358" s="104" t="str">
        <f>IF(IFERROR(INDEX(Liste_Materiel_Combinee!$F:$F,(_xlfn.AGGREGATE(15,6,(ROW(Liste_Materiel_Combinee!$G$2:$G$426)-1)/(Liste_Materiel_Combinee!$G$2:$G$426=1),356)+1)),"")="","",ROUNDUP(IFERROR(INDEX(Liste_Materiel_Combinee!$F:$F,(_xlfn.AGGREGATE(15,6,(ROW(Liste_Materiel_Combinee!$G$2:$G$426)-1)/(Liste_Materiel_Combinee!$G$2:$G$426=1),356)+1)),""),0))</f>
        <v/>
      </c>
      <c r="D358" s="104" t="str">
        <f>IF($H$5="EFFACER","",IFERROR(INDEX(Liste_Materiel_Combinee!$E:$E,(_xlfn.AGGREGATE(15,6,(ROW(Liste_Materiel_Combinee!$G$2:$G$426)-1)/(Liste_Materiel_Combinee!$G$2:$G$426=1),356)+1)),""))</f>
        <v/>
      </c>
      <c r="E358" s="105">
        <f t="shared" si="5"/>
        <v>0</v>
      </c>
      <c r="F358" s="104" t="str">
        <f>IFERROR(INDEX(Catalogue!$K:$K,MATCH(A358,Catalogue!$A:$A,0)),"")</f>
        <v/>
      </c>
      <c r="G358" s="102"/>
      <c r="H358" s="7"/>
      <c r="I358" s="7"/>
    </row>
    <row r="359" spans="1:9" x14ac:dyDescent="0.25">
      <c r="A359" s="103" t="str">
        <f>IFERROR(INDEX(Liste_Materiel_Combinee!$B:$B,(_xlfn.AGGREGATE(15,6,(ROW(Liste_Materiel_Combinee!$G$2:$G$426)-1)/(Liste_Materiel_Combinee!$G$2:$G$426=1),357)+1)),"")</f>
        <v/>
      </c>
      <c r="B359" s="104" t="str">
        <f>IFERROR(INDEX(Liste_Materiel_Combinee!$C:$C,(_xlfn.AGGREGATE(15,6,(ROW(Liste_Materiel_Combinee!$G$2:$G$426)-1)/(Liste_Materiel_Combinee!$G$2:$G$426=1),357)+1)),"")</f>
        <v/>
      </c>
      <c r="C359" s="104" t="str">
        <f>IF(IFERROR(INDEX(Liste_Materiel_Combinee!$F:$F,(_xlfn.AGGREGATE(15,6,(ROW(Liste_Materiel_Combinee!$G$2:$G$426)-1)/(Liste_Materiel_Combinee!$G$2:$G$426=1),357)+1)),"")="","",ROUNDUP(IFERROR(INDEX(Liste_Materiel_Combinee!$F:$F,(_xlfn.AGGREGATE(15,6,(ROW(Liste_Materiel_Combinee!$G$2:$G$426)-1)/(Liste_Materiel_Combinee!$G$2:$G$426=1),357)+1)),""),0))</f>
        <v/>
      </c>
      <c r="D359" s="104" t="str">
        <f>IF($H$5="EFFACER","",IFERROR(INDEX(Liste_Materiel_Combinee!$E:$E,(_xlfn.AGGREGATE(15,6,(ROW(Liste_Materiel_Combinee!$G$2:$G$426)-1)/(Liste_Materiel_Combinee!$G$2:$G$426=1),357)+1)),""))</f>
        <v/>
      </c>
      <c r="E359" s="105">
        <f t="shared" si="5"/>
        <v>0</v>
      </c>
      <c r="F359" s="104" t="str">
        <f>IFERROR(INDEX(Catalogue!$K:$K,MATCH(A359,Catalogue!$A:$A,0)),"")</f>
        <v/>
      </c>
      <c r="G359" s="102"/>
      <c r="H359" s="7"/>
      <c r="I359" s="7"/>
    </row>
    <row r="360" spans="1:9" x14ac:dyDescent="0.25">
      <c r="A360" s="103" t="str">
        <f>IFERROR(INDEX(Liste_Materiel_Combinee!$B:$B,(_xlfn.AGGREGATE(15,6,(ROW(Liste_Materiel_Combinee!$G$2:$G$426)-1)/(Liste_Materiel_Combinee!$G$2:$G$426=1),358)+1)),"")</f>
        <v/>
      </c>
      <c r="B360" s="104" t="str">
        <f>IFERROR(INDEX(Liste_Materiel_Combinee!$C:$C,(_xlfn.AGGREGATE(15,6,(ROW(Liste_Materiel_Combinee!$G$2:$G$426)-1)/(Liste_Materiel_Combinee!$G$2:$G$426=1),358)+1)),"")</f>
        <v/>
      </c>
      <c r="C360" s="104" t="str">
        <f>IF(IFERROR(INDEX(Liste_Materiel_Combinee!$F:$F,(_xlfn.AGGREGATE(15,6,(ROW(Liste_Materiel_Combinee!$G$2:$G$426)-1)/(Liste_Materiel_Combinee!$G$2:$G$426=1),358)+1)),"")="","",ROUNDUP(IFERROR(INDEX(Liste_Materiel_Combinee!$F:$F,(_xlfn.AGGREGATE(15,6,(ROW(Liste_Materiel_Combinee!$G$2:$G$426)-1)/(Liste_Materiel_Combinee!$G$2:$G$426=1),358)+1)),""),0))</f>
        <v/>
      </c>
      <c r="D360" s="104" t="str">
        <f>IF($H$5="EFFACER","",IFERROR(INDEX(Liste_Materiel_Combinee!$E:$E,(_xlfn.AGGREGATE(15,6,(ROW(Liste_Materiel_Combinee!$G$2:$G$426)-1)/(Liste_Materiel_Combinee!$G$2:$G$426=1),358)+1)),""))</f>
        <v/>
      </c>
      <c r="E360" s="105">
        <f t="shared" si="5"/>
        <v>0</v>
      </c>
      <c r="F360" s="104" t="str">
        <f>IFERROR(INDEX(Catalogue!$K:$K,MATCH(A360,Catalogue!$A:$A,0)),"")</f>
        <v/>
      </c>
      <c r="G360" s="102"/>
      <c r="H360" s="7"/>
      <c r="I360" s="7"/>
    </row>
    <row r="361" spans="1:9" x14ac:dyDescent="0.25">
      <c r="A361" s="103" t="str">
        <f>IFERROR(INDEX(Liste_Materiel_Combinee!$B:$B,(_xlfn.AGGREGATE(15,6,(ROW(Liste_Materiel_Combinee!$G$2:$G$426)-1)/(Liste_Materiel_Combinee!$G$2:$G$426=1),359)+1)),"")</f>
        <v/>
      </c>
      <c r="B361" s="104" t="str">
        <f>IFERROR(INDEX(Liste_Materiel_Combinee!$C:$C,(_xlfn.AGGREGATE(15,6,(ROW(Liste_Materiel_Combinee!$G$2:$G$426)-1)/(Liste_Materiel_Combinee!$G$2:$G$426=1),359)+1)),"")</f>
        <v/>
      </c>
      <c r="C361" s="104" t="str">
        <f>IF(IFERROR(INDEX(Liste_Materiel_Combinee!$F:$F,(_xlfn.AGGREGATE(15,6,(ROW(Liste_Materiel_Combinee!$G$2:$G$426)-1)/(Liste_Materiel_Combinee!$G$2:$G$426=1),359)+1)),"")="","",ROUNDUP(IFERROR(INDEX(Liste_Materiel_Combinee!$F:$F,(_xlfn.AGGREGATE(15,6,(ROW(Liste_Materiel_Combinee!$G$2:$G$426)-1)/(Liste_Materiel_Combinee!$G$2:$G$426=1),359)+1)),""),0))</f>
        <v/>
      </c>
      <c r="D361" s="104" t="str">
        <f>IF($H$5="EFFACER","",IFERROR(INDEX(Liste_Materiel_Combinee!$E:$E,(_xlfn.AGGREGATE(15,6,(ROW(Liste_Materiel_Combinee!$G$2:$G$426)-1)/(Liste_Materiel_Combinee!$G$2:$G$426=1),359)+1)),""))</f>
        <v/>
      </c>
      <c r="E361" s="105">
        <f t="shared" si="5"/>
        <v>0</v>
      </c>
      <c r="F361" s="104" t="str">
        <f>IFERROR(INDEX(Catalogue!$K:$K,MATCH(A361,Catalogue!$A:$A,0)),"")</f>
        <v/>
      </c>
      <c r="G361" s="102"/>
      <c r="H361" s="7"/>
      <c r="I361" s="7"/>
    </row>
    <row r="362" spans="1:9" x14ac:dyDescent="0.25">
      <c r="A362" s="103" t="str">
        <f>IFERROR(INDEX(Liste_Materiel_Combinee!$B:$B,(_xlfn.AGGREGATE(15,6,(ROW(Liste_Materiel_Combinee!$G$2:$G$426)-1)/(Liste_Materiel_Combinee!$G$2:$G$426=1),360)+1)),"")</f>
        <v/>
      </c>
      <c r="B362" s="104" t="str">
        <f>IFERROR(INDEX(Liste_Materiel_Combinee!$C:$C,(_xlfn.AGGREGATE(15,6,(ROW(Liste_Materiel_Combinee!$G$2:$G$426)-1)/(Liste_Materiel_Combinee!$G$2:$G$426=1),360)+1)),"")</f>
        <v/>
      </c>
      <c r="C362" s="104" t="str">
        <f>IF(IFERROR(INDEX(Liste_Materiel_Combinee!$F:$F,(_xlfn.AGGREGATE(15,6,(ROW(Liste_Materiel_Combinee!$G$2:$G$426)-1)/(Liste_Materiel_Combinee!$G$2:$G$426=1),360)+1)),"")="","",ROUNDUP(IFERROR(INDEX(Liste_Materiel_Combinee!$F:$F,(_xlfn.AGGREGATE(15,6,(ROW(Liste_Materiel_Combinee!$G$2:$G$426)-1)/(Liste_Materiel_Combinee!$G$2:$G$426=1),360)+1)),""),0))</f>
        <v/>
      </c>
      <c r="D362" s="104" t="str">
        <f>IF($H$5="EFFACER","",IFERROR(INDEX(Liste_Materiel_Combinee!$E:$E,(_xlfn.AGGREGATE(15,6,(ROW(Liste_Materiel_Combinee!$G$2:$G$426)-1)/(Liste_Materiel_Combinee!$G$2:$G$426=1),360)+1)),""))</f>
        <v/>
      </c>
      <c r="E362" s="105">
        <f t="shared" si="5"/>
        <v>0</v>
      </c>
      <c r="F362" s="104" t="str">
        <f>IFERROR(INDEX(Catalogue!$K:$K,MATCH(A362,Catalogue!$A:$A,0)),"")</f>
        <v/>
      </c>
      <c r="G362" s="102"/>
      <c r="H362" s="7"/>
      <c r="I362" s="7"/>
    </row>
    <row r="363" spans="1:9" x14ac:dyDescent="0.25">
      <c r="A363" s="103" t="str">
        <f>IFERROR(INDEX(Liste_Materiel_Combinee!$B:$B,(_xlfn.AGGREGATE(15,6,(ROW(Liste_Materiel_Combinee!$G$2:$G$426)-1)/(Liste_Materiel_Combinee!$G$2:$G$426=1),361)+1)),"")</f>
        <v/>
      </c>
      <c r="B363" s="104" t="str">
        <f>IFERROR(INDEX(Liste_Materiel_Combinee!$C:$C,(_xlfn.AGGREGATE(15,6,(ROW(Liste_Materiel_Combinee!$G$2:$G$426)-1)/(Liste_Materiel_Combinee!$G$2:$G$426=1),361)+1)),"")</f>
        <v/>
      </c>
      <c r="C363" s="104" t="str">
        <f>IF(IFERROR(INDEX(Liste_Materiel_Combinee!$F:$F,(_xlfn.AGGREGATE(15,6,(ROW(Liste_Materiel_Combinee!$G$2:$G$426)-1)/(Liste_Materiel_Combinee!$G$2:$G$426=1),361)+1)),"")="","",ROUNDUP(IFERROR(INDEX(Liste_Materiel_Combinee!$F:$F,(_xlfn.AGGREGATE(15,6,(ROW(Liste_Materiel_Combinee!$G$2:$G$426)-1)/(Liste_Materiel_Combinee!$G$2:$G$426=1),361)+1)),""),0))</f>
        <v/>
      </c>
      <c r="D363" s="104" t="str">
        <f>IF($H$5="EFFACER","",IFERROR(INDEX(Liste_Materiel_Combinee!$E:$E,(_xlfn.AGGREGATE(15,6,(ROW(Liste_Materiel_Combinee!$G$2:$G$426)-1)/(Liste_Materiel_Combinee!$G$2:$G$426=1),361)+1)),""))</f>
        <v/>
      </c>
      <c r="E363" s="105">
        <f t="shared" si="5"/>
        <v>0</v>
      </c>
      <c r="F363" s="104" t="str">
        <f>IFERROR(INDEX(Catalogue!$K:$K,MATCH(A363,Catalogue!$A:$A,0)),"")</f>
        <v/>
      </c>
      <c r="G363" s="102"/>
      <c r="H363" s="7"/>
      <c r="I363" s="7"/>
    </row>
    <row r="364" spans="1:9" x14ac:dyDescent="0.25">
      <c r="A364" s="103" t="str">
        <f>IFERROR(INDEX(Liste_Materiel_Combinee!$B:$B,(_xlfn.AGGREGATE(15,6,(ROW(Liste_Materiel_Combinee!$G$2:$G$426)-1)/(Liste_Materiel_Combinee!$G$2:$G$426=1),362)+1)),"")</f>
        <v/>
      </c>
      <c r="B364" s="104" t="str">
        <f>IFERROR(INDEX(Liste_Materiel_Combinee!$C:$C,(_xlfn.AGGREGATE(15,6,(ROW(Liste_Materiel_Combinee!$G$2:$G$426)-1)/(Liste_Materiel_Combinee!$G$2:$G$426=1),362)+1)),"")</f>
        <v/>
      </c>
      <c r="C364" s="104" t="str">
        <f>IF(IFERROR(INDEX(Liste_Materiel_Combinee!$F:$F,(_xlfn.AGGREGATE(15,6,(ROW(Liste_Materiel_Combinee!$G$2:$G$426)-1)/(Liste_Materiel_Combinee!$G$2:$G$426=1),362)+1)),"")="","",ROUNDUP(IFERROR(INDEX(Liste_Materiel_Combinee!$F:$F,(_xlfn.AGGREGATE(15,6,(ROW(Liste_Materiel_Combinee!$G$2:$G$426)-1)/(Liste_Materiel_Combinee!$G$2:$G$426=1),362)+1)),""),0))</f>
        <v/>
      </c>
      <c r="D364" s="104" t="str">
        <f>IF($H$5="EFFACER","",IFERROR(INDEX(Liste_Materiel_Combinee!$E:$E,(_xlfn.AGGREGATE(15,6,(ROW(Liste_Materiel_Combinee!$G$2:$G$426)-1)/(Liste_Materiel_Combinee!$G$2:$G$426=1),362)+1)),""))</f>
        <v/>
      </c>
      <c r="E364" s="105">
        <f t="shared" si="5"/>
        <v>0</v>
      </c>
      <c r="F364" s="104" t="str">
        <f>IFERROR(INDEX(Catalogue!$K:$K,MATCH(A364,Catalogue!$A:$A,0)),"")</f>
        <v/>
      </c>
      <c r="G364" s="102"/>
      <c r="H364" s="7"/>
      <c r="I364" s="7"/>
    </row>
    <row r="365" spans="1:9" x14ac:dyDescent="0.25">
      <c r="A365" s="103" t="str">
        <f>IFERROR(INDEX(Liste_Materiel_Combinee!$B:$B,(_xlfn.AGGREGATE(15,6,(ROW(Liste_Materiel_Combinee!$G$2:$G$426)-1)/(Liste_Materiel_Combinee!$G$2:$G$426=1),363)+1)),"")</f>
        <v/>
      </c>
      <c r="B365" s="104" t="str">
        <f>IFERROR(INDEX(Liste_Materiel_Combinee!$C:$C,(_xlfn.AGGREGATE(15,6,(ROW(Liste_Materiel_Combinee!$G$2:$G$426)-1)/(Liste_Materiel_Combinee!$G$2:$G$426=1),363)+1)),"")</f>
        <v/>
      </c>
      <c r="C365" s="104" t="str">
        <f>IF(IFERROR(INDEX(Liste_Materiel_Combinee!$F:$F,(_xlfn.AGGREGATE(15,6,(ROW(Liste_Materiel_Combinee!$G$2:$G$426)-1)/(Liste_Materiel_Combinee!$G$2:$G$426=1),363)+1)),"")="","",ROUNDUP(IFERROR(INDEX(Liste_Materiel_Combinee!$F:$F,(_xlfn.AGGREGATE(15,6,(ROW(Liste_Materiel_Combinee!$G$2:$G$426)-1)/(Liste_Materiel_Combinee!$G$2:$G$426=1),363)+1)),""),0))</f>
        <v/>
      </c>
      <c r="D365" s="104" t="str">
        <f>IF($H$5="EFFACER","",IFERROR(INDEX(Liste_Materiel_Combinee!$E:$E,(_xlfn.AGGREGATE(15,6,(ROW(Liste_Materiel_Combinee!$G$2:$G$426)-1)/(Liste_Materiel_Combinee!$G$2:$G$426=1),363)+1)),""))</f>
        <v/>
      </c>
      <c r="E365" s="105">
        <f t="shared" si="5"/>
        <v>0</v>
      </c>
      <c r="F365" s="104" t="str">
        <f>IFERROR(INDEX(Catalogue!$K:$K,MATCH(A365,Catalogue!$A:$A,0)),"")</f>
        <v/>
      </c>
      <c r="G365" s="102"/>
      <c r="H365" s="7"/>
      <c r="I365" s="7"/>
    </row>
    <row r="366" spans="1:9" x14ac:dyDescent="0.25">
      <c r="A366" s="103" t="str">
        <f>IFERROR(INDEX(Liste_Materiel_Combinee!$B:$B,(_xlfn.AGGREGATE(15,6,(ROW(Liste_Materiel_Combinee!$G$2:$G$426)-1)/(Liste_Materiel_Combinee!$G$2:$G$426=1),364)+1)),"")</f>
        <v/>
      </c>
      <c r="B366" s="104" t="str">
        <f>IFERROR(INDEX(Liste_Materiel_Combinee!$C:$C,(_xlfn.AGGREGATE(15,6,(ROW(Liste_Materiel_Combinee!$G$2:$G$426)-1)/(Liste_Materiel_Combinee!$G$2:$G$426=1),364)+1)),"")</f>
        <v/>
      </c>
      <c r="C366" s="104" t="str">
        <f>IF(IFERROR(INDEX(Liste_Materiel_Combinee!$F:$F,(_xlfn.AGGREGATE(15,6,(ROW(Liste_Materiel_Combinee!$G$2:$G$426)-1)/(Liste_Materiel_Combinee!$G$2:$G$426=1),364)+1)),"")="","",ROUNDUP(IFERROR(INDEX(Liste_Materiel_Combinee!$F:$F,(_xlfn.AGGREGATE(15,6,(ROW(Liste_Materiel_Combinee!$G$2:$G$426)-1)/(Liste_Materiel_Combinee!$G$2:$G$426=1),364)+1)),""),0))</f>
        <v/>
      </c>
      <c r="D366" s="104" t="str">
        <f>IF($H$5="EFFACER","",IFERROR(INDEX(Liste_Materiel_Combinee!$E:$E,(_xlfn.AGGREGATE(15,6,(ROW(Liste_Materiel_Combinee!$G$2:$G$426)-1)/(Liste_Materiel_Combinee!$G$2:$G$426=1),364)+1)),""))</f>
        <v/>
      </c>
      <c r="E366" s="105">
        <f t="shared" si="5"/>
        <v>0</v>
      </c>
      <c r="F366" s="104" t="str">
        <f>IFERROR(INDEX(Catalogue!$K:$K,MATCH(A366,Catalogue!$A:$A,0)),"")</f>
        <v/>
      </c>
      <c r="G366" s="102"/>
      <c r="H366" s="7"/>
      <c r="I366" s="7"/>
    </row>
    <row r="367" spans="1:9" x14ac:dyDescent="0.25">
      <c r="A367" s="103" t="str">
        <f>IFERROR(INDEX(Liste_Materiel_Combinee!$B:$B,(_xlfn.AGGREGATE(15,6,(ROW(Liste_Materiel_Combinee!$G$2:$G$426)-1)/(Liste_Materiel_Combinee!$G$2:$G$426=1),365)+1)),"")</f>
        <v/>
      </c>
      <c r="B367" s="104" t="str">
        <f>IFERROR(INDEX(Liste_Materiel_Combinee!$C:$C,(_xlfn.AGGREGATE(15,6,(ROW(Liste_Materiel_Combinee!$G$2:$G$426)-1)/(Liste_Materiel_Combinee!$G$2:$G$426=1),365)+1)),"")</f>
        <v/>
      </c>
      <c r="C367" s="104" t="str">
        <f>IF(IFERROR(INDEX(Liste_Materiel_Combinee!$F:$F,(_xlfn.AGGREGATE(15,6,(ROW(Liste_Materiel_Combinee!$G$2:$G$426)-1)/(Liste_Materiel_Combinee!$G$2:$G$426=1),365)+1)),"")="","",ROUNDUP(IFERROR(INDEX(Liste_Materiel_Combinee!$F:$F,(_xlfn.AGGREGATE(15,6,(ROW(Liste_Materiel_Combinee!$G$2:$G$426)-1)/(Liste_Materiel_Combinee!$G$2:$G$426=1),365)+1)),""),0))</f>
        <v/>
      </c>
      <c r="D367" s="104" t="str">
        <f>IF($H$5="EFFACER","",IFERROR(INDEX(Liste_Materiel_Combinee!$E:$E,(_xlfn.AGGREGATE(15,6,(ROW(Liste_Materiel_Combinee!$G$2:$G$426)-1)/(Liste_Materiel_Combinee!$G$2:$G$426=1),365)+1)),""))</f>
        <v/>
      </c>
      <c r="E367" s="105">
        <f t="shared" si="5"/>
        <v>0</v>
      </c>
      <c r="F367" s="104" t="str">
        <f>IFERROR(INDEX(Catalogue!$K:$K,MATCH(A367,Catalogue!$A:$A,0)),"")</f>
        <v/>
      </c>
      <c r="G367" s="102"/>
      <c r="H367" s="7"/>
      <c r="I367" s="7"/>
    </row>
    <row r="368" spans="1:9" x14ac:dyDescent="0.25">
      <c r="A368" s="103" t="str">
        <f>IFERROR(INDEX(Liste_Materiel_Combinee!$B:$B,(_xlfn.AGGREGATE(15,6,(ROW(Liste_Materiel_Combinee!$G$2:$G$426)-1)/(Liste_Materiel_Combinee!$G$2:$G$426=1),366)+1)),"")</f>
        <v/>
      </c>
      <c r="B368" s="104" t="str">
        <f>IFERROR(INDEX(Liste_Materiel_Combinee!$C:$C,(_xlfn.AGGREGATE(15,6,(ROW(Liste_Materiel_Combinee!$G$2:$G$426)-1)/(Liste_Materiel_Combinee!$G$2:$G$426=1),366)+1)),"")</f>
        <v/>
      </c>
      <c r="C368" s="104" t="str">
        <f>IF(IFERROR(INDEX(Liste_Materiel_Combinee!$F:$F,(_xlfn.AGGREGATE(15,6,(ROW(Liste_Materiel_Combinee!$G$2:$G$426)-1)/(Liste_Materiel_Combinee!$G$2:$G$426=1),366)+1)),"")="","",ROUNDUP(IFERROR(INDEX(Liste_Materiel_Combinee!$F:$F,(_xlfn.AGGREGATE(15,6,(ROW(Liste_Materiel_Combinee!$G$2:$G$426)-1)/(Liste_Materiel_Combinee!$G$2:$G$426=1),366)+1)),""),0))</f>
        <v/>
      </c>
      <c r="D368" s="104" t="str">
        <f>IF($H$5="EFFACER","",IFERROR(INDEX(Liste_Materiel_Combinee!$E:$E,(_xlfn.AGGREGATE(15,6,(ROW(Liste_Materiel_Combinee!$G$2:$G$426)-1)/(Liste_Materiel_Combinee!$G$2:$G$426=1),366)+1)),""))</f>
        <v/>
      </c>
      <c r="E368" s="105">
        <f t="shared" si="5"/>
        <v>0</v>
      </c>
      <c r="F368" s="104" t="str">
        <f>IFERROR(INDEX(Catalogue!$K:$K,MATCH(A368,Catalogue!$A:$A,0)),"")</f>
        <v/>
      </c>
      <c r="G368" s="102"/>
      <c r="H368" s="7"/>
      <c r="I368" s="7"/>
    </row>
    <row r="369" spans="1:9" x14ac:dyDescent="0.25">
      <c r="A369" s="103" t="str">
        <f>IFERROR(INDEX(Liste_Materiel_Combinee!$B:$B,(_xlfn.AGGREGATE(15,6,(ROW(Liste_Materiel_Combinee!$G$2:$G$426)-1)/(Liste_Materiel_Combinee!$G$2:$G$426=1),367)+1)),"")</f>
        <v/>
      </c>
      <c r="B369" s="104" t="str">
        <f>IFERROR(INDEX(Liste_Materiel_Combinee!$C:$C,(_xlfn.AGGREGATE(15,6,(ROW(Liste_Materiel_Combinee!$G$2:$G$426)-1)/(Liste_Materiel_Combinee!$G$2:$G$426=1),367)+1)),"")</f>
        <v/>
      </c>
      <c r="C369" s="104" t="str">
        <f>IF(IFERROR(INDEX(Liste_Materiel_Combinee!$F:$F,(_xlfn.AGGREGATE(15,6,(ROW(Liste_Materiel_Combinee!$G$2:$G$426)-1)/(Liste_Materiel_Combinee!$G$2:$G$426=1),367)+1)),"")="","",ROUNDUP(IFERROR(INDEX(Liste_Materiel_Combinee!$F:$F,(_xlfn.AGGREGATE(15,6,(ROW(Liste_Materiel_Combinee!$G$2:$G$426)-1)/(Liste_Materiel_Combinee!$G$2:$G$426=1),367)+1)),""),0))</f>
        <v/>
      </c>
      <c r="D369" s="104" t="str">
        <f>IF($H$5="EFFACER","",IFERROR(INDEX(Liste_Materiel_Combinee!$E:$E,(_xlfn.AGGREGATE(15,6,(ROW(Liste_Materiel_Combinee!$G$2:$G$426)-1)/(Liste_Materiel_Combinee!$G$2:$G$426=1),367)+1)),""))</f>
        <v/>
      </c>
      <c r="E369" s="105">
        <f t="shared" si="5"/>
        <v>0</v>
      </c>
      <c r="F369" s="104" t="str">
        <f>IFERROR(INDEX(Catalogue!$K:$K,MATCH(A369,Catalogue!$A:$A,0)),"")</f>
        <v/>
      </c>
      <c r="G369" s="102"/>
      <c r="H369" s="7"/>
      <c r="I369" s="7"/>
    </row>
    <row r="370" spans="1:9" x14ac:dyDescent="0.25">
      <c r="A370" s="103" t="str">
        <f>IFERROR(INDEX(Liste_Materiel_Combinee!$B:$B,(_xlfn.AGGREGATE(15,6,(ROW(Liste_Materiel_Combinee!$G$2:$G$426)-1)/(Liste_Materiel_Combinee!$G$2:$G$426=1),368)+1)),"")</f>
        <v/>
      </c>
      <c r="B370" s="104" t="str">
        <f>IFERROR(INDEX(Liste_Materiel_Combinee!$C:$C,(_xlfn.AGGREGATE(15,6,(ROW(Liste_Materiel_Combinee!$G$2:$G$426)-1)/(Liste_Materiel_Combinee!$G$2:$G$426=1),368)+1)),"")</f>
        <v/>
      </c>
      <c r="C370" s="104" t="str">
        <f>IF(IFERROR(INDEX(Liste_Materiel_Combinee!$F:$F,(_xlfn.AGGREGATE(15,6,(ROW(Liste_Materiel_Combinee!$G$2:$G$426)-1)/(Liste_Materiel_Combinee!$G$2:$G$426=1),368)+1)),"")="","",ROUNDUP(IFERROR(INDEX(Liste_Materiel_Combinee!$F:$F,(_xlfn.AGGREGATE(15,6,(ROW(Liste_Materiel_Combinee!$G$2:$G$426)-1)/(Liste_Materiel_Combinee!$G$2:$G$426=1),368)+1)),""),0))</f>
        <v/>
      </c>
      <c r="D370" s="104" t="str">
        <f>IF($H$5="EFFACER","",IFERROR(INDEX(Liste_Materiel_Combinee!$E:$E,(_xlfn.AGGREGATE(15,6,(ROW(Liste_Materiel_Combinee!$G$2:$G$426)-1)/(Liste_Materiel_Combinee!$G$2:$G$426=1),368)+1)),""))</f>
        <v/>
      </c>
      <c r="E370" s="105">
        <f t="shared" si="5"/>
        <v>0</v>
      </c>
      <c r="F370" s="104" t="str">
        <f>IFERROR(INDEX(Catalogue!$K:$K,MATCH(A370,Catalogue!$A:$A,0)),"")</f>
        <v/>
      </c>
      <c r="G370" s="102"/>
      <c r="H370" s="7"/>
      <c r="I370" s="7"/>
    </row>
    <row r="371" spans="1:9" x14ac:dyDescent="0.25">
      <c r="A371" s="103" t="str">
        <f>IFERROR(INDEX(Liste_Materiel_Combinee!$B:$B,(_xlfn.AGGREGATE(15,6,(ROW(Liste_Materiel_Combinee!$G$2:$G$426)-1)/(Liste_Materiel_Combinee!$G$2:$G$426=1),369)+1)),"")</f>
        <v/>
      </c>
      <c r="B371" s="104" t="str">
        <f>IFERROR(INDEX(Liste_Materiel_Combinee!$C:$C,(_xlfn.AGGREGATE(15,6,(ROW(Liste_Materiel_Combinee!$G$2:$G$426)-1)/(Liste_Materiel_Combinee!$G$2:$G$426=1),369)+1)),"")</f>
        <v/>
      </c>
      <c r="C371" s="104" t="str">
        <f>IF(IFERROR(INDEX(Liste_Materiel_Combinee!$F:$F,(_xlfn.AGGREGATE(15,6,(ROW(Liste_Materiel_Combinee!$G$2:$G$426)-1)/(Liste_Materiel_Combinee!$G$2:$G$426=1),369)+1)),"")="","",ROUNDUP(IFERROR(INDEX(Liste_Materiel_Combinee!$F:$F,(_xlfn.AGGREGATE(15,6,(ROW(Liste_Materiel_Combinee!$G$2:$G$426)-1)/(Liste_Materiel_Combinee!$G$2:$G$426=1),369)+1)),""),0))</f>
        <v/>
      </c>
      <c r="D371" s="104" t="str">
        <f>IF($H$5="EFFACER","",IFERROR(INDEX(Liste_Materiel_Combinee!$E:$E,(_xlfn.AGGREGATE(15,6,(ROW(Liste_Materiel_Combinee!$G$2:$G$426)-1)/(Liste_Materiel_Combinee!$G$2:$G$426=1),369)+1)),""))</f>
        <v/>
      </c>
      <c r="E371" s="105">
        <f t="shared" si="5"/>
        <v>0</v>
      </c>
      <c r="F371" s="104" t="str">
        <f>IFERROR(INDEX(Catalogue!$K:$K,MATCH(A371,Catalogue!$A:$A,0)),"")</f>
        <v/>
      </c>
      <c r="G371" s="102"/>
      <c r="H371" s="7"/>
      <c r="I371" s="7"/>
    </row>
    <row r="372" spans="1:9" x14ac:dyDescent="0.25">
      <c r="A372" s="103" t="str">
        <f>IFERROR(INDEX(Liste_Materiel_Combinee!$B:$B,(_xlfn.AGGREGATE(15,6,(ROW(Liste_Materiel_Combinee!$G$2:$G$426)-1)/(Liste_Materiel_Combinee!$G$2:$G$426=1),370)+1)),"")</f>
        <v/>
      </c>
      <c r="B372" s="104" t="str">
        <f>IFERROR(INDEX(Liste_Materiel_Combinee!$C:$C,(_xlfn.AGGREGATE(15,6,(ROW(Liste_Materiel_Combinee!$G$2:$G$426)-1)/(Liste_Materiel_Combinee!$G$2:$G$426=1),370)+1)),"")</f>
        <v/>
      </c>
      <c r="C372" s="104" t="str">
        <f>IF(IFERROR(INDEX(Liste_Materiel_Combinee!$F:$F,(_xlfn.AGGREGATE(15,6,(ROW(Liste_Materiel_Combinee!$G$2:$G$426)-1)/(Liste_Materiel_Combinee!$G$2:$G$426=1),370)+1)),"")="","",ROUNDUP(IFERROR(INDEX(Liste_Materiel_Combinee!$F:$F,(_xlfn.AGGREGATE(15,6,(ROW(Liste_Materiel_Combinee!$G$2:$G$426)-1)/(Liste_Materiel_Combinee!$G$2:$G$426=1),370)+1)),""),0))</f>
        <v/>
      </c>
      <c r="D372" s="104" t="str">
        <f>IF($H$5="EFFACER","",IFERROR(INDEX(Liste_Materiel_Combinee!$E:$E,(_xlfn.AGGREGATE(15,6,(ROW(Liste_Materiel_Combinee!$G$2:$G$426)-1)/(Liste_Materiel_Combinee!$G$2:$G$426=1),370)+1)),""))</f>
        <v/>
      </c>
      <c r="E372" s="105">
        <f t="shared" si="5"/>
        <v>0</v>
      </c>
      <c r="F372" s="104" t="str">
        <f>IFERROR(INDEX(Catalogue!$K:$K,MATCH(A372,Catalogue!$A:$A,0)),"")</f>
        <v/>
      </c>
      <c r="G372" s="102"/>
      <c r="H372" s="7"/>
      <c r="I372" s="7"/>
    </row>
    <row r="373" spans="1:9" x14ac:dyDescent="0.25">
      <c r="A373" s="103" t="str">
        <f>IFERROR(INDEX(Liste_Materiel_Combinee!$B:$B,(_xlfn.AGGREGATE(15,6,(ROW(Liste_Materiel_Combinee!$G$2:$G$426)-1)/(Liste_Materiel_Combinee!$G$2:$G$426=1),371)+1)),"")</f>
        <v/>
      </c>
      <c r="B373" s="104" t="str">
        <f>IFERROR(INDEX(Liste_Materiel_Combinee!$C:$C,(_xlfn.AGGREGATE(15,6,(ROW(Liste_Materiel_Combinee!$G$2:$G$426)-1)/(Liste_Materiel_Combinee!$G$2:$G$426=1),371)+1)),"")</f>
        <v/>
      </c>
      <c r="C373" s="104" t="str">
        <f>IF(IFERROR(INDEX(Liste_Materiel_Combinee!$F:$F,(_xlfn.AGGREGATE(15,6,(ROW(Liste_Materiel_Combinee!$G$2:$G$426)-1)/(Liste_Materiel_Combinee!$G$2:$G$426=1),371)+1)),"")="","",ROUNDUP(IFERROR(INDEX(Liste_Materiel_Combinee!$F:$F,(_xlfn.AGGREGATE(15,6,(ROW(Liste_Materiel_Combinee!$G$2:$G$426)-1)/(Liste_Materiel_Combinee!$G$2:$G$426=1),371)+1)),""),0))</f>
        <v/>
      </c>
      <c r="D373" s="104" t="str">
        <f>IF($H$5="EFFACER","",IFERROR(INDEX(Liste_Materiel_Combinee!$E:$E,(_xlfn.AGGREGATE(15,6,(ROW(Liste_Materiel_Combinee!$G$2:$G$426)-1)/(Liste_Materiel_Combinee!$G$2:$G$426=1),371)+1)),""))</f>
        <v/>
      </c>
      <c r="E373" s="105">
        <f t="shared" si="5"/>
        <v>0</v>
      </c>
      <c r="F373" s="104" t="str">
        <f>IFERROR(INDEX(Catalogue!$K:$K,MATCH(A373,Catalogue!$A:$A,0)),"")</f>
        <v/>
      </c>
      <c r="G373" s="102"/>
      <c r="H373" s="7"/>
      <c r="I373" s="7"/>
    </row>
    <row r="374" spans="1:9" x14ac:dyDescent="0.25">
      <c r="A374" s="103" t="str">
        <f>IFERROR(INDEX(Liste_Materiel_Combinee!$B:$B,(_xlfn.AGGREGATE(15,6,(ROW(Liste_Materiel_Combinee!$G$2:$G$426)-1)/(Liste_Materiel_Combinee!$G$2:$G$426=1),372)+1)),"")</f>
        <v/>
      </c>
      <c r="B374" s="104" t="str">
        <f>IFERROR(INDEX(Liste_Materiel_Combinee!$C:$C,(_xlfn.AGGREGATE(15,6,(ROW(Liste_Materiel_Combinee!$G$2:$G$426)-1)/(Liste_Materiel_Combinee!$G$2:$G$426=1),372)+1)),"")</f>
        <v/>
      </c>
      <c r="C374" s="104" t="str">
        <f>IF(IFERROR(INDEX(Liste_Materiel_Combinee!$F:$F,(_xlfn.AGGREGATE(15,6,(ROW(Liste_Materiel_Combinee!$G$2:$G$426)-1)/(Liste_Materiel_Combinee!$G$2:$G$426=1),372)+1)),"")="","",ROUNDUP(IFERROR(INDEX(Liste_Materiel_Combinee!$F:$F,(_xlfn.AGGREGATE(15,6,(ROW(Liste_Materiel_Combinee!$G$2:$G$426)-1)/(Liste_Materiel_Combinee!$G$2:$G$426=1),372)+1)),""),0))</f>
        <v/>
      </c>
      <c r="D374" s="104" t="str">
        <f>IF($H$5="EFFACER","",IFERROR(INDEX(Liste_Materiel_Combinee!$E:$E,(_xlfn.AGGREGATE(15,6,(ROW(Liste_Materiel_Combinee!$G$2:$G$426)-1)/(Liste_Materiel_Combinee!$G$2:$G$426=1),372)+1)),""))</f>
        <v/>
      </c>
      <c r="E374" s="105">
        <f t="shared" si="5"/>
        <v>0</v>
      </c>
      <c r="F374" s="104" t="str">
        <f>IFERROR(INDEX(Catalogue!$K:$K,MATCH(A374,Catalogue!$A:$A,0)),"")</f>
        <v/>
      </c>
      <c r="G374" s="102"/>
      <c r="H374" s="7"/>
      <c r="I374" s="7"/>
    </row>
    <row r="375" spans="1:9" x14ac:dyDescent="0.25">
      <c r="A375" s="103" t="str">
        <f>IFERROR(INDEX(Liste_Materiel_Combinee!$B:$B,(_xlfn.AGGREGATE(15,6,(ROW(Liste_Materiel_Combinee!$G$2:$G$426)-1)/(Liste_Materiel_Combinee!$G$2:$G$426=1),373)+1)),"")</f>
        <v/>
      </c>
      <c r="B375" s="104" t="str">
        <f>IFERROR(INDEX(Liste_Materiel_Combinee!$C:$C,(_xlfn.AGGREGATE(15,6,(ROW(Liste_Materiel_Combinee!$G$2:$G$426)-1)/(Liste_Materiel_Combinee!$G$2:$G$426=1),373)+1)),"")</f>
        <v/>
      </c>
      <c r="C375" s="104" t="str">
        <f>IF(IFERROR(INDEX(Liste_Materiel_Combinee!$F:$F,(_xlfn.AGGREGATE(15,6,(ROW(Liste_Materiel_Combinee!$G$2:$G$426)-1)/(Liste_Materiel_Combinee!$G$2:$G$426=1),373)+1)),"")="","",ROUNDUP(IFERROR(INDEX(Liste_Materiel_Combinee!$F:$F,(_xlfn.AGGREGATE(15,6,(ROW(Liste_Materiel_Combinee!$G$2:$G$426)-1)/(Liste_Materiel_Combinee!$G$2:$G$426=1),373)+1)),""),0))</f>
        <v/>
      </c>
      <c r="D375" s="104" t="str">
        <f>IF($H$5="EFFACER","",IFERROR(INDEX(Liste_Materiel_Combinee!$E:$E,(_xlfn.AGGREGATE(15,6,(ROW(Liste_Materiel_Combinee!$G$2:$G$426)-1)/(Liste_Materiel_Combinee!$G$2:$G$426=1),373)+1)),""))</f>
        <v/>
      </c>
      <c r="E375" s="105">
        <f t="shared" si="5"/>
        <v>0</v>
      </c>
      <c r="F375" s="104" t="str">
        <f>IFERROR(INDEX(Catalogue!$K:$K,MATCH(A375,Catalogue!$A:$A,0)),"")</f>
        <v/>
      </c>
      <c r="G375" s="102"/>
      <c r="H375" s="7"/>
      <c r="I375" s="7"/>
    </row>
    <row r="376" spans="1:9" x14ac:dyDescent="0.25">
      <c r="A376" s="103" t="str">
        <f>IFERROR(INDEX(Liste_Materiel_Combinee!$B:$B,(_xlfn.AGGREGATE(15,6,(ROW(Liste_Materiel_Combinee!$G$2:$G$426)-1)/(Liste_Materiel_Combinee!$G$2:$G$426=1),374)+1)),"")</f>
        <v/>
      </c>
      <c r="B376" s="104" t="str">
        <f>IFERROR(INDEX(Liste_Materiel_Combinee!$C:$C,(_xlfn.AGGREGATE(15,6,(ROW(Liste_Materiel_Combinee!$G$2:$G$426)-1)/(Liste_Materiel_Combinee!$G$2:$G$426=1),374)+1)),"")</f>
        <v/>
      </c>
      <c r="C376" s="104" t="str">
        <f>IF(IFERROR(INDEX(Liste_Materiel_Combinee!$F:$F,(_xlfn.AGGREGATE(15,6,(ROW(Liste_Materiel_Combinee!$G$2:$G$426)-1)/(Liste_Materiel_Combinee!$G$2:$G$426=1),374)+1)),"")="","",ROUNDUP(IFERROR(INDEX(Liste_Materiel_Combinee!$F:$F,(_xlfn.AGGREGATE(15,6,(ROW(Liste_Materiel_Combinee!$G$2:$G$426)-1)/(Liste_Materiel_Combinee!$G$2:$G$426=1),374)+1)),""),0))</f>
        <v/>
      </c>
      <c r="D376" s="104" t="str">
        <f>IF($H$5="EFFACER","",IFERROR(INDEX(Liste_Materiel_Combinee!$E:$E,(_xlfn.AGGREGATE(15,6,(ROW(Liste_Materiel_Combinee!$G$2:$G$426)-1)/(Liste_Materiel_Combinee!$G$2:$G$426=1),374)+1)),""))</f>
        <v/>
      </c>
      <c r="E376" s="105">
        <f t="shared" si="5"/>
        <v>0</v>
      </c>
      <c r="F376" s="104" t="str">
        <f>IFERROR(INDEX(Catalogue!$K:$K,MATCH(A376,Catalogue!$A:$A,0)),"")</f>
        <v/>
      </c>
      <c r="G376" s="102"/>
      <c r="H376" s="7"/>
      <c r="I376" s="7"/>
    </row>
    <row r="377" spans="1:9" x14ac:dyDescent="0.25">
      <c r="A377" s="103" t="str">
        <f>IFERROR(INDEX(Liste_Materiel_Combinee!$B:$B,(_xlfn.AGGREGATE(15,6,(ROW(Liste_Materiel_Combinee!$G$2:$G$426)-1)/(Liste_Materiel_Combinee!$G$2:$G$426=1),375)+1)),"")</f>
        <v/>
      </c>
      <c r="B377" s="104" t="str">
        <f>IFERROR(INDEX(Liste_Materiel_Combinee!$C:$C,(_xlfn.AGGREGATE(15,6,(ROW(Liste_Materiel_Combinee!$G$2:$G$426)-1)/(Liste_Materiel_Combinee!$G$2:$G$426=1),375)+1)),"")</f>
        <v/>
      </c>
      <c r="C377" s="104" t="str">
        <f>IF(IFERROR(INDEX(Liste_Materiel_Combinee!$F:$F,(_xlfn.AGGREGATE(15,6,(ROW(Liste_Materiel_Combinee!$G$2:$G$426)-1)/(Liste_Materiel_Combinee!$G$2:$G$426=1),375)+1)),"")="","",ROUNDUP(IFERROR(INDEX(Liste_Materiel_Combinee!$F:$F,(_xlfn.AGGREGATE(15,6,(ROW(Liste_Materiel_Combinee!$G$2:$G$426)-1)/(Liste_Materiel_Combinee!$G$2:$G$426=1),375)+1)),""),0))</f>
        <v/>
      </c>
      <c r="D377" s="104" t="str">
        <f>IF($H$5="EFFACER","",IFERROR(INDEX(Liste_Materiel_Combinee!$E:$E,(_xlfn.AGGREGATE(15,6,(ROW(Liste_Materiel_Combinee!$G$2:$G$426)-1)/(Liste_Materiel_Combinee!$G$2:$G$426=1),375)+1)),""))</f>
        <v/>
      </c>
      <c r="E377" s="105">
        <f t="shared" si="5"/>
        <v>0</v>
      </c>
      <c r="F377" s="104" t="str">
        <f>IFERROR(INDEX(Catalogue!$K:$K,MATCH(A377,Catalogue!$A:$A,0)),"")</f>
        <v/>
      </c>
      <c r="G377" s="102"/>
      <c r="H377" s="7"/>
      <c r="I377" s="7"/>
    </row>
    <row r="378" spans="1:9" x14ac:dyDescent="0.25">
      <c r="A378" s="103" t="str">
        <f>IFERROR(INDEX(Liste_Materiel_Combinee!$B:$B,(_xlfn.AGGREGATE(15,6,(ROW(Liste_Materiel_Combinee!$G$2:$G$426)-1)/(Liste_Materiel_Combinee!$G$2:$G$426=1),376)+1)),"")</f>
        <v/>
      </c>
      <c r="B378" s="104" t="str">
        <f>IFERROR(INDEX(Liste_Materiel_Combinee!$C:$C,(_xlfn.AGGREGATE(15,6,(ROW(Liste_Materiel_Combinee!$G$2:$G$426)-1)/(Liste_Materiel_Combinee!$G$2:$G$426=1),376)+1)),"")</f>
        <v/>
      </c>
      <c r="C378" s="104" t="str">
        <f>IF(IFERROR(INDEX(Liste_Materiel_Combinee!$F:$F,(_xlfn.AGGREGATE(15,6,(ROW(Liste_Materiel_Combinee!$G$2:$G$426)-1)/(Liste_Materiel_Combinee!$G$2:$G$426=1),376)+1)),"")="","",ROUNDUP(IFERROR(INDEX(Liste_Materiel_Combinee!$F:$F,(_xlfn.AGGREGATE(15,6,(ROW(Liste_Materiel_Combinee!$G$2:$G$426)-1)/(Liste_Materiel_Combinee!$G$2:$G$426=1),376)+1)),""),0))</f>
        <v/>
      </c>
      <c r="D378" s="104" t="str">
        <f>IF($H$5="EFFACER","",IFERROR(INDEX(Liste_Materiel_Combinee!$E:$E,(_xlfn.AGGREGATE(15,6,(ROW(Liste_Materiel_Combinee!$G$2:$G$426)-1)/(Liste_Materiel_Combinee!$G$2:$G$426=1),376)+1)),""))</f>
        <v/>
      </c>
      <c r="E378" s="105">
        <f t="shared" si="5"/>
        <v>0</v>
      </c>
      <c r="F378" s="104" t="str">
        <f>IFERROR(INDEX(Catalogue!$K:$K,MATCH(A378,Catalogue!$A:$A,0)),"")</f>
        <v/>
      </c>
      <c r="G378" s="102"/>
      <c r="H378" s="7"/>
      <c r="I378" s="7"/>
    </row>
    <row r="379" spans="1:9" x14ac:dyDescent="0.25">
      <c r="A379" s="103" t="str">
        <f>IFERROR(INDEX(Liste_Materiel_Combinee!$B:$B,(_xlfn.AGGREGATE(15,6,(ROW(Liste_Materiel_Combinee!$G$2:$G$426)-1)/(Liste_Materiel_Combinee!$G$2:$G$426=1),377)+1)),"")</f>
        <v/>
      </c>
      <c r="B379" s="104" t="str">
        <f>IFERROR(INDEX(Liste_Materiel_Combinee!$C:$C,(_xlfn.AGGREGATE(15,6,(ROW(Liste_Materiel_Combinee!$G$2:$G$426)-1)/(Liste_Materiel_Combinee!$G$2:$G$426=1),377)+1)),"")</f>
        <v/>
      </c>
      <c r="C379" s="104" t="str">
        <f>IF(IFERROR(INDEX(Liste_Materiel_Combinee!$F:$F,(_xlfn.AGGREGATE(15,6,(ROW(Liste_Materiel_Combinee!$G$2:$G$426)-1)/(Liste_Materiel_Combinee!$G$2:$G$426=1),377)+1)),"")="","",ROUNDUP(IFERROR(INDEX(Liste_Materiel_Combinee!$F:$F,(_xlfn.AGGREGATE(15,6,(ROW(Liste_Materiel_Combinee!$G$2:$G$426)-1)/(Liste_Materiel_Combinee!$G$2:$G$426=1),377)+1)),""),0))</f>
        <v/>
      </c>
      <c r="D379" s="104" t="str">
        <f>IF($H$5="EFFACER","",IFERROR(INDEX(Liste_Materiel_Combinee!$E:$E,(_xlfn.AGGREGATE(15,6,(ROW(Liste_Materiel_Combinee!$G$2:$G$426)-1)/(Liste_Materiel_Combinee!$G$2:$G$426=1),377)+1)),""))</f>
        <v/>
      </c>
      <c r="E379" s="105">
        <f t="shared" si="5"/>
        <v>0</v>
      </c>
      <c r="F379" s="104" t="str">
        <f>IFERROR(INDEX(Catalogue!$K:$K,MATCH(A379,Catalogue!$A:$A,0)),"")</f>
        <v/>
      </c>
      <c r="G379" s="102"/>
      <c r="H379" s="7"/>
      <c r="I379" s="7"/>
    </row>
    <row r="380" spans="1:9" x14ac:dyDescent="0.25">
      <c r="A380" s="103" t="str">
        <f>IFERROR(INDEX(Liste_Materiel_Combinee!$B:$B,(_xlfn.AGGREGATE(15,6,(ROW(Liste_Materiel_Combinee!$G$2:$G$426)-1)/(Liste_Materiel_Combinee!$G$2:$G$426=1),378)+1)),"")</f>
        <v/>
      </c>
      <c r="B380" s="104" t="str">
        <f>IFERROR(INDEX(Liste_Materiel_Combinee!$C:$C,(_xlfn.AGGREGATE(15,6,(ROW(Liste_Materiel_Combinee!$G$2:$G$426)-1)/(Liste_Materiel_Combinee!$G$2:$G$426=1),378)+1)),"")</f>
        <v/>
      </c>
      <c r="C380" s="104" t="str">
        <f>IF(IFERROR(INDEX(Liste_Materiel_Combinee!$F:$F,(_xlfn.AGGREGATE(15,6,(ROW(Liste_Materiel_Combinee!$G$2:$G$426)-1)/(Liste_Materiel_Combinee!$G$2:$G$426=1),378)+1)),"")="","",ROUNDUP(IFERROR(INDEX(Liste_Materiel_Combinee!$F:$F,(_xlfn.AGGREGATE(15,6,(ROW(Liste_Materiel_Combinee!$G$2:$G$426)-1)/(Liste_Materiel_Combinee!$G$2:$G$426=1),378)+1)),""),0))</f>
        <v/>
      </c>
      <c r="D380" s="104" t="str">
        <f>IF($H$5="EFFACER","",IFERROR(INDEX(Liste_Materiel_Combinee!$E:$E,(_xlfn.AGGREGATE(15,6,(ROW(Liste_Materiel_Combinee!$G$2:$G$426)-1)/(Liste_Materiel_Combinee!$G$2:$G$426=1),378)+1)),""))</f>
        <v/>
      </c>
      <c r="E380" s="105">
        <f t="shared" si="5"/>
        <v>0</v>
      </c>
      <c r="F380" s="104" t="str">
        <f>IFERROR(INDEX(Catalogue!$K:$K,MATCH(A380,Catalogue!$A:$A,0)),"")</f>
        <v/>
      </c>
      <c r="G380" s="102"/>
      <c r="H380" s="7"/>
      <c r="I380" s="7"/>
    </row>
    <row r="381" spans="1:9" x14ac:dyDescent="0.25">
      <c r="A381" s="103" t="str">
        <f>IFERROR(INDEX(Liste_Materiel_Combinee!$B:$B,(_xlfn.AGGREGATE(15,6,(ROW(Liste_Materiel_Combinee!$G$2:$G$426)-1)/(Liste_Materiel_Combinee!$G$2:$G$426=1),379)+1)),"")</f>
        <v/>
      </c>
      <c r="B381" s="104" t="str">
        <f>IFERROR(INDEX(Liste_Materiel_Combinee!$C:$C,(_xlfn.AGGREGATE(15,6,(ROW(Liste_Materiel_Combinee!$G$2:$G$426)-1)/(Liste_Materiel_Combinee!$G$2:$G$426=1),379)+1)),"")</f>
        <v/>
      </c>
      <c r="C381" s="104" t="str">
        <f>IF(IFERROR(INDEX(Liste_Materiel_Combinee!$F:$F,(_xlfn.AGGREGATE(15,6,(ROW(Liste_Materiel_Combinee!$G$2:$G$426)-1)/(Liste_Materiel_Combinee!$G$2:$G$426=1),379)+1)),"")="","",ROUNDUP(IFERROR(INDEX(Liste_Materiel_Combinee!$F:$F,(_xlfn.AGGREGATE(15,6,(ROW(Liste_Materiel_Combinee!$G$2:$G$426)-1)/(Liste_Materiel_Combinee!$G$2:$G$426=1),379)+1)),""),0))</f>
        <v/>
      </c>
      <c r="D381" s="104" t="str">
        <f>IF($H$5="EFFACER","",IFERROR(INDEX(Liste_Materiel_Combinee!$E:$E,(_xlfn.AGGREGATE(15,6,(ROW(Liste_Materiel_Combinee!$G$2:$G$426)-1)/(Liste_Materiel_Combinee!$G$2:$G$426=1),379)+1)),""))</f>
        <v/>
      </c>
      <c r="E381" s="105">
        <f t="shared" si="5"/>
        <v>0</v>
      </c>
      <c r="F381" s="104" t="str">
        <f>IFERROR(INDEX(Catalogue!$K:$K,MATCH(A381,Catalogue!$A:$A,0)),"")</f>
        <v/>
      </c>
      <c r="G381" s="102"/>
      <c r="H381" s="7"/>
      <c r="I381" s="7"/>
    </row>
    <row r="382" spans="1:9" x14ac:dyDescent="0.25">
      <c r="A382" s="103" t="str">
        <f>IFERROR(INDEX(Liste_Materiel_Combinee!$B:$B,(_xlfn.AGGREGATE(15,6,(ROW(Liste_Materiel_Combinee!$G$2:$G$426)-1)/(Liste_Materiel_Combinee!$G$2:$G$426=1),380)+1)),"")</f>
        <v/>
      </c>
      <c r="B382" s="104" t="str">
        <f>IFERROR(INDEX(Liste_Materiel_Combinee!$C:$C,(_xlfn.AGGREGATE(15,6,(ROW(Liste_Materiel_Combinee!$G$2:$G$426)-1)/(Liste_Materiel_Combinee!$G$2:$G$426=1),380)+1)),"")</f>
        <v/>
      </c>
      <c r="C382" s="104" t="str">
        <f>IF(IFERROR(INDEX(Liste_Materiel_Combinee!$F:$F,(_xlfn.AGGREGATE(15,6,(ROW(Liste_Materiel_Combinee!$G$2:$G$426)-1)/(Liste_Materiel_Combinee!$G$2:$G$426=1),380)+1)),"")="","",ROUNDUP(IFERROR(INDEX(Liste_Materiel_Combinee!$F:$F,(_xlfn.AGGREGATE(15,6,(ROW(Liste_Materiel_Combinee!$G$2:$G$426)-1)/(Liste_Materiel_Combinee!$G$2:$G$426=1),380)+1)),""),0))</f>
        <v/>
      </c>
      <c r="D382" s="104" t="str">
        <f>IF($H$5="EFFACER","",IFERROR(INDEX(Liste_Materiel_Combinee!$E:$E,(_xlfn.AGGREGATE(15,6,(ROW(Liste_Materiel_Combinee!$G$2:$G$426)-1)/(Liste_Materiel_Combinee!$G$2:$G$426=1),380)+1)),""))</f>
        <v/>
      </c>
      <c r="E382" s="105">
        <f t="shared" si="5"/>
        <v>0</v>
      </c>
      <c r="F382" s="104" t="str">
        <f>IFERROR(INDEX(Catalogue!$K:$K,MATCH(A382,Catalogue!$A:$A,0)),"")</f>
        <v/>
      </c>
      <c r="G382" s="102"/>
      <c r="H382" s="7"/>
      <c r="I382" s="7"/>
    </row>
    <row r="383" spans="1:9" x14ac:dyDescent="0.25">
      <c r="A383" s="103" t="str">
        <f>IFERROR(INDEX(Liste_Materiel_Combinee!$B:$B,(_xlfn.AGGREGATE(15,6,(ROW(Liste_Materiel_Combinee!$G$2:$G$426)-1)/(Liste_Materiel_Combinee!$G$2:$G$426=1),381)+1)),"")</f>
        <v/>
      </c>
      <c r="B383" s="104" t="str">
        <f>IFERROR(INDEX(Liste_Materiel_Combinee!$C:$C,(_xlfn.AGGREGATE(15,6,(ROW(Liste_Materiel_Combinee!$G$2:$G$426)-1)/(Liste_Materiel_Combinee!$G$2:$G$426=1),381)+1)),"")</f>
        <v/>
      </c>
      <c r="C383" s="104" t="str">
        <f>IF(IFERROR(INDEX(Liste_Materiel_Combinee!$F:$F,(_xlfn.AGGREGATE(15,6,(ROW(Liste_Materiel_Combinee!$G$2:$G$426)-1)/(Liste_Materiel_Combinee!$G$2:$G$426=1),381)+1)),"")="","",ROUNDUP(IFERROR(INDEX(Liste_Materiel_Combinee!$F:$F,(_xlfn.AGGREGATE(15,6,(ROW(Liste_Materiel_Combinee!$G$2:$G$426)-1)/(Liste_Materiel_Combinee!$G$2:$G$426=1),381)+1)),""),0))</f>
        <v/>
      </c>
      <c r="D383" s="104" t="str">
        <f>IF($H$5="EFFACER","",IFERROR(INDEX(Liste_Materiel_Combinee!$E:$E,(_xlfn.AGGREGATE(15,6,(ROW(Liste_Materiel_Combinee!$G$2:$G$426)-1)/(Liste_Materiel_Combinee!$G$2:$G$426=1),381)+1)),""))</f>
        <v/>
      </c>
      <c r="E383" s="105">
        <f t="shared" si="5"/>
        <v>0</v>
      </c>
      <c r="F383" s="104" t="str">
        <f>IFERROR(INDEX(Catalogue!$K:$K,MATCH(A383,Catalogue!$A:$A,0)),"")</f>
        <v/>
      </c>
      <c r="G383" s="102"/>
      <c r="H383" s="7"/>
      <c r="I383" s="7"/>
    </row>
    <row r="384" spans="1:9" x14ac:dyDescent="0.25">
      <c r="A384" s="103" t="str">
        <f>IFERROR(INDEX(Liste_Materiel_Combinee!$B:$B,(_xlfn.AGGREGATE(15,6,(ROW(Liste_Materiel_Combinee!$G$2:$G$426)-1)/(Liste_Materiel_Combinee!$G$2:$G$426=1),382)+1)),"")</f>
        <v/>
      </c>
      <c r="B384" s="104" t="str">
        <f>IFERROR(INDEX(Liste_Materiel_Combinee!$C:$C,(_xlfn.AGGREGATE(15,6,(ROW(Liste_Materiel_Combinee!$G$2:$G$426)-1)/(Liste_Materiel_Combinee!$G$2:$G$426=1),382)+1)),"")</f>
        <v/>
      </c>
      <c r="C384" s="104" t="str">
        <f>IF(IFERROR(INDEX(Liste_Materiel_Combinee!$F:$F,(_xlfn.AGGREGATE(15,6,(ROW(Liste_Materiel_Combinee!$G$2:$G$426)-1)/(Liste_Materiel_Combinee!$G$2:$G$426=1),382)+1)),"")="","",ROUNDUP(IFERROR(INDEX(Liste_Materiel_Combinee!$F:$F,(_xlfn.AGGREGATE(15,6,(ROW(Liste_Materiel_Combinee!$G$2:$G$426)-1)/(Liste_Materiel_Combinee!$G$2:$G$426=1),382)+1)),""),0))</f>
        <v/>
      </c>
      <c r="D384" s="104" t="str">
        <f>IF($H$5="EFFACER","",IFERROR(INDEX(Liste_Materiel_Combinee!$E:$E,(_xlfn.AGGREGATE(15,6,(ROW(Liste_Materiel_Combinee!$G$2:$G$426)-1)/(Liste_Materiel_Combinee!$G$2:$G$426=1),382)+1)),""))</f>
        <v/>
      </c>
      <c r="E384" s="105">
        <f t="shared" si="5"/>
        <v>0</v>
      </c>
      <c r="F384" s="104" t="str">
        <f>IFERROR(INDEX(Catalogue!$K:$K,MATCH(A384,Catalogue!$A:$A,0)),"")</f>
        <v/>
      </c>
      <c r="G384" s="102"/>
      <c r="H384" s="7"/>
      <c r="I384" s="7"/>
    </row>
    <row r="385" spans="1:9" x14ac:dyDescent="0.25">
      <c r="A385" s="103" t="str">
        <f>IFERROR(INDEX(Liste_Materiel_Combinee!$B:$B,(_xlfn.AGGREGATE(15,6,(ROW(Liste_Materiel_Combinee!$G$2:$G$426)-1)/(Liste_Materiel_Combinee!$G$2:$G$426=1),383)+1)),"")</f>
        <v/>
      </c>
      <c r="B385" s="104" t="str">
        <f>IFERROR(INDEX(Liste_Materiel_Combinee!$C:$C,(_xlfn.AGGREGATE(15,6,(ROW(Liste_Materiel_Combinee!$G$2:$G$426)-1)/(Liste_Materiel_Combinee!$G$2:$G$426=1),383)+1)),"")</f>
        <v/>
      </c>
      <c r="C385" s="104" t="str">
        <f>IF(IFERROR(INDEX(Liste_Materiel_Combinee!$F:$F,(_xlfn.AGGREGATE(15,6,(ROW(Liste_Materiel_Combinee!$G$2:$G$426)-1)/(Liste_Materiel_Combinee!$G$2:$G$426=1),383)+1)),"")="","",ROUNDUP(IFERROR(INDEX(Liste_Materiel_Combinee!$F:$F,(_xlfn.AGGREGATE(15,6,(ROW(Liste_Materiel_Combinee!$G$2:$G$426)-1)/(Liste_Materiel_Combinee!$G$2:$G$426=1),383)+1)),""),0))</f>
        <v/>
      </c>
      <c r="D385" s="104" t="str">
        <f>IF($H$5="EFFACER","",IFERROR(INDEX(Liste_Materiel_Combinee!$E:$E,(_xlfn.AGGREGATE(15,6,(ROW(Liste_Materiel_Combinee!$G$2:$G$426)-1)/(Liste_Materiel_Combinee!$G$2:$G$426=1),383)+1)),""))</f>
        <v/>
      </c>
      <c r="E385" s="105">
        <f t="shared" si="5"/>
        <v>0</v>
      </c>
      <c r="F385" s="104" t="str">
        <f>IFERROR(INDEX(Catalogue!$K:$K,MATCH(A385,Catalogue!$A:$A,0)),"")</f>
        <v/>
      </c>
      <c r="G385" s="102"/>
      <c r="H385" s="7"/>
      <c r="I385" s="7"/>
    </row>
    <row r="386" spans="1:9" x14ac:dyDescent="0.25">
      <c r="A386" s="103" t="str">
        <f>IFERROR(INDEX(Liste_Materiel_Combinee!$B:$B,(_xlfn.AGGREGATE(15,6,(ROW(Liste_Materiel_Combinee!$G$2:$G$426)-1)/(Liste_Materiel_Combinee!$G$2:$G$426=1),384)+1)),"")</f>
        <v/>
      </c>
      <c r="B386" s="104" t="str">
        <f>IFERROR(INDEX(Liste_Materiel_Combinee!$C:$C,(_xlfn.AGGREGATE(15,6,(ROW(Liste_Materiel_Combinee!$G$2:$G$426)-1)/(Liste_Materiel_Combinee!$G$2:$G$426=1),384)+1)),"")</f>
        <v/>
      </c>
      <c r="C386" s="104" t="str">
        <f>IF(IFERROR(INDEX(Liste_Materiel_Combinee!$F:$F,(_xlfn.AGGREGATE(15,6,(ROW(Liste_Materiel_Combinee!$G$2:$G$426)-1)/(Liste_Materiel_Combinee!$G$2:$G$426=1),384)+1)),"")="","",ROUNDUP(IFERROR(INDEX(Liste_Materiel_Combinee!$F:$F,(_xlfn.AGGREGATE(15,6,(ROW(Liste_Materiel_Combinee!$G$2:$G$426)-1)/(Liste_Materiel_Combinee!$G$2:$G$426=1),384)+1)),""),0))</f>
        <v/>
      </c>
      <c r="D386" s="104" t="str">
        <f>IF($H$5="EFFACER","",IFERROR(INDEX(Liste_Materiel_Combinee!$E:$E,(_xlfn.AGGREGATE(15,6,(ROW(Liste_Materiel_Combinee!$G$2:$G$426)-1)/(Liste_Materiel_Combinee!$G$2:$G$426=1),384)+1)),""))</f>
        <v/>
      </c>
      <c r="E386" s="105">
        <f t="shared" si="5"/>
        <v>0</v>
      </c>
      <c r="F386" s="104" t="str">
        <f>IFERROR(INDEX(Catalogue!$K:$K,MATCH(A386,Catalogue!$A:$A,0)),"")</f>
        <v/>
      </c>
      <c r="G386" s="102"/>
      <c r="H386" s="7"/>
      <c r="I386" s="7"/>
    </row>
    <row r="387" spans="1:9" x14ac:dyDescent="0.25">
      <c r="A387" s="103" t="str">
        <f>IFERROR(INDEX(Liste_Materiel_Combinee!$B:$B,(_xlfn.AGGREGATE(15,6,(ROW(Liste_Materiel_Combinee!$G$2:$G$426)-1)/(Liste_Materiel_Combinee!$G$2:$G$426=1),385)+1)),"")</f>
        <v/>
      </c>
      <c r="B387" s="104" t="str">
        <f>IFERROR(INDEX(Liste_Materiel_Combinee!$C:$C,(_xlfn.AGGREGATE(15,6,(ROW(Liste_Materiel_Combinee!$G$2:$G$426)-1)/(Liste_Materiel_Combinee!$G$2:$G$426=1),385)+1)),"")</f>
        <v/>
      </c>
      <c r="C387" s="104" t="str">
        <f>IF(IFERROR(INDEX(Liste_Materiel_Combinee!$F:$F,(_xlfn.AGGREGATE(15,6,(ROW(Liste_Materiel_Combinee!$G$2:$G$426)-1)/(Liste_Materiel_Combinee!$G$2:$G$426=1),385)+1)),"")="","",ROUNDUP(IFERROR(INDEX(Liste_Materiel_Combinee!$F:$F,(_xlfn.AGGREGATE(15,6,(ROW(Liste_Materiel_Combinee!$G$2:$G$426)-1)/(Liste_Materiel_Combinee!$G$2:$G$426=1),385)+1)),""),0))</f>
        <v/>
      </c>
      <c r="D387" s="104" t="str">
        <f>IF($H$5="EFFACER","",IFERROR(INDEX(Liste_Materiel_Combinee!$E:$E,(_xlfn.AGGREGATE(15,6,(ROW(Liste_Materiel_Combinee!$G$2:$G$426)-1)/(Liste_Materiel_Combinee!$G$2:$G$426=1),385)+1)),""))</f>
        <v/>
      </c>
      <c r="E387" s="105">
        <f t="shared" ref="E387:E423" si="6">$H$2</f>
        <v>0</v>
      </c>
      <c r="F387" s="104" t="str">
        <f>IFERROR(INDEX(Catalogue!$K:$K,MATCH(A387,Catalogue!$A:$A,0)),"")</f>
        <v/>
      </c>
      <c r="G387" s="102"/>
      <c r="H387" s="7"/>
      <c r="I387" s="7"/>
    </row>
    <row r="388" spans="1:9" x14ac:dyDescent="0.25">
      <c r="A388" s="103" t="str">
        <f>IFERROR(INDEX(Liste_Materiel_Combinee!$B:$B,(_xlfn.AGGREGATE(15,6,(ROW(Liste_Materiel_Combinee!$G$2:$G$426)-1)/(Liste_Materiel_Combinee!$G$2:$G$426=1),386)+1)),"")</f>
        <v/>
      </c>
      <c r="B388" s="104" t="str">
        <f>IFERROR(INDEX(Liste_Materiel_Combinee!$C:$C,(_xlfn.AGGREGATE(15,6,(ROW(Liste_Materiel_Combinee!$G$2:$G$426)-1)/(Liste_Materiel_Combinee!$G$2:$G$426=1),386)+1)),"")</f>
        <v/>
      </c>
      <c r="C388" s="104" t="str">
        <f>IF(IFERROR(INDEX(Liste_Materiel_Combinee!$F:$F,(_xlfn.AGGREGATE(15,6,(ROW(Liste_Materiel_Combinee!$G$2:$G$426)-1)/(Liste_Materiel_Combinee!$G$2:$G$426=1),386)+1)),"")="","",ROUNDUP(IFERROR(INDEX(Liste_Materiel_Combinee!$F:$F,(_xlfn.AGGREGATE(15,6,(ROW(Liste_Materiel_Combinee!$G$2:$G$426)-1)/(Liste_Materiel_Combinee!$G$2:$G$426=1),386)+1)),""),0))</f>
        <v/>
      </c>
      <c r="D388" s="104" t="str">
        <f>IF($H$5="EFFACER","",IFERROR(INDEX(Liste_Materiel_Combinee!$E:$E,(_xlfn.AGGREGATE(15,6,(ROW(Liste_Materiel_Combinee!$G$2:$G$426)-1)/(Liste_Materiel_Combinee!$G$2:$G$426=1),386)+1)),""))</f>
        <v/>
      </c>
      <c r="E388" s="105">
        <f t="shared" si="6"/>
        <v>0</v>
      </c>
      <c r="F388" s="104" t="str">
        <f>IFERROR(INDEX(Catalogue!$K:$K,MATCH(A388,Catalogue!$A:$A,0)),"")</f>
        <v/>
      </c>
      <c r="G388" s="102"/>
      <c r="H388" s="7"/>
      <c r="I388" s="7"/>
    </row>
    <row r="389" spans="1:9" x14ac:dyDescent="0.25">
      <c r="A389" s="103" t="str">
        <f>IFERROR(INDEX(Liste_Materiel_Combinee!$B:$B,(_xlfn.AGGREGATE(15,6,(ROW(Liste_Materiel_Combinee!$G$2:$G$426)-1)/(Liste_Materiel_Combinee!$G$2:$G$426=1),387)+1)),"")</f>
        <v/>
      </c>
      <c r="B389" s="104" t="str">
        <f>IFERROR(INDEX(Liste_Materiel_Combinee!$C:$C,(_xlfn.AGGREGATE(15,6,(ROW(Liste_Materiel_Combinee!$G$2:$G$426)-1)/(Liste_Materiel_Combinee!$G$2:$G$426=1),387)+1)),"")</f>
        <v/>
      </c>
      <c r="C389" s="104" t="str">
        <f>IF(IFERROR(INDEX(Liste_Materiel_Combinee!$F:$F,(_xlfn.AGGREGATE(15,6,(ROW(Liste_Materiel_Combinee!$G$2:$G$426)-1)/(Liste_Materiel_Combinee!$G$2:$G$426=1),387)+1)),"")="","",ROUNDUP(IFERROR(INDEX(Liste_Materiel_Combinee!$F:$F,(_xlfn.AGGREGATE(15,6,(ROW(Liste_Materiel_Combinee!$G$2:$G$426)-1)/(Liste_Materiel_Combinee!$G$2:$G$426=1),387)+1)),""),0))</f>
        <v/>
      </c>
      <c r="D389" s="104" t="str">
        <f>IF($H$5="EFFACER","",IFERROR(INDEX(Liste_Materiel_Combinee!$E:$E,(_xlfn.AGGREGATE(15,6,(ROW(Liste_Materiel_Combinee!$G$2:$G$426)-1)/(Liste_Materiel_Combinee!$G$2:$G$426=1),387)+1)),""))</f>
        <v/>
      </c>
      <c r="E389" s="105">
        <f t="shared" si="6"/>
        <v>0</v>
      </c>
      <c r="F389" s="104" t="str">
        <f>IFERROR(INDEX(Catalogue!$K:$K,MATCH(A389,Catalogue!$A:$A,0)),"")</f>
        <v/>
      </c>
      <c r="G389" s="102"/>
      <c r="H389" s="7"/>
      <c r="I389" s="7"/>
    </row>
    <row r="390" spans="1:9" x14ac:dyDescent="0.25">
      <c r="A390" s="103" t="str">
        <f>IFERROR(INDEX(Liste_Materiel_Combinee!$B:$B,(_xlfn.AGGREGATE(15,6,(ROW(Liste_Materiel_Combinee!$G$2:$G$426)-1)/(Liste_Materiel_Combinee!$G$2:$G$426=1),388)+1)),"")</f>
        <v/>
      </c>
      <c r="B390" s="104" t="str">
        <f>IFERROR(INDEX(Liste_Materiel_Combinee!$C:$C,(_xlfn.AGGREGATE(15,6,(ROW(Liste_Materiel_Combinee!$G$2:$G$426)-1)/(Liste_Materiel_Combinee!$G$2:$G$426=1),388)+1)),"")</f>
        <v/>
      </c>
      <c r="C390" s="104" t="str">
        <f>IF(IFERROR(INDEX(Liste_Materiel_Combinee!$F:$F,(_xlfn.AGGREGATE(15,6,(ROW(Liste_Materiel_Combinee!$G$2:$G$426)-1)/(Liste_Materiel_Combinee!$G$2:$G$426=1),388)+1)),"")="","",ROUNDUP(IFERROR(INDEX(Liste_Materiel_Combinee!$F:$F,(_xlfn.AGGREGATE(15,6,(ROW(Liste_Materiel_Combinee!$G$2:$G$426)-1)/(Liste_Materiel_Combinee!$G$2:$G$426=1),388)+1)),""),0))</f>
        <v/>
      </c>
      <c r="D390" s="104" t="str">
        <f>IF($H$5="EFFACER","",IFERROR(INDEX(Liste_Materiel_Combinee!$E:$E,(_xlfn.AGGREGATE(15,6,(ROW(Liste_Materiel_Combinee!$G$2:$G$426)-1)/(Liste_Materiel_Combinee!$G$2:$G$426=1),388)+1)),""))</f>
        <v/>
      </c>
      <c r="E390" s="105">
        <f t="shared" si="6"/>
        <v>0</v>
      </c>
      <c r="F390" s="104" t="str">
        <f>IFERROR(INDEX(Catalogue!$K:$K,MATCH(A390,Catalogue!$A:$A,0)),"")</f>
        <v/>
      </c>
      <c r="G390" s="102"/>
      <c r="H390" s="7"/>
      <c r="I390" s="7"/>
    </row>
    <row r="391" spans="1:9" x14ac:dyDescent="0.25">
      <c r="A391" s="103" t="str">
        <f>IFERROR(INDEX(Liste_Materiel_Combinee!$B:$B,(_xlfn.AGGREGATE(15,6,(ROW(Liste_Materiel_Combinee!$G$2:$G$426)-1)/(Liste_Materiel_Combinee!$G$2:$G$426=1),389)+1)),"")</f>
        <v/>
      </c>
      <c r="B391" s="104" t="str">
        <f>IFERROR(INDEX(Liste_Materiel_Combinee!$C:$C,(_xlfn.AGGREGATE(15,6,(ROW(Liste_Materiel_Combinee!$G$2:$G$426)-1)/(Liste_Materiel_Combinee!$G$2:$G$426=1),389)+1)),"")</f>
        <v/>
      </c>
      <c r="C391" s="104" t="str">
        <f>IF(IFERROR(INDEX(Liste_Materiel_Combinee!$F:$F,(_xlfn.AGGREGATE(15,6,(ROW(Liste_Materiel_Combinee!$G$2:$G$426)-1)/(Liste_Materiel_Combinee!$G$2:$G$426=1),389)+1)),"")="","",ROUNDUP(IFERROR(INDEX(Liste_Materiel_Combinee!$F:$F,(_xlfn.AGGREGATE(15,6,(ROW(Liste_Materiel_Combinee!$G$2:$G$426)-1)/(Liste_Materiel_Combinee!$G$2:$G$426=1),389)+1)),""),0))</f>
        <v/>
      </c>
      <c r="D391" s="104" t="str">
        <f>IF($H$5="EFFACER","",IFERROR(INDEX(Liste_Materiel_Combinee!$E:$E,(_xlfn.AGGREGATE(15,6,(ROW(Liste_Materiel_Combinee!$G$2:$G$426)-1)/(Liste_Materiel_Combinee!$G$2:$G$426=1),389)+1)),""))</f>
        <v/>
      </c>
      <c r="E391" s="105">
        <f t="shared" si="6"/>
        <v>0</v>
      </c>
      <c r="F391" s="104" t="str">
        <f>IFERROR(INDEX(Catalogue!$K:$K,MATCH(A391,Catalogue!$A:$A,0)),"")</f>
        <v/>
      </c>
      <c r="G391" s="102"/>
      <c r="H391" s="7"/>
      <c r="I391" s="7"/>
    </row>
    <row r="392" spans="1:9" x14ac:dyDescent="0.25">
      <c r="A392" s="103" t="str">
        <f>IFERROR(INDEX(Liste_Materiel_Combinee!$B:$B,(_xlfn.AGGREGATE(15,6,(ROW(Liste_Materiel_Combinee!$G$2:$G$426)-1)/(Liste_Materiel_Combinee!$G$2:$G$426=1),390)+1)),"")</f>
        <v/>
      </c>
      <c r="B392" s="104" t="str">
        <f>IFERROR(INDEX(Liste_Materiel_Combinee!$C:$C,(_xlfn.AGGREGATE(15,6,(ROW(Liste_Materiel_Combinee!$G$2:$G$426)-1)/(Liste_Materiel_Combinee!$G$2:$G$426=1),390)+1)),"")</f>
        <v/>
      </c>
      <c r="C392" s="104" t="str">
        <f>IF(IFERROR(INDEX(Liste_Materiel_Combinee!$F:$F,(_xlfn.AGGREGATE(15,6,(ROW(Liste_Materiel_Combinee!$G$2:$G$426)-1)/(Liste_Materiel_Combinee!$G$2:$G$426=1),390)+1)),"")="","",ROUNDUP(IFERROR(INDEX(Liste_Materiel_Combinee!$F:$F,(_xlfn.AGGREGATE(15,6,(ROW(Liste_Materiel_Combinee!$G$2:$G$426)-1)/(Liste_Materiel_Combinee!$G$2:$G$426=1),390)+1)),""),0))</f>
        <v/>
      </c>
      <c r="D392" s="104" t="str">
        <f>IF($H$5="EFFACER","",IFERROR(INDEX(Liste_Materiel_Combinee!$E:$E,(_xlfn.AGGREGATE(15,6,(ROW(Liste_Materiel_Combinee!$G$2:$G$426)-1)/(Liste_Materiel_Combinee!$G$2:$G$426=1),390)+1)),""))</f>
        <v/>
      </c>
      <c r="E392" s="105">
        <f t="shared" si="6"/>
        <v>0</v>
      </c>
      <c r="F392" s="104" t="str">
        <f>IFERROR(INDEX(Catalogue!$K:$K,MATCH(A392,Catalogue!$A:$A,0)),"")</f>
        <v/>
      </c>
      <c r="G392" s="102"/>
      <c r="H392" s="7"/>
      <c r="I392" s="7"/>
    </row>
    <row r="393" spans="1:9" x14ac:dyDescent="0.25">
      <c r="A393" s="103" t="str">
        <f>IFERROR(INDEX(Liste_Materiel_Combinee!$B:$B,(_xlfn.AGGREGATE(15,6,(ROW(Liste_Materiel_Combinee!$G$2:$G$426)-1)/(Liste_Materiel_Combinee!$G$2:$G$426=1),391)+1)),"")</f>
        <v/>
      </c>
      <c r="B393" s="104" t="str">
        <f>IFERROR(INDEX(Liste_Materiel_Combinee!$C:$C,(_xlfn.AGGREGATE(15,6,(ROW(Liste_Materiel_Combinee!$G$2:$G$426)-1)/(Liste_Materiel_Combinee!$G$2:$G$426=1),391)+1)),"")</f>
        <v/>
      </c>
      <c r="C393" s="104" t="str">
        <f>IF(IFERROR(INDEX(Liste_Materiel_Combinee!$F:$F,(_xlfn.AGGREGATE(15,6,(ROW(Liste_Materiel_Combinee!$G$2:$G$426)-1)/(Liste_Materiel_Combinee!$G$2:$G$426=1),391)+1)),"")="","",ROUNDUP(IFERROR(INDEX(Liste_Materiel_Combinee!$F:$F,(_xlfn.AGGREGATE(15,6,(ROW(Liste_Materiel_Combinee!$G$2:$G$426)-1)/(Liste_Materiel_Combinee!$G$2:$G$426=1),391)+1)),""),0))</f>
        <v/>
      </c>
      <c r="D393" s="104" t="str">
        <f>IF($H$5="EFFACER","",IFERROR(INDEX(Liste_Materiel_Combinee!$E:$E,(_xlfn.AGGREGATE(15,6,(ROW(Liste_Materiel_Combinee!$G$2:$G$426)-1)/(Liste_Materiel_Combinee!$G$2:$G$426=1),391)+1)),""))</f>
        <v/>
      </c>
      <c r="E393" s="105">
        <f t="shared" si="6"/>
        <v>0</v>
      </c>
      <c r="F393" s="104" t="str">
        <f>IFERROR(INDEX(Catalogue!$K:$K,MATCH(A393,Catalogue!$A:$A,0)),"")</f>
        <v/>
      </c>
      <c r="G393" s="102"/>
      <c r="H393" s="7"/>
      <c r="I393" s="7"/>
    </row>
    <row r="394" spans="1:9" x14ac:dyDescent="0.25">
      <c r="A394" s="103" t="str">
        <f>IFERROR(INDEX(Liste_Materiel_Combinee!$B:$B,(_xlfn.AGGREGATE(15,6,(ROW(Liste_Materiel_Combinee!$G$2:$G$426)-1)/(Liste_Materiel_Combinee!$G$2:$G$426=1),392)+1)),"")</f>
        <v/>
      </c>
      <c r="B394" s="104" t="str">
        <f>IFERROR(INDEX(Liste_Materiel_Combinee!$C:$C,(_xlfn.AGGREGATE(15,6,(ROW(Liste_Materiel_Combinee!$G$2:$G$426)-1)/(Liste_Materiel_Combinee!$G$2:$G$426=1),392)+1)),"")</f>
        <v/>
      </c>
      <c r="C394" s="104" t="str">
        <f>IF(IFERROR(INDEX(Liste_Materiel_Combinee!$F:$F,(_xlfn.AGGREGATE(15,6,(ROW(Liste_Materiel_Combinee!$G$2:$G$426)-1)/(Liste_Materiel_Combinee!$G$2:$G$426=1),392)+1)),"")="","",ROUNDUP(IFERROR(INDEX(Liste_Materiel_Combinee!$F:$F,(_xlfn.AGGREGATE(15,6,(ROW(Liste_Materiel_Combinee!$G$2:$G$426)-1)/(Liste_Materiel_Combinee!$G$2:$G$426=1),392)+1)),""),0))</f>
        <v/>
      </c>
      <c r="D394" s="104" t="str">
        <f>IF($H$5="EFFACER","",IFERROR(INDEX(Liste_Materiel_Combinee!$E:$E,(_xlfn.AGGREGATE(15,6,(ROW(Liste_Materiel_Combinee!$G$2:$G$426)-1)/(Liste_Materiel_Combinee!$G$2:$G$426=1),392)+1)),""))</f>
        <v/>
      </c>
      <c r="E394" s="105">
        <f t="shared" si="6"/>
        <v>0</v>
      </c>
      <c r="F394" s="104" t="str">
        <f>IFERROR(INDEX(Catalogue!$K:$K,MATCH(A394,Catalogue!$A:$A,0)),"")</f>
        <v/>
      </c>
      <c r="G394" s="102"/>
      <c r="H394" s="7"/>
      <c r="I394" s="7"/>
    </row>
    <row r="395" spans="1:9" x14ac:dyDescent="0.25">
      <c r="A395" s="103" t="str">
        <f>IFERROR(INDEX(Liste_Materiel_Combinee!$B:$B,(_xlfn.AGGREGATE(15,6,(ROW(Liste_Materiel_Combinee!$G$2:$G$426)-1)/(Liste_Materiel_Combinee!$G$2:$G$426=1),393)+1)),"")</f>
        <v/>
      </c>
      <c r="B395" s="104" t="str">
        <f>IFERROR(INDEX(Liste_Materiel_Combinee!$C:$C,(_xlfn.AGGREGATE(15,6,(ROW(Liste_Materiel_Combinee!$G$2:$G$426)-1)/(Liste_Materiel_Combinee!$G$2:$G$426=1),393)+1)),"")</f>
        <v/>
      </c>
      <c r="C395" s="104" t="str">
        <f>IF(IFERROR(INDEX(Liste_Materiel_Combinee!$F:$F,(_xlfn.AGGREGATE(15,6,(ROW(Liste_Materiel_Combinee!$G$2:$G$426)-1)/(Liste_Materiel_Combinee!$G$2:$G$426=1),393)+1)),"")="","",ROUNDUP(IFERROR(INDEX(Liste_Materiel_Combinee!$F:$F,(_xlfn.AGGREGATE(15,6,(ROW(Liste_Materiel_Combinee!$G$2:$G$426)-1)/(Liste_Materiel_Combinee!$G$2:$G$426=1),393)+1)),""),0))</f>
        <v/>
      </c>
      <c r="D395" s="104" t="str">
        <f>IF($H$5="EFFACER","",IFERROR(INDEX(Liste_Materiel_Combinee!$E:$E,(_xlfn.AGGREGATE(15,6,(ROW(Liste_Materiel_Combinee!$G$2:$G$426)-1)/(Liste_Materiel_Combinee!$G$2:$G$426=1),393)+1)),""))</f>
        <v/>
      </c>
      <c r="E395" s="105">
        <f t="shared" si="6"/>
        <v>0</v>
      </c>
      <c r="F395" s="104" t="str">
        <f>IFERROR(INDEX(Catalogue!$K:$K,MATCH(A395,Catalogue!$A:$A,0)),"")</f>
        <v/>
      </c>
      <c r="G395" s="102"/>
      <c r="H395" s="7"/>
      <c r="I395" s="7"/>
    </row>
    <row r="396" spans="1:9" x14ac:dyDescent="0.25">
      <c r="A396" s="103" t="str">
        <f>IFERROR(INDEX(Liste_Materiel_Combinee!$B:$B,(_xlfn.AGGREGATE(15,6,(ROW(Liste_Materiel_Combinee!$G$2:$G$426)-1)/(Liste_Materiel_Combinee!$G$2:$G$426=1),394)+1)),"")</f>
        <v/>
      </c>
      <c r="B396" s="104" t="str">
        <f>IFERROR(INDEX(Liste_Materiel_Combinee!$C:$C,(_xlfn.AGGREGATE(15,6,(ROW(Liste_Materiel_Combinee!$G$2:$G$426)-1)/(Liste_Materiel_Combinee!$G$2:$G$426=1),394)+1)),"")</f>
        <v/>
      </c>
      <c r="C396" s="104" t="str">
        <f>IF(IFERROR(INDEX(Liste_Materiel_Combinee!$F:$F,(_xlfn.AGGREGATE(15,6,(ROW(Liste_Materiel_Combinee!$G$2:$G$426)-1)/(Liste_Materiel_Combinee!$G$2:$G$426=1),394)+1)),"")="","",ROUNDUP(IFERROR(INDEX(Liste_Materiel_Combinee!$F:$F,(_xlfn.AGGREGATE(15,6,(ROW(Liste_Materiel_Combinee!$G$2:$G$426)-1)/(Liste_Materiel_Combinee!$G$2:$G$426=1),394)+1)),""),0))</f>
        <v/>
      </c>
      <c r="D396" s="104" t="str">
        <f>IF($H$5="EFFACER","",IFERROR(INDEX(Liste_Materiel_Combinee!$E:$E,(_xlfn.AGGREGATE(15,6,(ROW(Liste_Materiel_Combinee!$G$2:$G$426)-1)/(Liste_Materiel_Combinee!$G$2:$G$426=1),394)+1)),""))</f>
        <v/>
      </c>
      <c r="E396" s="105">
        <f t="shared" si="6"/>
        <v>0</v>
      </c>
      <c r="F396" s="104" t="str">
        <f>IFERROR(INDEX(Catalogue!$K:$K,MATCH(A396,Catalogue!$A:$A,0)),"")</f>
        <v/>
      </c>
      <c r="G396" s="102"/>
      <c r="H396" s="7"/>
      <c r="I396" s="7"/>
    </row>
    <row r="397" spans="1:9" x14ac:dyDescent="0.25">
      <c r="A397" s="103" t="str">
        <f>IFERROR(INDEX(Liste_Materiel_Combinee!$B:$B,(_xlfn.AGGREGATE(15,6,(ROW(Liste_Materiel_Combinee!$G$2:$G$426)-1)/(Liste_Materiel_Combinee!$G$2:$G$426=1),395)+1)),"")</f>
        <v/>
      </c>
      <c r="B397" s="104" t="str">
        <f>IFERROR(INDEX(Liste_Materiel_Combinee!$C:$C,(_xlfn.AGGREGATE(15,6,(ROW(Liste_Materiel_Combinee!$G$2:$G$426)-1)/(Liste_Materiel_Combinee!$G$2:$G$426=1),395)+1)),"")</f>
        <v/>
      </c>
      <c r="C397" s="104" t="str">
        <f>IF(IFERROR(INDEX(Liste_Materiel_Combinee!$F:$F,(_xlfn.AGGREGATE(15,6,(ROW(Liste_Materiel_Combinee!$G$2:$G$426)-1)/(Liste_Materiel_Combinee!$G$2:$G$426=1),395)+1)),"")="","",ROUNDUP(IFERROR(INDEX(Liste_Materiel_Combinee!$F:$F,(_xlfn.AGGREGATE(15,6,(ROW(Liste_Materiel_Combinee!$G$2:$G$426)-1)/(Liste_Materiel_Combinee!$G$2:$G$426=1),395)+1)),""),0))</f>
        <v/>
      </c>
      <c r="D397" s="104" t="str">
        <f>IF($H$5="EFFACER","",IFERROR(INDEX(Liste_Materiel_Combinee!$E:$E,(_xlfn.AGGREGATE(15,6,(ROW(Liste_Materiel_Combinee!$G$2:$G$426)-1)/(Liste_Materiel_Combinee!$G$2:$G$426=1),395)+1)),""))</f>
        <v/>
      </c>
      <c r="E397" s="105">
        <f t="shared" si="6"/>
        <v>0</v>
      </c>
      <c r="F397" s="104" t="str">
        <f>IFERROR(INDEX(Catalogue!$K:$K,MATCH(A397,Catalogue!$A:$A,0)),"")</f>
        <v/>
      </c>
      <c r="G397" s="102"/>
      <c r="H397" s="7"/>
      <c r="I397" s="7"/>
    </row>
    <row r="398" spans="1:9" x14ac:dyDescent="0.25">
      <c r="A398" s="103" t="str">
        <f>IFERROR(INDEX(Liste_Materiel_Combinee!$B:$B,(_xlfn.AGGREGATE(15,6,(ROW(Liste_Materiel_Combinee!$G$2:$G$426)-1)/(Liste_Materiel_Combinee!$G$2:$G$426=1),396)+1)),"")</f>
        <v/>
      </c>
      <c r="B398" s="104" t="str">
        <f>IFERROR(INDEX(Liste_Materiel_Combinee!$C:$C,(_xlfn.AGGREGATE(15,6,(ROW(Liste_Materiel_Combinee!$G$2:$G$426)-1)/(Liste_Materiel_Combinee!$G$2:$G$426=1),396)+1)),"")</f>
        <v/>
      </c>
      <c r="C398" s="104" t="str">
        <f>IF(IFERROR(INDEX(Liste_Materiel_Combinee!$F:$F,(_xlfn.AGGREGATE(15,6,(ROW(Liste_Materiel_Combinee!$G$2:$G$426)-1)/(Liste_Materiel_Combinee!$G$2:$G$426=1),396)+1)),"")="","",ROUNDUP(IFERROR(INDEX(Liste_Materiel_Combinee!$F:$F,(_xlfn.AGGREGATE(15,6,(ROW(Liste_Materiel_Combinee!$G$2:$G$426)-1)/(Liste_Materiel_Combinee!$G$2:$G$426=1),396)+1)),""),0))</f>
        <v/>
      </c>
      <c r="D398" s="104" t="str">
        <f>IF($H$5="EFFACER","",IFERROR(INDEX(Liste_Materiel_Combinee!$E:$E,(_xlfn.AGGREGATE(15,6,(ROW(Liste_Materiel_Combinee!$G$2:$G$426)-1)/(Liste_Materiel_Combinee!$G$2:$G$426=1),396)+1)),""))</f>
        <v/>
      </c>
      <c r="E398" s="105">
        <f t="shared" si="6"/>
        <v>0</v>
      </c>
      <c r="F398" s="104" t="str">
        <f>IFERROR(INDEX(Catalogue!$K:$K,MATCH(A398,Catalogue!$A:$A,0)),"")</f>
        <v/>
      </c>
      <c r="G398" s="102"/>
      <c r="H398" s="7"/>
      <c r="I398" s="7"/>
    </row>
    <row r="399" spans="1:9" x14ac:dyDescent="0.25">
      <c r="A399" s="103" t="str">
        <f>IFERROR(INDEX(Liste_Materiel_Combinee!$B:$B,(_xlfn.AGGREGATE(15,6,(ROW(Liste_Materiel_Combinee!$G$2:$G$426)-1)/(Liste_Materiel_Combinee!$G$2:$G$426=1),397)+1)),"")</f>
        <v/>
      </c>
      <c r="B399" s="104" t="str">
        <f>IFERROR(INDEX(Liste_Materiel_Combinee!$C:$C,(_xlfn.AGGREGATE(15,6,(ROW(Liste_Materiel_Combinee!$G$2:$G$426)-1)/(Liste_Materiel_Combinee!$G$2:$G$426=1),397)+1)),"")</f>
        <v/>
      </c>
      <c r="C399" s="104" t="str">
        <f>IF(IFERROR(INDEX(Liste_Materiel_Combinee!$F:$F,(_xlfn.AGGREGATE(15,6,(ROW(Liste_Materiel_Combinee!$G$2:$G$426)-1)/(Liste_Materiel_Combinee!$G$2:$G$426=1),397)+1)),"")="","",ROUNDUP(IFERROR(INDEX(Liste_Materiel_Combinee!$F:$F,(_xlfn.AGGREGATE(15,6,(ROW(Liste_Materiel_Combinee!$G$2:$G$426)-1)/(Liste_Materiel_Combinee!$G$2:$G$426=1),397)+1)),""),0))</f>
        <v/>
      </c>
      <c r="D399" s="104" t="str">
        <f>IF($H$5="EFFACER","",IFERROR(INDEX(Liste_Materiel_Combinee!$E:$E,(_xlfn.AGGREGATE(15,6,(ROW(Liste_Materiel_Combinee!$G$2:$G$426)-1)/(Liste_Materiel_Combinee!$G$2:$G$426=1),397)+1)),""))</f>
        <v/>
      </c>
      <c r="E399" s="105">
        <f t="shared" si="6"/>
        <v>0</v>
      </c>
      <c r="F399" s="104" t="str">
        <f>IFERROR(INDEX(Catalogue!$K:$K,MATCH(A399,Catalogue!$A:$A,0)),"")</f>
        <v/>
      </c>
      <c r="G399" s="102"/>
      <c r="H399" s="7"/>
      <c r="I399" s="7"/>
    </row>
    <row r="400" spans="1:9" x14ac:dyDescent="0.25">
      <c r="A400" s="103" t="str">
        <f>IFERROR(INDEX(Liste_Materiel_Combinee!$B:$B,(_xlfn.AGGREGATE(15,6,(ROW(Liste_Materiel_Combinee!$G$2:$G$426)-1)/(Liste_Materiel_Combinee!$G$2:$G$426=1),398)+1)),"")</f>
        <v/>
      </c>
      <c r="B400" s="104" t="str">
        <f>IFERROR(INDEX(Liste_Materiel_Combinee!$C:$C,(_xlfn.AGGREGATE(15,6,(ROW(Liste_Materiel_Combinee!$G$2:$G$426)-1)/(Liste_Materiel_Combinee!$G$2:$G$426=1),398)+1)),"")</f>
        <v/>
      </c>
      <c r="C400" s="104" t="str">
        <f>IF(IFERROR(INDEX(Liste_Materiel_Combinee!$F:$F,(_xlfn.AGGREGATE(15,6,(ROW(Liste_Materiel_Combinee!$G$2:$G$426)-1)/(Liste_Materiel_Combinee!$G$2:$G$426=1),398)+1)),"")="","",ROUNDUP(IFERROR(INDEX(Liste_Materiel_Combinee!$F:$F,(_xlfn.AGGREGATE(15,6,(ROW(Liste_Materiel_Combinee!$G$2:$G$426)-1)/(Liste_Materiel_Combinee!$G$2:$G$426=1),398)+1)),""),0))</f>
        <v/>
      </c>
      <c r="D400" s="104" t="str">
        <f>IF($H$5="EFFACER","",IFERROR(INDEX(Liste_Materiel_Combinee!$E:$E,(_xlfn.AGGREGATE(15,6,(ROW(Liste_Materiel_Combinee!$G$2:$G$426)-1)/(Liste_Materiel_Combinee!$G$2:$G$426=1),398)+1)),""))</f>
        <v/>
      </c>
      <c r="E400" s="105">
        <f t="shared" si="6"/>
        <v>0</v>
      </c>
      <c r="F400" s="104" t="str">
        <f>IFERROR(INDEX(Catalogue!$K:$K,MATCH(A400,Catalogue!$A:$A,0)),"")</f>
        <v/>
      </c>
      <c r="G400" s="102"/>
      <c r="H400" s="7"/>
      <c r="I400" s="7"/>
    </row>
    <row r="401" spans="1:9" x14ac:dyDescent="0.25">
      <c r="A401" s="103" t="str">
        <f>IFERROR(INDEX(Liste_Materiel_Combinee!$B:$B,(_xlfn.AGGREGATE(15,6,(ROW(Liste_Materiel_Combinee!$G$2:$G$426)-1)/(Liste_Materiel_Combinee!$G$2:$G$426=1),399)+1)),"")</f>
        <v/>
      </c>
      <c r="B401" s="104" t="str">
        <f>IFERROR(INDEX(Liste_Materiel_Combinee!$C:$C,(_xlfn.AGGREGATE(15,6,(ROW(Liste_Materiel_Combinee!$G$2:$G$426)-1)/(Liste_Materiel_Combinee!$G$2:$G$426=1),399)+1)),"")</f>
        <v/>
      </c>
      <c r="C401" s="104" t="str">
        <f>IF(IFERROR(INDEX(Liste_Materiel_Combinee!$F:$F,(_xlfn.AGGREGATE(15,6,(ROW(Liste_Materiel_Combinee!$G$2:$G$426)-1)/(Liste_Materiel_Combinee!$G$2:$G$426=1),399)+1)),"")="","",ROUNDUP(IFERROR(INDEX(Liste_Materiel_Combinee!$F:$F,(_xlfn.AGGREGATE(15,6,(ROW(Liste_Materiel_Combinee!$G$2:$G$426)-1)/(Liste_Materiel_Combinee!$G$2:$G$426=1),399)+1)),""),0))</f>
        <v/>
      </c>
      <c r="D401" s="104" t="str">
        <f>IF($H$5="EFFACER","",IFERROR(INDEX(Liste_Materiel_Combinee!$E:$E,(_xlfn.AGGREGATE(15,6,(ROW(Liste_Materiel_Combinee!$G$2:$G$426)-1)/(Liste_Materiel_Combinee!$G$2:$G$426=1),399)+1)),""))</f>
        <v/>
      </c>
      <c r="E401" s="105">
        <f t="shared" si="6"/>
        <v>0</v>
      </c>
      <c r="F401" s="104" t="str">
        <f>IFERROR(INDEX(Catalogue!$K:$K,MATCH(A401,Catalogue!$A:$A,0)),"")</f>
        <v/>
      </c>
      <c r="G401" s="102"/>
      <c r="H401" s="7"/>
      <c r="I401" s="7"/>
    </row>
    <row r="402" spans="1:9" x14ac:dyDescent="0.25">
      <c r="A402" s="103" t="str">
        <f>IFERROR(INDEX(Liste_Materiel_Combinee!$B:$B,(_xlfn.AGGREGATE(15,6,(ROW(Liste_Materiel_Combinee!$G$2:$G$426)-1)/(Liste_Materiel_Combinee!$G$2:$G$426=1),400)+1)),"")</f>
        <v/>
      </c>
      <c r="B402" s="104" t="str">
        <f>IFERROR(INDEX(Liste_Materiel_Combinee!$C:$C,(_xlfn.AGGREGATE(15,6,(ROW(Liste_Materiel_Combinee!$G$2:$G$426)-1)/(Liste_Materiel_Combinee!$G$2:$G$426=1),400)+1)),"")</f>
        <v/>
      </c>
      <c r="C402" s="104" t="str">
        <f>IF(IFERROR(INDEX(Liste_Materiel_Combinee!$F:$F,(_xlfn.AGGREGATE(15,6,(ROW(Liste_Materiel_Combinee!$G$2:$G$426)-1)/(Liste_Materiel_Combinee!$G$2:$G$426=1),400)+1)),"")="","",ROUNDUP(IFERROR(INDEX(Liste_Materiel_Combinee!$F:$F,(_xlfn.AGGREGATE(15,6,(ROW(Liste_Materiel_Combinee!$G$2:$G$426)-1)/(Liste_Materiel_Combinee!$G$2:$G$426=1),400)+1)),""),0))</f>
        <v/>
      </c>
      <c r="D402" s="104" t="str">
        <f>IF($H$5="EFFACER","",IFERROR(INDEX(Liste_Materiel_Combinee!$E:$E,(_xlfn.AGGREGATE(15,6,(ROW(Liste_Materiel_Combinee!$G$2:$G$426)-1)/(Liste_Materiel_Combinee!$G$2:$G$426=1),400)+1)),""))</f>
        <v/>
      </c>
      <c r="E402" s="105">
        <f t="shared" si="6"/>
        <v>0</v>
      </c>
      <c r="F402" s="104" t="str">
        <f>IFERROR(INDEX(Catalogue!$K:$K,MATCH(A402,Catalogue!$A:$A,0)),"")</f>
        <v/>
      </c>
      <c r="G402" s="102"/>
      <c r="H402" s="7"/>
      <c r="I402" s="7"/>
    </row>
    <row r="403" spans="1:9" x14ac:dyDescent="0.25">
      <c r="A403" s="103" t="str">
        <f>IFERROR(INDEX(Liste_Materiel_Combinee!$B:$B,(_xlfn.AGGREGATE(15,6,(ROW(Liste_Materiel_Combinee!$G$2:$G$426)-1)/(Liste_Materiel_Combinee!$G$2:$G$426=1),401)+1)),"")</f>
        <v/>
      </c>
      <c r="B403" s="104" t="str">
        <f>IFERROR(INDEX(Liste_Materiel_Combinee!$C:$C,(_xlfn.AGGREGATE(15,6,(ROW(Liste_Materiel_Combinee!$G$2:$G$426)-1)/(Liste_Materiel_Combinee!$G$2:$G$426=1),401)+1)),"")</f>
        <v/>
      </c>
      <c r="C403" s="104" t="str">
        <f>IF(IFERROR(INDEX(Liste_Materiel_Combinee!$F:$F,(_xlfn.AGGREGATE(15,6,(ROW(Liste_Materiel_Combinee!$G$2:$G$426)-1)/(Liste_Materiel_Combinee!$G$2:$G$426=1),401)+1)),"")="","",ROUNDUP(IFERROR(INDEX(Liste_Materiel_Combinee!$F:$F,(_xlfn.AGGREGATE(15,6,(ROW(Liste_Materiel_Combinee!$G$2:$G$426)-1)/(Liste_Materiel_Combinee!$G$2:$G$426=1),401)+1)),""),0))</f>
        <v/>
      </c>
      <c r="D403" s="104" t="str">
        <f>IF($H$5="EFFACER","",IFERROR(INDEX(Liste_Materiel_Combinee!$E:$E,(_xlfn.AGGREGATE(15,6,(ROW(Liste_Materiel_Combinee!$G$2:$G$426)-1)/(Liste_Materiel_Combinee!$G$2:$G$426=1),401)+1)),""))</f>
        <v/>
      </c>
      <c r="E403" s="105">
        <f t="shared" si="6"/>
        <v>0</v>
      </c>
      <c r="F403" s="104" t="str">
        <f>IFERROR(INDEX(Catalogue!$K:$K,MATCH(A403,Catalogue!$A:$A,0)),"")</f>
        <v/>
      </c>
      <c r="G403" s="102"/>
      <c r="H403" s="7"/>
      <c r="I403" s="7"/>
    </row>
    <row r="404" spans="1:9" x14ac:dyDescent="0.25">
      <c r="A404" s="103" t="str">
        <f>IFERROR(INDEX(Liste_Materiel_Combinee!$B:$B,(_xlfn.AGGREGATE(15,6,(ROW(Liste_Materiel_Combinee!$G$2:$G$426)-1)/(Liste_Materiel_Combinee!$G$2:$G$426=1),402)+1)),"")</f>
        <v/>
      </c>
      <c r="B404" s="104" t="str">
        <f>IFERROR(INDEX(Liste_Materiel_Combinee!$C:$C,(_xlfn.AGGREGATE(15,6,(ROW(Liste_Materiel_Combinee!$G$2:$G$426)-1)/(Liste_Materiel_Combinee!$G$2:$G$426=1),402)+1)),"")</f>
        <v/>
      </c>
      <c r="C404" s="104" t="str">
        <f>IF(IFERROR(INDEX(Liste_Materiel_Combinee!$F:$F,(_xlfn.AGGREGATE(15,6,(ROW(Liste_Materiel_Combinee!$G$2:$G$426)-1)/(Liste_Materiel_Combinee!$G$2:$G$426=1),402)+1)),"")="","",ROUNDUP(IFERROR(INDEX(Liste_Materiel_Combinee!$F:$F,(_xlfn.AGGREGATE(15,6,(ROW(Liste_Materiel_Combinee!$G$2:$G$426)-1)/(Liste_Materiel_Combinee!$G$2:$G$426=1),402)+1)),""),0))</f>
        <v/>
      </c>
      <c r="D404" s="104" t="str">
        <f>IF($H$5="EFFACER","",IFERROR(INDEX(Liste_Materiel_Combinee!$E:$E,(_xlfn.AGGREGATE(15,6,(ROW(Liste_Materiel_Combinee!$G$2:$G$426)-1)/(Liste_Materiel_Combinee!$G$2:$G$426=1),402)+1)),""))</f>
        <v/>
      </c>
      <c r="E404" s="105">
        <f t="shared" si="6"/>
        <v>0</v>
      </c>
      <c r="F404" s="104" t="str">
        <f>IFERROR(INDEX(Catalogue!$K:$K,MATCH(A404,Catalogue!$A:$A,0)),"")</f>
        <v/>
      </c>
      <c r="G404" s="102"/>
      <c r="H404" s="7"/>
      <c r="I404" s="7"/>
    </row>
    <row r="405" spans="1:9" x14ac:dyDescent="0.25">
      <c r="A405" s="103" t="str">
        <f>IFERROR(INDEX(Liste_Materiel_Combinee!$B:$B,(_xlfn.AGGREGATE(15,6,(ROW(Liste_Materiel_Combinee!$G$2:$G$426)-1)/(Liste_Materiel_Combinee!$G$2:$G$426=1),403)+1)),"")</f>
        <v/>
      </c>
      <c r="B405" s="104" t="str">
        <f>IFERROR(INDEX(Liste_Materiel_Combinee!$C:$C,(_xlfn.AGGREGATE(15,6,(ROW(Liste_Materiel_Combinee!$G$2:$G$426)-1)/(Liste_Materiel_Combinee!$G$2:$G$426=1),403)+1)),"")</f>
        <v/>
      </c>
      <c r="C405" s="104" t="str">
        <f>IF(IFERROR(INDEX(Liste_Materiel_Combinee!$F:$F,(_xlfn.AGGREGATE(15,6,(ROW(Liste_Materiel_Combinee!$G$2:$G$426)-1)/(Liste_Materiel_Combinee!$G$2:$G$426=1),403)+1)),"")="","",ROUNDUP(IFERROR(INDEX(Liste_Materiel_Combinee!$F:$F,(_xlfn.AGGREGATE(15,6,(ROW(Liste_Materiel_Combinee!$G$2:$G$426)-1)/(Liste_Materiel_Combinee!$G$2:$G$426=1),403)+1)),""),0))</f>
        <v/>
      </c>
      <c r="D405" s="104" t="str">
        <f>IF($H$5="EFFACER","",IFERROR(INDEX(Liste_Materiel_Combinee!$E:$E,(_xlfn.AGGREGATE(15,6,(ROW(Liste_Materiel_Combinee!$G$2:$G$426)-1)/(Liste_Materiel_Combinee!$G$2:$G$426=1),403)+1)),""))</f>
        <v/>
      </c>
      <c r="E405" s="105">
        <f t="shared" si="6"/>
        <v>0</v>
      </c>
      <c r="F405" s="104" t="str">
        <f>IFERROR(INDEX(Catalogue!$K:$K,MATCH(A405,Catalogue!$A:$A,0)),"")</f>
        <v/>
      </c>
      <c r="G405" s="102"/>
      <c r="H405" s="7"/>
      <c r="I405" s="7"/>
    </row>
    <row r="406" spans="1:9" x14ac:dyDescent="0.25">
      <c r="A406" s="103" t="str">
        <f>IFERROR(INDEX(Liste_Materiel_Combinee!$B:$B,(_xlfn.AGGREGATE(15,6,(ROW(Liste_Materiel_Combinee!$G$2:$G$426)-1)/(Liste_Materiel_Combinee!$G$2:$G$426=1),404)+1)),"")</f>
        <v/>
      </c>
      <c r="B406" s="104" t="str">
        <f>IFERROR(INDEX(Liste_Materiel_Combinee!$C:$C,(_xlfn.AGGREGATE(15,6,(ROW(Liste_Materiel_Combinee!$G$2:$G$426)-1)/(Liste_Materiel_Combinee!$G$2:$G$426=1),404)+1)),"")</f>
        <v/>
      </c>
      <c r="C406" s="104" t="str">
        <f>IF(IFERROR(INDEX(Liste_Materiel_Combinee!$F:$F,(_xlfn.AGGREGATE(15,6,(ROW(Liste_Materiel_Combinee!$G$2:$G$426)-1)/(Liste_Materiel_Combinee!$G$2:$G$426=1),404)+1)),"")="","",ROUNDUP(IFERROR(INDEX(Liste_Materiel_Combinee!$F:$F,(_xlfn.AGGREGATE(15,6,(ROW(Liste_Materiel_Combinee!$G$2:$G$426)-1)/(Liste_Materiel_Combinee!$G$2:$G$426=1),404)+1)),""),0))</f>
        <v/>
      </c>
      <c r="D406" s="104" t="str">
        <f>IF($H$5="EFFACER","",IFERROR(INDEX(Liste_Materiel_Combinee!$E:$E,(_xlfn.AGGREGATE(15,6,(ROW(Liste_Materiel_Combinee!$G$2:$G$426)-1)/(Liste_Materiel_Combinee!$G$2:$G$426=1),404)+1)),""))</f>
        <v/>
      </c>
      <c r="E406" s="105">
        <f t="shared" si="6"/>
        <v>0</v>
      </c>
      <c r="F406" s="104" t="str">
        <f>IFERROR(INDEX(Catalogue!$K:$K,MATCH(A406,Catalogue!$A:$A,0)),"")</f>
        <v/>
      </c>
      <c r="G406" s="102"/>
      <c r="H406" s="7"/>
      <c r="I406" s="7"/>
    </row>
    <row r="407" spans="1:9" x14ac:dyDescent="0.25">
      <c r="A407" s="103" t="str">
        <f>IFERROR(INDEX(Liste_Materiel_Combinee!$B:$B,(_xlfn.AGGREGATE(15,6,(ROW(Liste_Materiel_Combinee!$G$2:$G$426)-1)/(Liste_Materiel_Combinee!$G$2:$G$426=1),405)+1)),"")</f>
        <v/>
      </c>
      <c r="B407" s="104" t="str">
        <f>IFERROR(INDEX(Liste_Materiel_Combinee!$C:$C,(_xlfn.AGGREGATE(15,6,(ROW(Liste_Materiel_Combinee!$G$2:$G$426)-1)/(Liste_Materiel_Combinee!$G$2:$G$426=1),405)+1)),"")</f>
        <v/>
      </c>
      <c r="C407" s="104" t="str">
        <f>IF(IFERROR(INDEX(Liste_Materiel_Combinee!$F:$F,(_xlfn.AGGREGATE(15,6,(ROW(Liste_Materiel_Combinee!$G$2:$G$426)-1)/(Liste_Materiel_Combinee!$G$2:$G$426=1),405)+1)),"")="","",ROUNDUP(IFERROR(INDEX(Liste_Materiel_Combinee!$F:$F,(_xlfn.AGGREGATE(15,6,(ROW(Liste_Materiel_Combinee!$G$2:$G$426)-1)/(Liste_Materiel_Combinee!$G$2:$G$426=1),405)+1)),""),0))</f>
        <v/>
      </c>
      <c r="D407" s="104" t="str">
        <f>IF($H$5="EFFACER","",IFERROR(INDEX(Liste_Materiel_Combinee!$E:$E,(_xlfn.AGGREGATE(15,6,(ROW(Liste_Materiel_Combinee!$G$2:$G$426)-1)/(Liste_Materiel_Combinee!$G$2:$G$426=1),405)+1)),""))</f>
        <v/>
      </c>
      <c r="E407" s="105">
        <f t="shared" si="6"/>
        <v>0</v>
      </c>
      <c r="F407" s="104" t="str">
        <f>IFERROR(INDEX(Catalogue!$K:$K,MATCH(A407,Catalogue!$A:$A,0)),"")</f>
        <v/>
      </c>
      <c r="G407" s="102"/>
      <c r="H407" s="7"/>
      <c r="I407" s="7"/>
    </row>
    <row r="408" spans="1:9" x14ac:dyDescent="0.25">
      <c r="A408" s="103" t="str">
        <f>IFERROR(INDEX(Liste_Materiel_Combinee!$B:$B,(_xlfn.AGGREGATE(15,6,(ROW(Liste_Materiel_Combinee!$G$2:$G$426)-1)/(Liste_Materiel_Combinee!$G$2:$G$426=1),406)+1)),"")</f>
        <v/>
      </c>
      <c r="B408" s="104" t="str">
        <f>IFERROR(INDEX(Liste_Materiel_Combinee!$C:$C,(_xlfn.AGGREGATE(15,6,(ROW(Liste_Materiel_Combinee!$G$2:$G$426)-1)/(Liste_Materiel_Combinee!$G$2:$G$426=1),406)+1)),"")</f>
        <v/>
      </c>
      <c r="C408" s="104" t="str">
        <f>IF(IFERROR(INDEX(Liste_Materiel_Combinee!$F:$F,(_xlfn.AGGREGATE(15,6,(ROW(Liste_Materiel_Combinee!$G$2:$G$426)-1)/(Liste_Materiel_Combinee!$G$2:$G$426=1),406)+1)),"")="","",ROUNDUP(IFERROR(INDEX(Liste_Materiel_Combinee!$F:$F,(_xlfn.AGGREGATE(15,6,(ROW(Liste_Materiel_Combinee!$G$2:$G$426)-1)/(Liste_Materiel_Combinee!$G$2:$G$426=1),406)+1)),""),0))</f>
        <v/>
      </c>
      <c r="D408" s="104" t="str">
        <f>IF($H$5="EFFACER","",IFERROR(INDEX(Liste_Materiel_Combinee!$E:$E,(_xlfn.AGGREGATE(15,6,(ROW(Liste_Materiel_Combinee!$G$2:$G$426)-1)/(Liste_Materiel_Combinee!$G$2:$G$426=1),406)+1)),""))</f>
        <v/>
      </c>
      <c r="E408" s="105">
        <f t="shared" si="6"/>
        <v>0</v>
      </c>
      <c r="F408" s="104" t="str">
        <f>IFERROR(INDEX(Catalogue!$K:$K,MATCH(A408,Catalogue!$A:$A,0)),"")</f>
        <v/>
      </c>
      <c r="G408" s="102"/>
      <c r="H408" s="7"/>
      <c r="I408" s="7"/>
    </row>
    <row r="409" spans="1:9" x14ac:dyDescent="0.25">
      <c r="A409" s="103" t="str">
        <f>IFERROR(INDEX(Liste_Materiel_Combinee!$B:$B,(_xlfn.AGGREGATE(15,6,(ROW(Liste_Materiel_Combinee!$G$2:$G$426)-1)/(Liste_Materiel_Combinee!$G$2:$G$426=1),407)+1)),"")</f>
        <v/>
      </c>
      <c r="B409" s="104" t="str">
        <f>IFERROR(INDEX(Liste_Materiel_Combinee!$C:$C,(_xlfn.AGGREGATE(15,6,(ROW(Liste_Materiel_Combinee!$G$2:$G$426)-1)/(Liste_Materiel_Combinee!$G$2:$G$426=1),407)+1)),"")</f>
        <v/>
      </c>
      <c r="C409" s="104" t="str">
        <f>IF(IFERROR(INDEX(Liste_Materiel_Combinee!$F:$F,(_xlfn.AGGREGATE(15,6,(ROW(Liste_Materiel_Combinee!$G$2:$G$426)-1)/(Liste_Materiel_Combinee!$G$2:$G$426=1),407)+1)),"")="","",ROUNDUP(IFERROR(INDEX(Liste_Materiel_Combinee!$F:$F,(_xlfn.AGGREGATE(15,6,(ROW(Liste_Materiel_Combinee!$G$2:$G$426)-1)/(Liste_Materiel_Combinee!$G$2:$G$426=1),407)+1)),""),0))</f>
        <v/>
      </c>
      <c r="D409" s="104" t="str">
        <f>IF($H$5="EFFACER","",IFERROR(INDEX(Liste_Materiel_Combinee!$E:$E,(_xlfn.AGGREGATE(15,6,(ROW(Liste_Materiel_Combinee!$G$2:$G$426)-1)/(Liste_Materiel_Combinee!$G$2:$G$426=1),407)+1)),""))</f>
        <v/>
      </c>
      <c r="E409" s="105">
        <f t="shared" si="6"/>
        <v>0</v>
      </c>
      <c r="F409" s="104" t="str">
        <f>IFERROR(INDEX(Catalogue!$K:$K,MATCH(A409,Catalogue!$A:$A,0)),"")</f>
        <v/>
      </c>
      <c r="G409" s="102"/>
      <c r="H409" s="7"/>
      <c r="I409" s="7"/>
    </row>
    <row r="410" spans="1:9" x14ac:dyDescent="0.25">
      <c r="A410" s="103" t="str">
        <f>IFERROR(INDEX(Liste_Materiel_Combinee!$B:$B,(_xlfn.AGGREGATE(15,6,(ROW(Liste_Materiel_Combinee!$G$2:$G$426)-1)/(Liste_Materiel_Combinee!$G$2:$G$426=1),408)+1)),"")</f>
        <v/>
      </c>
      <c r="B410" s="104" t="str">
        <f>IFERROR(INDEX(Liste_Materiel_Combinee!$C:$C,(_xlfn.AGGREGATE(15,6,(ROW(Liste_Materiel_Combinee!$G$2:$G$426)-1)/(Liste_Materiel_Combinee!$G$2:$G$426=1),408)+1)),"")</f>
        <v/>
      </c>
      <c r="C410" s="104" t="str">
        <f>IF(IFERROR(INDEX(Liste_Materiel_Combinee!$F:$F,(_xlfn.AGGREGATE(15,6,(ROW(Liste_Materiel_Combinee!$G$2:$G$426)-1)/(Liste_Materiel_Combinee!$G$2:$G$426=1),408)+1)),"")="","",ROUNDUP(IFERROR(INDEX(Liste_Materiel_Combinee!$F:$F,(_xlfn.AGGREGATE(15,6,(ROW(Liste_Materiel_Combinee!$G$2:$G$426)-1)/(Liste_Materiel_Combinee!$G$2:$G$426=1),408)+1)),""),0))</f>
        <v/>
      </c>
      <c r="D410" s="104" t="str">
        <f>IF($H$5="EFFACER","",IFERROR(INDEX(Liste_Materiel_Combinee!$E:$E,(_xlfn.AGGREGATE(15,6,(ROW(Liste_Materiel_Combinee!$G$2:$G$426)-1)/(Liste_Materiel_Combinee!$G$2:$G$426=1),408)+1)),""))</f>
        <v/>
      </c>
      <c r="E410" s="105">
        <f t="shared" si="6"/>
        <v>0</v>
      </c>
      <c r="F410" s="104" t="str">
        <f>IFERROR(INDEX(Catalogue!$K:$K,MATCH(A410,Catalogue!$A:$A,0)),"")</f>
        <v/>
      </c>
      <c r="G410" s="102"/>
      <c r="H410" s="7"/>
      <c r="I410" s="7"/>
    </row>
    <row r="411" spans="1:9" x14ac:dyDescent="0.25">
      <c r="A411" s="103" t="str">
        <f>IFERROR(INDEX(Liste_Materiel_Combinee!$B:$B,(_xlfn.AGGREGATE(15,6,(ROW(Liste_Materiel_Combinee!$G$2:$G$426)-1)/(Liste_Materiel_Combinee!$G$2:$G$426=1),409)+1)),"")</f>
        <v/>
      </c>
      <c r="B411" s="104" t="str">
        <f>IFERROR(INDEX(Liste_Materiel_Combinee!$C:$C,(_xlfn.AGGREGATE(15,6,(ROW(Liste_Materiel_Combinee!$G$2:$G$426)-1)/(Liste_Materiel_Combinee!$G$2:$G$426=1),409)+1)),"")</f>
        <v/>
      </c>
      <c r="C411" s="104" t="str">
        <f>IF(IFERROR(INDEX(Liste_Materiel_Combinee!$F:$F,(_xlfn.AGGREGATE(15,6,(ROW(Liste_Materiel_Combinee!$G$2:$G$426)-1)/(Liste_Materiel_Combinee!$G$2:$G$426=1),409)+1)),"")="","",ROUNDUP(IFERROR(INDEX(Liste_Materiel_Combinee!$F:$F,(_xlfn.AGGREGATE(15,6,(ROW(Liste_Materiel_Combinee!$G$2:$G$426)-1)/(Liste_Materiel_Combinee!$G$2:$G$426=1),409)+1)),""),0))</f>
        <v/>
      </c>
      <c r="D411" s="104" t="str">
        <f>IF($H$5="EFFACER","",IFERROR(INDEX(Liste_Materiel_Combinee!$E:$E,(_xlfn.AGGREGATE(15,6,(ROW(Liste_Materiel_Combinee!$G$2:$G$426)-1)/(Liste_Materiel_Combinee!$G$2:$G$426=1),409)+1)),""))</f>
        <v/>
      </c>
      <c r="E411" s="105">
        <f t="shared" si="6"/>
        <v>0</v>
      </c>
      <c r="F411" s="104" t="str">
        <f>IFERROR(INDEX(Catalogue!$K:$K,MATCH(A411,Catalogue!$A:$A,0)),"")</f>
        <v/>
      </c>
      <c r="G411" s="102"/>
      <c r="H411" s="7"/>
      <c r="I411" s="7"/>
    </row>
    <row r="412" spans="1:9" x14ac:dyDescent="0.25">
      <c r="A412" s="103" t="str">
        <f>IFERROR(INDEX(Liste_Materiel_Combinee!$B:$B,(_xlfn.AGGREGATE(15,6,(ROW(Liste_Materiel_Combinee!$G$2:$G$426)-1)/(Liste_Materiel_Combinee!$G$2:$G$426=1),410)+1)),"")</f>
        <v/>
      </c>
      <c r="B412" s="104" t="str">
        <f>IFERROR(INDEX(Liste_Materiel_Combinee!$C:$C,(_xlfn.AGGREGATE(15,6,(ROW(Liste_Materiel_Combinee!$G$2:$G$426)-1)/(Liste_Materiel_Combinee!$G$2:$G$426=1),410)+1)),"")</f>
        <v/>
      </c>
      <c r="C412" s="104" t="str">
        <f>IF(IFERROR(INDEX(Liste_Materiel_Combinee!$F:$F,(_xlfn.AGGREGATE(15,6,(ROW(Liste_Materiel_Combinee!$G$2:$G$426)-1)/(Liste_Materiel_Combinee!$G$2:$G$426=1),410)+1)),"")="","",ROUNDUP(IFERROR(INDEX(Liste_Materiel_Combinee!$F:$F,(_xlfn.AGGREGATE(15,6,(ROW(Liste_Materiel_Combinee!$G$2:$G$426)-1)/(Liste_Materiel_Combinee!$G$2:$G$426=1),410)+1)),""),0))</f>
        <v/>
      </c>
      <c r="D412" s="104" t="str">
        <f>IF($H$5="EFFACER","",IFERROR(INDEX(Liste_Materiel_Combinee!$E:$E,(_xlfn.AGGREGATE(15,6,(ROW(Liste_Materiel_Combinee!$G$2:$G$426)-1)/(Liste_Materiel_Combinee!$G$2:$G$426=1),410)+1)),""))</f>
        <v/>
      </c>
      <c r="E412" s="105">
        <f t="shared" si="6"/>
        <v>0</v>
      </c>
      <c r="F412" s="104" t="str">
        <f>IFERROR(INDEX(Catalogue!$K:$K,MATCH(A412,Catalogue!$A:$A,0)),"")</f>
        <v/>
      </c>
      <c r="G412" s="102"/>
      <c r="H412" s="7"/>
      <c r="I412" s="7"/>
    </row>
    <row r="413" spans="1:9" x14ac:dyDescent="0.25">
      <c r="A413" s="103" t="str">
        <f>IFERROR(INDEX(Liste_Materiel_Combinee!$B:$B,(_xlfn.AGGREGATE(15,6,(ROW(Liste_Materiel_Combinee!$G$2:$G$426)-1)/(Liste_Materiel_Combinee!$G$2:$G$426=1),411)+1)),"")</f>
        <v/>
      </c>
      <c r="B413" s="104" t="str">
        <f>IFERROR(INDEX(Liste_Materiel_Combinee!$C:$C,(_xlfn.AGGREGATE(15,6,(ROW(Liste_Materiel_Combinee!$G$2:$G$426)-1)/(Liste_Materiel_Combinee!$G$2:$G$426=1),411)+1)),"")</f>
        <v/>
      </c>
      <c r="C413" s="104" t="str">
        <f>IF(IFERROR(INDEX(Liste_Materiel_Combinee!$F:$F,(_xlfn.AGGREGATE(15,6,(ROW(Liste_Materiel_Combinee!$G$2:$G$426)-1)/(Liste_Materiel_Combinee!$G$2:$G$426=1),411)+1)),"")="","",ROUNDUP(IFERROR(INDEX(Liste_Materiel_Combinee!$F:$F,(_xlfn.AGGREGATE(15,6,(ROW(Liste_Materiel_Combinee!$G$2:$G$426)-1)/(Liste_Materiel_Combinee!$G$2:$G$426=1),411)+1)),""),0))</f>
        <v/>
      </c>
      <c r="D413" s="104" t="str">
        <f>IF($H$5="EFFACER","",IFERROR(INDEX(Liste_Materiel_Combinee!$E:$E,(_xlfn.AGGREGATE(15,6,(ROW(Liste_Materiel_Combinee!$G$2:$G$426)-1)/(Liste_Materiel_Combinee!$G$2:$G$426=1),411)+1)),""))</f>
        <v/>
      </c>
      <c r="E413" s="105">
        <f t="shared" si="6"/>
        <v>0</v>
      </c>
      <c r="F413" s="104" t="str">
        <f>IFERROR(INDEX(Catalogue!$K:$K,MATCH(A413,Catalogue!$A:$A,0)),"")</f>
        <v/>
      </c>
      <c r="G413" s="102"/>
      <c r="H413" s="7"/>
      <c r="I413" s="7"/>
    </row>
    <row r="414" spans="1:9" x14ac:dyDescent="0.25">
      <c r="A414" s="103" t="str">
        <f>IFERROR(INDEX(Liste_Materiel_Combinee!$B:$B,(_xlfn.AGGREGATE(15,6,(ROW(Liste_Materiel_Combinee!$G$2:$G$426)-1)/(Liste_Materiel_Combinee!$G$2:$G$426=1),412)+1)),"")</f>
        <v/>
      </c>
      <c r="B414" s="104" t="str">
        <f>IFERROR(INDEX(Liste_Materiel_Combinee!$C:$C,(_xlfn.AGGREGATE(15,6,(ROW(Liste_Materiel_Combinee!$G$2:$G$426)-1)/(Liste_Materiel_Combinee!$G$2:$G$426=1),412)+1)),"")</f>
        <v/>
      </c>
      <c r="C414" s="104" t="str">
        <f>IF(IFERROR(INDEX(Liste_Materiel_Combinee!$F:$F,(_xlfn.AGGREGATE(15,6,(ROW(Liste_Materiel_Combinee!$G$2:$G$426)-1)/(Liste_Materiel_Combinee!$G$2:$G$426=1),412)+1)),"")="","",ROUNDUP(IFERROR(INDEX(Liste_Materiel_Combinee!$F:$F,(_xlfn.AGGREGATE(15,6,(ROW(Liste_Materiel_Combinee!$G$2:$G$426)-1)/(Liste_Materiel_Combinee!$G$2:$G$426=1),412)+1)),""),0))</f>
        <v/>
      </c>
      <c r="D414" s="104" t="str">
        <f>IF($H$5="EFFACER","",IFERROR(INDEX(Liste_Materiel_Combinee!$E:$E,(_xlfn.AGGREGATE(15,6,(ROW(Liste_Materiel_Combinee!$G$2:$G$426)-1)/(Liste_Materiel_Combinee!$G$2:$G$426=1),412)+1)),""))</f>
        <v/>
      </c>
      <c r="E414" s="105">
        <f t="shared" si="6"/>
        <v>0</v>
      </c>
      <c r="F414" s="104" t="str">
        <f>IFERROR(INDEX(Catalogue!$K:$K,MATCH(A414,Catalogue!$A:$A,0)),"")</f>
        <v/>
      </c>
      <c r="G414" s="102"/>
      <c r="H414" s="7"/>
      <c r="I414" s="7"/>
    </row>
    <row r="415" spans="1:9" x14ac:dyDescent="0.25">
      <c r="A415" s="103" t="str">
        <f>IFERROR(INDEX(Liste_Materiel_Combinee!$B:$B,(_xlfn.AGGREGATE(15,6,(ROW(Liste_Materiel_Combinee!$G$2:$G$426)-1)/(Liste_Materiel_Combinee!$G$2:$G$426=1),413)+1)),"")</f>
        <v/>
      </c>
      <c r="B415" s="104" t="str">
        <f>IFERROR(INDEX(Liste_Materiel_Combinee!$C:$C,(_xlfn.AGGREGATE(15,6,(ROW(Liste_Materiel_Combinee!$G$2:$G$426)-1)/(Liste_Materiel_Combinee!$G$2:$G$426=1),413)+1)),"")</f>
        <v/>
      </c>
      <c r="C415" s="104" t="str">
        <f>IF(IFERROR(INDEX(Liste_Materiel_Combinee!$F:$F,(_xlfn.AGGREGATE(15,6,(ROW(Liste_Materiel_Combinee!$G$2:$G$426)-1)/(Liste_Materiel_Combinee!$G$2:$G$426=1),413)+1)),"")="","",ROUNDUP(IFERROR(INDEX(Liste_Materiel_Combinee!$F:$F,(_xlfn.AGGREGATE(15,6,(ROW(Liste_Materiel_Combinee!$G$2:$G$426)-1)/(Liste_Materiel_Combinee!$G$2:$G$426=1),413)+1)),""),0))</f>
        <v/>
      </c>
      <c r="D415" s="104" t="str">
        <f>IF($H$5="EFFACER","",IFERROR(INDEX(Liste_Materiel_Combinee!$E:$E,(_xlfn.AGGREGATE(15,6,(ROW(Liste_Materiel_Combinee!$G$2:$G$426)-1)/(Liste_Materiel_Combinee!$G$2:$G$426=1),413)+1)),""))</f>
        <v/>
      </c>
      <c r="E415" s="105">
        <f t="shared" si="6"/>
        <v>0</v>
      </c>
      <c r="F415" s="104" t="str">
        <f>IFERROR(INDEX(Catalogue!$K:$K,MATCH(A415,Catalogue!$A:$A,0)),"")</f>
        <v/>
      </c>
      <c r="G415" s="102"/>
      <c r="H415" s="7"/>
      <c r="I415" s="7"/>
    </row>
    <row r="416" spans="1:9" x14ac:dyDescent="0.25">
      <c r="A416" s="103" t="str">
        <f>IFERROR(INDEX(Liste_Materiel_Combinee!$B:$B,(_xlfn.AGGREGATE(15,6,(ROW(Liste_Materiel_Combinee!$G$2:$G$426)-1)/(Liste_Materiel_Combinee!$G$2:$G$426=1),414)+1)),"")</f>
        <v/>
      </c>
      <c r="B416" s="104" t="str">
        <f>IFERROR(INDEX(Liste_Materiel_Combinee!$C:$C,(_xlfn.AGGREGATE(15,6,(ROW(Liste_Materiel_Combinee!$G$2:$G$426)-1)/(Liste_Materiel_Combinee!$G$2:$G$426=1),414)+1)),"")</f>
        <v/>
      </c>
      <c r="C416" s="104" t="str">
        <f>IF(IFERROR(INDEX(Liste_Materiel_Combinee!$F:$F,(_xlfn.AGGREGATE(15,6,(ROW(Liste_Materiel_Combinee!$G$2:$G$426)-1)/(Liste_Materiel_Combinee!$G$2:$G$426=1),414)+1)),"")="","",ROUNDUP(IFERROR(INDEX(Liste_Materiel_Combinee!$F:$F,(_xlfn.AGGREGATE(15,6,(ROW(Liste_Materiel_Combinee!$G$2:$G$426)-1)/(Liste_Materiel_Combinee!$G$2:$G$426=1),414)+1)),""),0))</f>
        <v/>
      </c>
      <c r="D416" s="104" t="str">
        <f>IF($H$5="EFFACER","",IFERROR(INDEX(Liste_Materiel_Combinee!$E:$E,(_xlfn.AGGREGATE(15,6,(ROW(Liste_Materiel_Combinee!$G$2:$G$426)-1)/(Liste_Materiel_Combinee!$G$2:$G$426=1),414)+1)),""))</f>
        <v/>
      </c>
      <c r="E416" s="105">
        <f t="shared" si="6"/>
        <v>0</v>
      </c>
      <c r="F416" s="104" t="str">
        <f>IFERROR(INDEX(Catalogue!$K:$K,MATCH(A416,Catalogue!$A:$A,0)),"")</f>
        <v/>
      </c>
      <c r="G416" s="102"/>
      <c r="H416" s="7"/>
      <c r="I416" s="7"/>
    </row>
    <row r="417" spans="1:9" x14ac:dyDescent="0.25">
      <c r="A417" s="103" t="str">
        <f>IFERROR(INDEX(Liste_Materiel_Combinee!$B:$B,(_xlfn.AGGREGATE(15,6,(ROW(Liste_Materiel_Combinee!$G$2:$G$426)-1)/(Liste_Materiel_Combinee!$G$2:$G$426=1),415)+1)),"")</f>
        <v/>
      </c>
      <c r="B417" s="104" t="str">
        <f>IFERROR(INDEX(Liste_Materiel_Combinee!$C:$C,(_xlfn.AGGREGATE(15,6,(ROW(Liste_Materiel_Combinee!$G$2:$G$426)-1)/(Liste_Materiel_Combinee!$G$2:$G$426=1),415)+1)),"")</f>
        <v/>
      </c>
      <c r="C417" s="104" t="str">
        <f>IF(IFERROR(INDEX(Liste_Materiel_Combinee!$F:$F,(_xlfn.AGGREGATE(15,6,(ROW(Liste_Materiel_Combinee!$G$2:$G$426)-1)/(Liste_Materiel_Combinee!$G$2:$G$426=1),415)+1)),"")="","",ROUNDUP(IFERROR(INDEX(Liste_Materiel_Combinee!$F:$F,(_xlfn.AGGREGATE(15,6,(ROW(Liste_Materiel_Combinee!$G$2:$G$426)-1)/(Liste_Materiel_Combinee!$G$2:$G$426=1),415)+1)),""),0))</f>
        <v/>
      </c>
      <c r="D417" s="104" t="str">
        <f>IF($H$5="EFFACER","",IFERROR(INDEX(Liste_Materiel_Combinee!$E:$E,(_xlfn.AGGREGATE(15,6,(ROW(Liste_Materiel_Combinee!$G$2:$G$426)-1)/(Liste_Materiel_Combinee!$G$2:$G$426=1),415)+1)),""))</f>
        <v/>
      </c>
      <c r="E417" s="105">
        <f t="shared" si="6"/>
        <v>0</v>
      </c>
      <c r="F417" s="104" t="str">
        <f>IFERROR(INDEX(Catalogue!$K:$K,MATCH(A417,Catalogue!$A:$A,0)),"")</f>
        <v/>
      </c>
      <c r="G417" s="102"/>
      <c r="H417" s="7"/>
      <c r="I417" s="7"/>
    </row>
    <row r="418" spans="1:9" x14ac:dyDescent="0.25">
      <c r="A418" s="103" t="str">
        <f>IFERROR(INDEX(Liste_Materiel_Combinee!$B:$B,(_xlfn.AGGREGATE(15,6,(ROW(Liste_Materiel_Combinee!$G$2:$G$426)-1)/(Liste_Materiel_Combinee!$G$2:$G$426=1),416)+1)),"")</f>
        <v/>
      </c>
      <c r="B418" s="104" t="str">
        <f>IFERROR(INDEX(Liste_Materiel_Combinee!$C:$C,(_xlfn.AGGREGATE(15,6,(ROW(Liste_Materiel_Combinee!$G$2:$G$426)-1)/(Liste_Materiel_Combinee!$G$2:$G$426=1),416)+1)),"")</f>
        <v/>
      </c>
      <c r="C418" s="104" t="str">
        <f>IF(IFERROR(INDEX(Liste_Materiel_Combinee!$F:$F,(_xlfn.AGGREGATE(15,6,(ROW(Liste_Materiel_Combinee!$G$2:$G$426)-1)/(Liste_Materiel_Combinee!$G$2:$G$426=1),416)+1)),"")="","",ROUNDUP(IFERROR(INDEX(Liste_Materiel_Combinee!$F:$F,(_xlfn.AGGREGATE(15,6,(ROW(Liste_Materiel_Combinee!$G$2:$G$426)-1)/(Liste_Materiel_Combinee!$G$2:$G$426=1),416)+1)),""),0))</f>
        <v/>
      </c>
      <c r="D418" s="104" t="str">
        <f>IF($H$5="EFFACER","",IFERROR(INDEX(Liste_Materiel_Combinee!$E:$E,(_xlfn.AGGREGATE(15,6,(ROW(Liste_Materiel_Combinee!$G$2:$G$426)-1)/(Liste_Materiel_Combinee!$G$2:$G$426=1),416)+1)),""))</f>
        <v/>
      </c>
      <c r="E418" s="105">
        <f t="shared" si="6"/>
        <v>0</v>
      </c>
      <c r="F418" s="104" t="str">
        <f>IFERROR(INDEX(Catalogue!$K:$K,MATCH(A418,Catalogue!$A:$A,0)),"")</f>
        <v/>
      </c>
      <c r="G418" s="102"/>
      <c r="H418" s="7"/>
      <c r="I418" s="7"/>
    </row>
    <row r="419" spans="1:9" x14ac:dyDescent="0.25">
      <c r="A419" s="103" t="str">
        <f>IFERROR(INDEX(Liste_Materiel_Combinee!$B:$B,(_xlfn.AGGREGATE(15,6,(ROW(Liste_Materiel_Combinee!$G$2:$G$426)-1)/(Liste_Materiel_Combinee!$G$2:$G$426=1),417)+1)),"")</f>
        <v/>
      </c>
      <c r="B419" s="104" t="str">
        <f>IFERROR(INDEX(Liste_Materiel_Combinee!$C:$C,(_xlfn.AGGREGATE(15,6,(ROW(Liste_Materiel_Combinee!$G$2:$G$426)-1)/(Liste_Materiel_Combinee!$G$2:$G$426=1),417)+1)),"")</f>
        <v/>
      </c>
      <c r="C419" s="104" t="str">
        <f>IF(IFERROR(INDEX(Liste_Materiel_Combinee!$F:$F,(_xlfn.AGGREGATE(15,6,(ROW(Liste_Materiel_Combinee!$G$2:$G$426)-1)/(Liste_Materiel_Combinee!$G$2:$G$426=1),417)+1)),"")="","",ROUNDUP(IFERROR(INDEX(Liste_Materiel_Combinee!$F:$F,(_xlfn.AGGREGATE(15,6,(ROW(Liste_Materiel_Combinee!$G$2:$G$426)-1)/(Liste_Materiel_Combinee!$G$2:$G$426=1),417)+1)),""),0))</f>
        <v/>
      </c>
      <c r="D419" s="104" t="str">
        <f>IF($H$5="EFFACER","",IFERROR(INDEX(Liste_Materiel_Combinee!$E:$E,(_xlfn.AGGREGATE(15,6,(ROW(Liste_Materiel_Combinee!$G$2:$G$426)-1)/(Liste_Materiel_Combinee!$G$2:$G$426=1),417)+1)),""))</f>
        <v/>
      </c>
      <c r="E419" s="105">
        <f t="shared" si="6"/>
        <v>0</v>
      </c>
      <c r="F419" s="104" t="str">
        <f>IFERROR(INDEX(Catalogue!$K:$K,MATCH(A419,Catalogue!$A:$A,0)),"")</f>
        <v/>
      </c>
      <c r="G419" s="102"/>
      <c r="H419" s="7"/>
      <c r="I419" s="7"/>
    </row>
    <row r="420" spans="1:9" x14ac:dyDescent="0.25">
      <c r="A420" s="103" t="str">
        <f>IFERROR(INDEX(Liste_Materiel_Combinee!$B:$B,(_xlfn.AGGREGATE(15,6,(ROW(Liste_Materiel_Combinee!$G$2:$G$426)-1)/(Liste_Materiel_Combinee!$G$2:$G$426=1),418)+1)),"")</f>
        <v/>
      </c>
      <c r="B420" s="104" t="str">
        <f>IFERROR(INDEX(Liste_Materiel_Combinee!$C:$C,(_xlfn.AGGREGATE(15,6,(ROW(Liste_Materiel_Combinee!$G$2:$G$426)-1)/(Liste_Materiel_Combinee!$G$2:$G$426=1),418)+1)),"")</f>
        <v/>
      </c>
      <c r="C420" s="104" t="str">
        <f>IF(IFERROR(INDEX(Liste_Materiel_Combinee!$F:$F,(_xlfn.AGGREGATE(15,6,(ROW(Liste_Materiel_Combinee!$G$2:$G$426)-1)/(Liste_Materiel_Combinee!$G$2:$G$426=1),418)+1)),"")="","",ROUNDUP(IFERROR(INDEX(Liste_Materiel_Combinee!$F:$F,(_xlfn.AGGREGATE(15,6,(ROW(Liste_Materiel_Combinee!$G$2:$G$426)-1)/(Liste_Materiel_Combinee!$G$2:$G$426=1),418)+1)),""),0))</f>
        <v/>
      </c>
      <c r="D420" s="104" t="str">
        <f>IF($H$5="EFFACER","",IFERROR(INDEX(Liste_Materiel_Combinee!$E:$E,(_xlfn.AGGREGATE(15,6,(ROW(Liste_Materiel_Combinee!$G$2:$G$426)-1)/(Liste_Materiel_Combinee!$G$2:$G$426=1),418)+1)),""))</f>
        <v/>
      </c>
      <c r="E420" s="105">
        <f t="shared" si="6"/>
        <v>0</v>
      </c>
      <c r="F420" s="104" t="str">
        <f>IFERROR(INDEX(Catalogue!$K:$K,MATCH(A420,Catalogue!$A:$A,0)),"")</f>
        <v/>
      </c>
      <c r="G420" s="102"/>
      <c r="H420" s="7"/>
      <c r="I420" s="7"/>
    </row>
    <row r="421" spans="1:9" x14ac:dyDescent="0.25">
      <c r="A421" s="103" t="str">
        <f>IFERROR(INDEX(Liste_Materiel_Combinee!$B:$B,(_xlfn.AGGREGATE(15,6,(ROW(Liste_Materiel_Combinee!$G$2:$G$426)-1)/(Liste_Materiel_Combinee!$G$2:$G$426=1),419)+1)),"")</f>
        <v/>
      </c>
      <c r="B421" s="104" t="str">
        <f>IFERROR(INDEX(Liste_Materiel_Combinee!$C:$C,(_xlfn.AGGREGATE(15,6,(ROW(Liste_Materiel_Combinee!$G$2:$G$426)-1)/(Liste_Materiel_Combinee!$G$2:$G$426=1),419)+1)),"")</f>
        <v/>
      </c>
      <c r="C421" s="104" t="str">
        <f>IF(IFERROR(INDEX(Liste_Materiel_Combinee!$F:$F,(_xlfn.AGGREGATE(15,6,(ROW(Liste_Materiel_Combinee!$G$2:$G$426)-1)/(Liste_Materiel_Combinee!$G$2:$G$426=1),419)+1)),"")="","",ROUNDUP(IFERROR(INDEX(Liste_Materiel_Combinee!$F:$F,(_xlfn.AGGREGATE(15,6,(ROW(Liste_Materiel_Combinee!$G$2:$G$426)-1)/(Liste_Materiel_Combinee!$G$2:$G$426=1),419)+1)),""),0))</f>
        <v/>
      </c>
      <c r="D421" s="104" t="str">
        <f>IF($H$5="EFFACER","",IFERROR(INDEX(Liste_Materiel_Combinee!$E:$E,(_xlfn.AGGREGATE(15,6,(ROW(Liste_Materiel_Combinee!$G$2:$G$426)-1)/(Liste_Materiel_Combinee!$G$2:$G$426=1),419)+1)),""))</f>
        <v/>
      </c>
      <c r="E421" s="105">
        <f t="shared" si="6"/>
        <v>0</v>
      </c>
      <c r="F421" s="104" t="str">
        <f>IFERROR(INDEX(Catalogue!$K:$K,MATCH(A421,Catalogue!$A:$A,0)),"")</f>
        <v/>
      </c>
      <c r="G421" s="102"/>
      <c r="H421" s="7"/>
      <c r="I421" s="7"/>
    </row>
    <row r="422" spans="1:9" x14ac:dyDescent="0.25">
      <c r="A422" s="103" t="str">
        <f>IFERROR(INDEX(Liste_Materiel_Combinee!$B:$B,(_xlfn.AGGREGATE(15,6,(ROW(Liste_Materiel_Combinee!$G$2:$G$426)-1)/(Liste_Materiel_Combinee!$G$2:$G$426=1),420)+1)),"")</f>
        <v/>
      </c>
      <c r="B422" s="104" t="str">
        <f>IFERROR(INDEX(Liste_Materiel_Combinee!$C:$C,(_xlfn.AGGREGATE(15,6,(ROW(Liste_Materiel_Combinee!$G$2:$G$426)-1)/(Liste_Materiel_Combinee!$G$2:$G$426=1),420)+1)),"")</f>
        <v/>
      </c>
      <c r="C422" s="104" t="str">
        <f>IF(IFERROR(INDEX(Liste_Materiel_Combinee!$F:$F,(_xlfn.AGGREGATE(15,6,(ROW(Liste_Materiel_Combinee!$G$2:$G$426)-1)/(Liste_Materiel_Combinee!$G$2:$G$426=1),420)+1)),"")="","",ROUNDUP(IFERROR(INDEX(Liste_Materiel_Combinee!$F:$F,(_xlfn.AGGREGATE(15,6,(ROW(Liste_Materiel_Combinee!$G$2:$G$426)-1)/(Liste_Materiel_Combinee!$G$2:$G$426=1),420)+1)),""),0))</f>
        <v/>
      </c>
      <c r="D422" s="104" t="str">
        <f>IF($H$5="EFFACER","",IFERROR(INDEX(Liste_Materiel_Combinee!$E:$E,(_xlfn.AGGREGATE(15,6,(ROW(Liste_Materiel_Combinee!$G$2:$G$426)-1)/(Liste_Materiel_Combinee!$G$2:$G$426=1),420)+1)),""))</f>
        <v/>
      </c>
      <c r="E422" s="105">
        <f t="shared" si="6"/>
        <v>0</v>
      </c>
      <c r="F422" s="104" t="str">
        <f>IFERROR(INDEX(Catalogue!$K:$K,MATCH(A422,Catalogue!$A:$A,0)),"")</f>
        <v/>
      </c>
      <c r="G422" s="102"/>
      <c r="H422" s="7"/>
      <c r="I422" s="7"/>
    </row>
    <row r="423" spans="1:9" x14ac:dyDescent="0.25">
      <c r="A423" s="103" t="str">
        <f>IFERROR(INDEX(Liste_Materiel_Combinee!$B:$B,(_xlfn.AGGREGATE(15,6,(ROW(Liste_Materiel_Combinee!$G$2:$G$426)-1)/(Liste_Materiel_Combinee!$G$2:$G$426=1),421)+1)),"")</f>
        <v/>
      </c>
      <c r="B423" s="104" t="str">
        <f>IFERROR(INDEX(Liste_Materiel_Combinee!$C:$C,(_xlfn.AGGREGATE(15,6,(ROW(Liste_Materiel_Combinee!$G$2:$G$426)-1)/(Liste_Materiel_Combinee!$G$2:$G$426=1),421)+1)),"")</f>
        <v/>
      </c>
      <c r="C423" s="104" t="str">
        <f>IF(IFERROR(INDEX(Liste_Materiel_Combinee!$F:$F,(_xlfn.AGGREGATE(15,6,(ROW(Liste_Materiel_Combinee!$G$2:$G$426)-1)/(Liste_Materiel_Combinee!$G$2:$G$426=1),421)+1)),"")="","",ROUNDUP(IFERROR(INDEX(Liste_Materiel_Combinee!$F:$F,(_xlfn.AGGREGATE(15,6,(ROW(Liste_Materiel_Combinee!$G$2:$G$426)-1)/(Liste_Materiel_Combinee!$G$2:$G$426=1),421)+1)),""),0))</f>
        <v/>
      </c>
      <c r="D423" s="104" t="str">
        <f>IF($H$5="EFFACER","",IFERROR(INDEX(Liste_Materiel_Combinee!$E:$E,(_xlfn.AGGREGATE(15,6,(ROW(Liste_Materiel_Combinee!$G$2:$G$426)-1)/(Liste_Materiel_Combinee!$G$2:$G$426=1),421)+1)),""))</f>
        <v/>
      </c>
      <c r="E423" s="105">
        <f t="shared" si="6"/>
        <v>0</v>
      </c>
      <c r="F423" s="104" t="str">
        <f>IFERROR(INDEX(Catalogue!$K:$K,MATCH(A423,Catalogue!$A:$A,0)),"")</f>
        <v/>
      </c>
      <c r="G423" s="102"/>
      <c r="H423" s="7"/>
      <c r="I423" s="7"/>
    </row>
  </sheetData>
  <sheetProtection algorithmName="SHA-512" hashValue="qeyyCTOSUliJbrn6uldvP5CkRt+4kZUPHbG090edqXUz2+fr0UcwuFfpyF+L6vOujyyt6VIWzdBarBatOl7jXw==" saltValue="M4VT7gjQy0BNhhIv9vXV6A==" spinCount="100000" sheet="1" objects="1" scenarios="1"/>
  <dataValidations count="2">
    <dataValidation type="list" allowBlank="1" showInputMessage="1" showErrorMessage="1" promptTitle="Unités" prompt="NORMAL = unités affichées. EFFACER = colonne Unité vidée pour ton copier-coller." sqref="H5" xr:uid="{00000000-0002-0000-0700-000000000000}">
      <formula1>"NORMAL,EFFACER"</formula1>
      <formula2>0</formula2>
    </dataValidation>
    <dataValidation allowBlank="1" showInputMessage="1" showErrorMessage="1" promptTitle="Date " prompt="Insérer la date de livraison souhaitait sous ce format jj.mm.yyyy" sqref="H2" xr:uid="{00000000-0002-0000-07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4"/>
  <sheetViews>
    <sheetView showGridLines="0" zoomScaleNormal="100" workbookViewId="0">
      <pane ySplit="1" topLeftCell="A2" activePane="bottomLeft" state="frozen"/>
      <selection pane="bottomLeft" activeCell="E6" sqref="E6"/>
    </sheetView>
  </sheetViews>
  <sheetFormatPr baseColWidth="10" defaultColWidth="8.5703125" defaultRowHeight="15" x14ac:dyDescent="0.25"/>
  <cols>
    <col min="1" max="1" width="17.140625" customWidth="1"/>
    <col min="2" max="2" width="49.5703125" customWidth="1"/>
    <col min="3" max="3" width="17.140625" customWidth="1"/>
    <col min="4" max="4" width="11.42578125" customWidth="1"/>
    <col min="5" max="5" width="17.140625" customWidth="1"/>
    <col min="8" max="8" width="10.140625" customWidth="1"/>
  </cols>
  <sheetData>
    <row r="1" spans="1:8" ht="15.75" customHeight="1" x14ac:dyDescent="0.25">
      <c r="A1" s="108" t="s">
        <v>1157</v>
      </c>
      <c r="B1" s="108"/>
      <c r="C1" s="108"/>
      <c r="D1" s="108"/>
      <c r="E1" s="108"/>
      <c r="G1" s="109" t="s">
        <v>1158</v>
      </c>
      <c r="H1" s="110"/>
    </row>
    <row r="2" spans="1:8" ht="15.75" customHeight="1" x14ac:dyDescent="0.3">
      <c r="A2" s="111" t="str">
        <f>IFERROR(INDEX(Catalogue!$K:$K,_xlfn.AGGREGATE(15,6,(ROW(Catalogue!$L$4:$L$454))/(Catalogue!$L$4:$L$454=1),1)),"")</f>
        <v>TCRI / ATELIER</v>
      </c>
      <c r="B2" s="112"/>
      <c r="C2" s="112"/>
      <c r="D2" s="112"/>
      <c r="E2" s="113"/>
    </row>
    <row r="3" spans="1:8" ht="15.75" customHeight="1" x14ac:dyDescent="0.25">
      <c r="A3" s="114" t="s">
        <v>1026</v>
      </c>
      <c r="B3" s="115" t="s">
        <v>1027</v>
      </c>
      <c r="C3" s="115" t="s">
        <v>1152</v>
      </c>
      <c r="D3" s="115" t="s">
        <v>1029</v>
      </c>
      <c r="E3" s="116" t="s">
        <v>1153</v>
      </c>
    </row>
    <row r="4" spans="1:8" ht="15.75" customHeight="1" x14ac:dyDescent="0.25">
      <c r="A4" s="117" t="str">
        <f>IFERROR(INDEX(DA_SAP!$A:$A,(_xlfn.AGGREGATE(15,6,(ROW(DA_SAP!$F$3:$F$423)-2)/(DA_SAP!$F$3:$F$423=$A$2)*($A$2&lt;&gt;""),ROW()-4)+2)),"")</f>
        <v/>
      </c>
      <c r="B4" s="118" t="str">
        <f>IFERROR(INDEX(DA_SAP!$B:$B,(_xlfn.AGGREGATE(15,6,(ROW(DA_SAP!$F$3:$F$423)-2)/(DA_SAP!$F$3:$F$423=$A$2)*($A$2&lt;&gt;""),ROW()-4)+2)),"")</f>
        <v/>
      </c>
      <c r="C4" s="118" t="str">
        <f>IFERROR(INDEX(DA_SAP!$C:$C,(_xlfn.AGGREGATE(15,6,(ROW(DA_SAP!$F$3:$F$423)-2)/(DA_SAP!$F$3:$F$423=$A$2)*($A$2&lt;&gt;""),ROW()-4)+2)),"")</f>
        <v/>
      </c>
      <c r="D4" s="118" t="str">
        <f>IF($H$4="EFFACER","",IFERROR(INDEX(DA_SAP!$D:$D,(_xlfn.AGGREGATE(15,6,(ROW(DA_SAP!$F$3:$F$423)-2)/(DA_SAP!$F$3:$F$423=$A$2)*($A$2&lt;&gt;""),ROW()-4)+2)),""))</f>
        <v/>
      </c>
      <c r="E4" s="119" t="str">
        <f t="shared" ref="E4:E35" si="0">IF($A4="","",$H$1)</f>
        <v/>
      </c>
      <c r="G4" s="109" t="s">
        <v>1155</v>
      </c>
      <c r="H4" s="120" t="s">
        <v>1156</v>
      </c>
    </row>
    <row r="5" spans="1:8" x14ac:dyDescent="0.25">
      <c r="A5" s="117" t="str">
        <f>IFERROR(INDEX(DA_SAP!$A:$A,(_xlfn.AGGREGATE(15,6,(ROW(DA_SAP!$F$3:$F$423)-2)/(DA_SAP!$F$3:$F$423=$A$2)*($A$2&lt;&gt;""),ROW()-4)+2)),"")</f>
        <v/>
      </c>
      <c r="B5" s="118" t="str">
        <f>IFERROR(INDEX(DA_SAP!$B:$B,(_xlfn.AGGREGATE(15,6,(ROW(DA_SAP!$F$3:$F$423)-2)/(DA_SAP!$F$3:$F$423=$A$2)*($A$2&lt;&gt;""),ROW()-4)+2)),"")</f>
        <v/>
      </c>
      <c r="C5" s="118" t="str">
        <f>IFERROR(INDEX(DA_SAP!$C:$C,(_xlfn.AGGREGATE(15,6,(ROW(DA_SAP!$F$3:$F$423)-2)/(DA_SAP!$F$3:$F$423=$A$2)*($A$2&lt;&gt;""),ROW()-4)+2)),"")</f>
        <v/>
      </c>
      <c r="D5" s="118" t="str">
        <f>IF($H$4="EFFACER","",IFERROR(INDEX(DA_SAP!$D:$D,(_xlfn.AGGREGATE(15,6,(ROW(DA_SAP!$F$3:$F$423)-2)/(DA_SAP!$F$3:$F$423=$A$2)*($A$2&lt;&gt;""),ROW()-4)+2)),""))</f>
        <v/>
      </c>
      <c r="E5" s="119" t="str">
        <f t="shared" si="0"/>
        <v/>
      </c>
    </row>
    <row r="6" spans="1:8" x14ac:dyDescent="0.25">
      <c r="A6" s="117" t="str">
        <f>IFERROR(INDEX(DA_SAP!$A:$A,(_xlfn.AGGREGATE(15,6,(ROW(DA_SAP!$F$3:$F$423)-2)/(DA_SAP!$F$3:$F$423=$A$2)*($A$2&lt;&gt;""),ROW()-4)+2)),"")</f>
        <v/>
      </c>
      <c r="B6" s="118" t="str">
        <f>IFERROR(INDEX(DA_SAP!$B:$B,(_xlfn.AGGREGATE(15,6,(ROW(DA_SAP!$F$3:$F$423)-2)/(DA_SAP!$F$3:$F$423=$A$2)*($A$2&lt;&gt;""),ROW()-4)+2)),"")</f>
        <v/>
      </c>
      <c r="C6" s="118" t="str">
        <f>IFERROR(INDEX(DA_SAP!$C:$C,(_xlfn.AGGREGATE(15,6,(ROW(DA_SAP!$F$3:$F$423)-2)/(DA_SAP!$F$3:$F$423=$A$2)*($A$2&lt;&gt;""),ROW()-4)+2)),"")</f>
        <v/>
      </c>
      <c r="D6" s="118" t="str">
        <f>IF($H$4="EFFACER","",IFERROR(INDEX(DA_SAP!$D:$D,(_xlfn.AGGREGATE(15,6,(ROW(DA_SAP!$F$3:$F$423)-2)/(DA_SAP!$F$3:$F$423=$A$2)*($A$2&lt;&gt;""),ROW()-4)+2)),""))</f>
        <v/>
      </c>
      <c r="E6" s="119" t="str">
        <f t="shared" si="0"/>
        <v/>
      </c>
    </row>
    <row r="7" spans="1:8" x14ac:dyDescent="0.25">
      <c r="A7" s="117" t="str">
        <f>IFERROR(INDEX(DA_SAP!$A:$A,(_xlfn.AGGREGATE(15,6,(ROW(DA_SAP!$F$3:$F$423)-2)/(DA_SAP!$F$3:$F$423=$A$2)*($A$2&lt;&gt;""),ROW()-4)+2)),"")</f>
        <v/>
      </c>
      <c r="B7" s="118" t="str">
        <f>IFERROR(INDEX(DA_SAP!$B:$B,(_xlfn.AGGREGATE(15,6,(ROW(DA_SAP!$F$3:$F$423)-2)/(DA_SAP!$F$3:$F$423=$A$2)*($A$2&lt;&gt;""),ROW()-4)+2)),"")</f>
        <v/>
      </c>
      <c r="C7" s="118" t="str">
        <f>IFERROR(INDEX(DA_SAP!$C:$C,(_xlfn.AGGREGATE(15,6,(ROW(DA_SAP!$F$3:$F$423)-2)/(DA_SAP!$F$3:$F$423=$A$2)*($A$2&lt;&gt;""),ROW()-4)+2)),"")</f>
        <v/>
      </c>
      <c r="D7" s="118" t="str">
        <f>IF($H$4="EFFACER","",IFERROR(INDEX(DA_SAP!$D:$D,(_xlfn.AGGREGATE(15,6,(ROW(DA_SAP!$F$3:$F$423)-2)/(DA_SAP!$F$3:$F$423=$A$2)*($A$2&lt;&gt;""),ROW()-4)+2)),""))</f>
        <v/>
      </c>
      <c r="E7" s="119" t="str">
        <f t="shared" si="0"/>
        <v/>
      </c>
    </row>
    <row r="8" spans="1:8" x14ac:dyDescent="0.25">
      <c r="A8" s="117" t="str">
        <f>IFERROR(INDEX(DA_SAP!$A:$A,(_xlfn.AGGREGATE(15,6,(ROW(DA_SAP!$F$3:$F$423)-2)/(DA_SAP!$F$3:$F$423=$A$2)*($A$2&lt;&gt;""),ROW()-4)+2)),"")</f>
        <v/>
      </c>
      <c r="B8" s="118" t="str">
        <f>IFERROR(INDEX(DA_SAP!$B:$B,(_xlfn.AGGREGATE(15,6,(ROW(DA_SAP!$F$3:$F$423)-2)/(DA_SAP!$F$3:$F$423=$A$2)*($A$2&lt;&gt;""),ROW()-4)+2)),"")</f>
        <v/>
      </c>
      <c r="C8" s="118" t="str">
        <f>IFERROR(INDEX(DA_SAP!$C:$C,(_xlfn.AGGREGATE(15,6,(ROW(DA_SAP!$F$3:$F$423)-2)/(DA_SAP!$F$3:$F$423=$A$2)*($A$2&lt;&gt;""),ROW()-4)+2)),"")</f>
        <v/>
      </c>
      <c r="D8" s="118" t="str">
        <f>IF($H$4="EFFACER","",IFERROR(INDEX(DA_SAP!$D:$D,(_xlfn.AGGREGATE(15,6,(ROW(DA_SAP!$F$3:$F$423)-2)/(DA_SAP!$F$3:$F$423=$A$2)*($A$2&lt;&gt;""),ROW()-4)+2)),""))</f>
        <v/>
      </c>
      <c r="E8" s="119" t="str">
        <f t="shared" si="0"/>
        <v/>
      </c>
    </row>
    <row r="9" spans="1:8" x14ac:dyDescent="0.25">
      <c r="A9" s="117" t="str">
        <f>IFERROR(INDEX(DA_SAP!$A:$A,(_xlfn.AGGREGATE(15,6,(ROW(DA_SAP!$F$3:$F$423)-2)/(DA_SAP!$F$3:$F$423=$A$2)*($A$2&lt;&gt;""),ROW()-4)+2)),"")</f>
        <v/>
      </c>
      <c r="B9" s="118" t="str">
        <f>IFERROR(INDEX(DA_SAP!$B:$B,(_xlfn.AGGREGATE(15,6,(ROW(DA_SAP!$F$3:$F$423)-2)/(DA_SAP!$F$3:$F$423=$A$2)*($A$2&lt;&gt;""),ROW()-4)+2)),"")</f>
        <v/>
      </c>
      <c r="C9" s="118" t="str">
        <f>IFERROR(INDEX(DA_SAP!$C:$C,(_xlfn.AGGREGATE(15,6,(ROW(DA_SAP!$F$3:$F$423)-2)/(DA_SAP!$F$3:$F$423=$A$2)*($A$2&lt;&gt;""),ROW()-4)+2)),"")</f>
        <v/>
      </c>
      <c r="D9" s="118" t="str">
        <f>IF($H$4="EFFACER","",IFERROR(INDEX(DA_SAP!$D:$D,(_xlfn.AGGREGATE(15,6,(ROW(DA_SAP!$F$3:$F$423)-2)/(DA_SAP!$F$3:$F$423=$A$2)*($A$2&lt;&gt;""),ROW()-4)+2)),""))</f>
        <v/>
      </c>
      <c r="E9" s="119" t="str">
        <f t="shared" si="0"/>
        <v/>
      </c>
    </row>
    <row r="10" spans="1:8" x14ac:dyDescent="0.25">
      <c r="A10" s="117" t="str">
        <f>IFERROR(INDEX(DA_SAP!$A:$A,(_xlfn.AGGREGATE(15,6,(ROW(DA_SAP!$F$3:$F$423)-2)/(DA_SAP!$F$3:$F$423=$A$2)*($A$2&lt;&gt;""),ROW()-4)+2)),"")</f>
        <v/>
      </c>
      <c r="B10" s="118" t="str">
        <f>IFERROR(INDEX(DA_SAP!$B:$B,(_xlfn.AGGREGATE(15,6,(ROW(DA_SAP!$F$3:$F$423)-2)/(DA_SAP!$F$3:$F$423=$A$2)*($A$2&lt;&gt;""),ROW()-4)+2)),"")</f>
        <v/>
      </c>
      <c r="C10" s="118" t="str">
        <f>IFERROR(INDEX(DA_SAP!$C:$C,(_xlfn.AGGREGATE(15,6,(ROW(DA_SAP!$F$3:$F$423)-2)/(DA_SAP!$F$3:$F$423=$A$2)*($A$2&lt;&gt;""),ROW()-4)+2)),"")</f>
        <v/>
      </c>
      <c r="D10" s="118" t="str">
        <f>IF($H$4="EFFACER","",IFERROR(INDEX(DA_SAP!$D:$D,(_xlfn.AGGREGATE(15,6,(ROW(DA_SAP!$F$3:$F$423)-2)/(DA_SAP!$F$3:$F$423=$A$2)*($A$2&lt;&gt;""),ROW()-4)+2)),""))</f>
        <v/>
      </c>
      <c r="E10" s="119" t="str">
        <f t="shared" si="0"/>
        <v/>
      </c>
    </row>
    <row r="11" spans="1:8" x14ac:dyDescent="0.25">
      <c r="A11" s="117" t="str">
        <f>IFERROR(INDEX(DA_SAP!$A:$A,(_xlfn.AGGREGATE(15,6,(ROW(DA_SAP!$F$3:$F$423)-2)/(DA_SAP!$F$3:$F$423=$A$2)*($A$2&lt;&gt;""),ROW()-4)+2)),"")</f>
        <v/>
      </c>
      <c r="B11" s="118" t="str">
        <f>IFERROR(INDEX(DA_SAP!$B:$B,(_xlfn.AGGREGATE(15,6,(ROW(DA_SAP!$F$3:$F$423)-2)/(DA_SAP!$F$3:$F$423=$A$2)*($A$2&lt;&gt;""),ROW()-4)+2)),"")</f>
        <v/>
      </c>
      <c r="C11" s="118" t="str">
        <f>IFERROR(INDEX(DA_SAP!$C:$C,(_xlfn.AGGREGATE(15,6,(ROW(DA_SAP!$F$3:$F$423)-2)/(DA_SAP!$F$3:$F$423=$A$2)*($A$2&lt;&gt;""),ROW()-4)+2)),"")</f>
        <v/>
      </c>
      <c r="D11" s="118" t="str">
        <f>IF($H$4="EFFACER","",IFERROR(INDEX(DA_SAP!$D:$D,(_xlfn.AGGREGATE(15,6,(ROW(DA_SAP!$F$3:$F$423)-2)/(DA_SAP!$F$3:$F$423=$A$2)*($A$2&lt;&gt;""),ROW()-4)+2)),""))</f>
        <v/>
      </c>
      <c r="E11" s="119" t="str">
        <f t="shared" si="0"/>
        <v/>
      </c>
    </row>
    <row r="12" spans="1:8" x14ac:dyDescent="0.25">
      <c r="A12" s="117" t="str">
        <f>IFERROR(INDEX(DA_SAP!$A:$A,(_xlfn.AGGREGATE(15,6,(ROW(DA_SAP!$F$3:$F$423)-2)/(DA_SAP!$F$3:$F$423=$A$2)*($A$2&lt;&gt;""),ROW()-4)+2)),"")</f>
        <v/>
      </c>
      <c r="B12" s="118" t="str">
        <f>IFERROR(INDEX(DA_SAP!$B:$B,(_xlfn.AGGREGATE(15,6,(ROW(DA_SAP!$F$3:$F$423)-2)/(DA_SAP!$F$3:$F$423=$A$2)*($A$2&lt;&gt;""),ROW()-4)+2)),"")</f>
        <v/>
      </c>
      <c r="C12" s="118" t="str">
        <f>IFERROR(INDEX(DA_SAP!$C:$C,(_xlfn.AGGREGATE(15,6,(ROW(DA_SAP!$F$3:$F$423)-2)/(DA_SAP!$F$3:$F$423=$A$2)*($A$2&lt;&gt;""),ROW()-4)+2)),"")</f>
        <v/>
      </c>
      <c r="D12" s="118" t="str">
        <f>IF($H$4="EFFACER","",IFERROR(INDEX(DA_SAP!$D:$D,(_xlfn.AGGREGATE(15,6,(ROW(DA_SAP!$F$3:$F$423)-2)/(DA_SAP!$F$3:$F$423=$A$2)*($A$2&lt;&gt;""),ROW()-4)+2)),""))</f>
        <v/>
      </c>
      <c r="E12" s="119" t="str">
        <f t="shared" si="0"/>
        <v/>
      </c>
    </row>
    <row r="13" spans="1:8" x14ac:dyDescent="0.25">
      <c r="A13" s="117" t="str">
        <f>IFERROR(INDEX(DA_SAP!$A:$A,(_xlfn.AGGREGATE(15,6,(ROW(DA_SAP!$F$3:$F$423)-2)/(DA_SAP!$F$3:$F$423=$A$2)*($A$2&lt;&gt;""),ROW()-4)+2)),"")</f>
        <v/>
      </c>
      <c r="B13" s="118" t="str">
        <f>IFERROR(INDEX(DA_SAP!$B:$B,(_xlfn.AGGREGATE(15,6,(ROW(DA_SAP!$F$3:$F$423)-2)/(DA_SAP!$F$3:$F$423=$A$2)*($A$2&lt;&gt;""),ROW()-4)+2)),"")</f>
        <v/>
      </c>
      <c r="C13" s="118" t="str">
        <f>IFERROR(INDEX(DA_SAP!$C:$C,(_xlfn.AGGREGATE(15,6,(ROW(DA_SAP!$F$3:$F$423)-2)/(DA_SAP!$F$3:$F$423=$A$2)*($A$2&lt;&gt;""),ROW()-4)+2)),"")</f>
        <v/>
      </c>
      <c r="D13" s="118" t="str">
        <f>IF($H$4="EFFACER","",IFERROR(INDEX(DA_SAP!$D:$D,(_xlfn.AGGREGATE(15,6,(ROW(DA_SAP!$F$3:$F$423)-2)/(DA_SAP!$F$3:$F$423=$A$2)*($A$2&lt;&gt;""),ROW()-4)+2)),""))</f>
        <v/>
      </c>
      <c r="E13" s="119" t="str">
        <f t="shared" si="0"/>
        <v/>
      </c>
    </row>
    <row r="14" spans="1:8" x14ac:dyDescent="0.25">
      <c r="A14" s="117" t="str">
        <f>IFERROR(INDEX(DA_SAP!$A:$A,(_xlfn.AGGREGATE(15,6,(ROW(DA_SAP!$F$3:$F$423)-2)/(DA_SAP!$F$3:$F$423=$A$2)*($A$2&lt;&gt;""),ROW()-4)+2)),"")</f>
        <v/>
      </c>
      <c r="B14" s="118" t="str">
        <f>IFERROR(INDEX(DA_SAP!$B:$B,(_xlfn.AGGREGATE(15,6,(ROW(DA_SAP!$F$3:$F$423)-2)/(DA_SAP!$F$3:$F$423=$A$2)*($A$2&lt;&gt;""),ROW()-4)+2)),"")</f>
        <v/>
      </c>
      <c r="C14" s="118" t="str">
        <f>IFERROR(INDEX(DA_SAP!$C:$C,(_xlfn.AGGREGATE(15,6,(ROW(DA_SAP!$F$3:$F$423)-2)/(DA_SAP!$F$3:$F$423=$A$2)*($A$2&lt;&gt;""),ROW()-4)+2)),"")</f>
        <v/>
      </c>
      <c r="D14" s="118" t="str">
        <f>IF($H$4="EFFACER","",IFERROR(INDEX(DA_SAP!$D:$D,(_xlfn.AGGREGATE(15,6,(ROW(DA_SAP!$F$3:$F$423)-2)/(DA_SAP!$F$3:$F$423=$A$2)*($A$2&lt;&gt;""),ROW()-4)+2)),""))</f>
        <v/>
      </c>
      <c r="E14" s="119" t="str">
        <f t="shared" si="0"/>
        <v/>
      </c>
    </row>
    <row r="15" spans="1:8" x14ac:dyDescent="0.25">
      <c r="A15" s="117" t="str">
        <f>IFERROR(INDEX(DA_SAP!$A:$A,(_xlfn.AGGREGATE(15,6,(ROW(DA_SAP!$F$3:$F$423)-2)/(DA_SAP!$F$3:$F$423=$A$2)*($A$2&lt;&gt;""),ROW()-4)+2)),"")</f>
        <v/>
      </c>
      <c r="B15" s="118" t="str">
        <f>IFERROR(INDEX(DA_SAP!$B:$B,(_xlfn.AGGREGATE(15,6,(ROW(DA_SAP!$F$3:$F$423)-2)/(DA_SAP!$F$3:$F$423=$A$2)*($A$2&lt;&gt;""),ROW()-4)+2)),"")</f>
        <v/>
      </c>
      <c r="C15" s="118" t="str">
        <f>IFERROR(INDEX(DA_SAP!$C:$C,(_xlfn.AGGREGATE(15,6,(ROW(DA_SAP!$F$3:$F$423)-2)/(DA_SAP!$F$3:$F$423=$A$2)*($A$2&lt;&gt;""),ROW()-4)+2)),"")</f>
        <v/>
      </c>
      <c r="D15" s="118" t="str">
        <f>IF($H$4="EFFACER","",IFERROR(INDEX(DA_SAP!$D:$D,(_xlfn.AGGREGATE(15,6,(ROW(DA_SAP!$F$3:$F$423)-2)/(DA_SAP!$F$3:$F$423=$A$2)*($A$2&lt;&gt;""),ROW()-4)+2)),""))</f>
        <v/>
      </c>
      <c r="E15" s="119" t="str">
        <f t="shared" si="0"/>
        <v/>
      </c>
    </row>
    <row r="16" spans="1:8" x14ac:dyDescent="0.25">
      <c r="A16" s="117" t="str">
        <f>IFERROR(INDEX(DA_SAP!$A:$A,(_xlfn.AGGREGATE(15,6,(ROW(DA_SAP!$F$3:$F$423)-2)/(DA_SAP!$F$3:$F$423=$A$2)*($A$2&lt;&gt;""),ROW()-4)+2)),"")</f>
        <v/>
      </c>
      <c r="B16" s="118" t="str">
        <f>IFERROR(INDEX(DA_SAP!$B:$B,(_xlfn.AGGREGATE(15,6,(ROW(DA_SAP!$F$3:$F$423)-2)/(DA_SAP!$F$3:$F$423=$A$2)*($A$2&lt;&gt;""),ROW()-4)+2)),"")</f>
        <v/>
      </c>
      <c r="C16" s="118" t="str">
        <f>IFERROR(INDEX(DA_SAP!$C:$C,(_xlfn.AGGREGATE(15,6,(ROW(DA_SAP!$F$3:$F$423)-2)/(DA_SAP!$F$3:$F$423=$A$2)*($A$2&lt;&gt;""),ROW()-4)+2)),"")</f>
        <v/>
      </c>
      <c r="D16" s="118" t="str">
        <f>IF($H$4="EFFACER","",IFERROR(INDEX(DA_SAP!$D:$D,(_xlfn.AGGREGATE(15,6,(ROW(DA_SAP!$F$3:$F$423)-2)/(DA_SAP!$F$3:$F$423=$A$2)*($A$2&lt;&gt;""),ROW()-4)+2)),""))</f>
        <v/>
      </c>
      <c r="E16" s="119" t="str">
        <f t="shared" si="0"/>
        <v/>
      </c>
    </row>
    <row r="17" spans="1:5" x14ac:dyDescent="0.25">
      <c r="A17" s="117" t="str">
        <f>IFERROR(INDEX(DA_SAP!$A:$A,(_xlfn.AGGREGATE(15,6,(ROW(DA_SAP!$F$3:$F$423)-2)/(DA_SAP!$F$3:$F$423=$A$2)*($A$2&lt;&gt;""),ROW()-4)+2)),"")</f>
        <v/>
      </c>
      <c r="B17" s="118" t="str">
        <f>IFERROR(INDEX(DA_SAP!$B:$B,(_xlfn.AGGREGATE(15,6,(ROW(DA_SAP!$F$3:$F$423)-2)/(DA_SAP!$F$3:$F$423=$A$2)*($A$2&lt;&gt;""),ROW()-4)+2)),"")</f>
        <v/>
      </c>
      <c r="C17" s="118" t="str">
        <f>IFERROR(INDEX(DA_SAP!$C:$C,(_xlfn.AGGREGATE(15,6,(ROW(DA_SAP!$F$3:$F$423)-2)/(DA_SAP!$F$3:$F$423=$A$2)*($A$2&lt;&gt;""),ROW()-4)+2)),"")</f>
        <v/>
      </c>
      <c r="D17" s="118" t="str">
        <f>IF($H$4="EFFACER","",IFERROR(INDEX(DA_SAP!$D:$D,(_xlfn.AGGREGATE(15,6,(ROW(DA_SAP!$F$3:$F$423)-2)/(DA_SAP!$F$3:$F$423=$A$2)*($A$2&lt;&gt;""),ROW()-4)+2)),""))</f>
        <v/>
      </c>
      <c r="E17" s="119" t="str">
        <f t="shared" si="0"/>
        <v/>
      </c>
    </row>
    <row r="18" spans="1:5" x14ac:dyDescent="0.25">
      <c r="A18" s="117" t="str">
        <f>IFERROR(INDEX(DA_SAP!$A:$A,(_xlfn.AGGREGATE(15,6,(ROW(DA_SAP!$F$3:$F$423)-2)/(DA_SAP!$F$3:$F$423=$A$2)*($A$2&lt;&gt;""),ROW()-4)+2)),"")</f>
        <v/>
      </c>
      <c r="B18" s="118" t="str">
        <f>IFERROR(INDEX(DA_SAP!$B:$B,(_xlfn.AGGREGATE(15,6,(ROW(DA_SAP!$F$3:$F$423)-2)/(DA_SAP!$F$3:$F$423=$A$2)*($A$2&lt;&gt;""),ROW()-4)+2)),"")</f>
        <v/>
      </c>
      <c r="C18" s="118" t="str">
        <f>IFERROR(INDEX(DA_SAP!$C:$C,(_xlfn.AGGREGATE(15,6,(ROW(DA_SAP!$F$3:$F$423)-2)/(DA_SAP!$F$3:$F$423=$A$2)*($A$2&lt;&gt;""),ROW()-4)+2)),"")</f>
        <v/>
      </c>
      <c r="D18" s="118" t="str">
        <f>IF($H$4="EFFACER","",IFERROR(INDEX(DA_SAP!$D:$D,(_xlfn.AGGREGATE(15,6,(ROW(DA_SAP!$F$3:$F$423)-2)/(DA_SAP!$F$3:$F$423=$A$2)*($A$2&lt;&gt;""),ROW()-4)+2)),""))</f>
        <v/>
      </c>
      <c r="E18" s="119" t="str">
        <f t="shared" si="0"/>
        <v/>
      </c>
    </row>
    <row r="19" spans="1:5" x14ac:dyDescent="0.25">
      <c r="A19" s="117" t="str">
        <f>IFERROR(INDEX(DA_SAP!$A:$A,(_xlfn.AGGREGATE(15,6,(ROW(DA_SAP!$F$3:$F$423)-2)/(DA_SAP!$F$3:$F$423=$A$2)*($A$2&lt;&gt;""),ROW()-4)+2)),"")</f>
        <v/>
      </c>
      <c r="B19" s="118" t="str">
        <f>IFERROR(INDEX(DA_SAP!$B:$B,(_xlfn.AGGREGATE(15,6,(ROW(DA_SAP!$F$3:$F$423)-2)/(DA_SAP!$F$3:$F$423=$A$2)*($A$2&lt;&gt;""),ROW()-4)+2)),"")</f>
        <v/>
      </c>
      <c r="C19" s="118" t="str">
        <f>IFERROR(INDEX(DA_SAP!$C:$C,(_xlfn.AGGREGATE(15,6,(ROW(DA_SAP!$F$3:$F$423)-2)/(DA_SAP!$F$3:$F$423=$A$2)*($A$2&lt;&gt;""),ROW()-4)+2)),"")</f>
        <v/>
      </c>
      <c r="D19" s="118" t="str">
        <f>IF($H$4="EFFACER","",IFERROR(INDEX(DA_SAP!$D:$D,(_xlfn.AGGREGATE(15,6,(ROW(DA_SAP!$F$3:$F$423)-2)/(DA_SAP!$F$3:$F$423=$A$2)*($A$2&lt;&gt;""),ROW()-4)+2)),""))</f>
        <v/>
      </c>
      <c r="E19" s="119" t="str">
        <f t="shared" si="0"/>
        <v/>
      </c>
    </row>
    <row r="20" spans="1:5" x14ac:dyDescent="0.25">
      <c r="A20" s="117" t="str">
        <f>IFERROR(INDEX(DA_SAP!$A:$A,(_xlfn.AGGREGATE(15,6,(ROW(DA_SAP!$F$3:$F$423)-2)/(DA_SAP!$F$3:$F$423=$A$2)*($A$2&lt;&gt;""),ROW()-4)+2)),"")</f>
        <v/>
      </c>
      <c r="B20" s="118" t="str">
        <f>IFERROR(INDEX(DA_SAP!$B:$B,(_xlfn.AGGREGATE(15,6,(ROW(DA_SAP!$F$3:$F$423)-2)/(DA_SAP!$F$3:$F$423=$A$2)*($A$2&lt;&gt;""),ROW()-4)+2)),"")</f>
        <v/>
      </c>
      <c r="C20" s="118" t="str">
        <f>IFERROR(INDEX(DA_SAP!$C:$C,(_xlfn.AGGREGATE(15,6,(ROW(DA_SAP!$F$3:$F$423)-2)/(DA_SAP!$F$3:$F$423=$A$2)*($A$2&lt;&gt;""),ROW()-4)+2)),"")</f>
        <v/>
      </c>
      <c r="D20" s="118" t="str">
        <f>IF($H$4="EFFACER","",IFERROR(INDEX(DA_SAP!$D:$D,(_xlfn.AGGREGATE(15,6,(ROW(DA_SAP!$F$3:$F$423)-2)/(DA_SAP!$F$3:$F$423=$A$2)*($A$2&lt;&gt;""),ROW()-4)+2)),""))</f>
        <v/>
      </c>
      <c r="E20" s="119" t="str">
        <f t="shared" si="0"/>
        <v/>
      </c>
    </row>
    <row r="21" spans="1:5" x14ac:dyDescent="0.25">
      <c r="A21" s="117" t="str">
        <f>IFERROR(INDEX(DA_SAP!$A:$A,(_xlfn.AGGREGATE(15,6,(ROW(DA_SAP!$F$3:$F$423)-2)/(DA_SAP!$F$3:$F$423=$A$2)*($A$2&lt;&gt;""),ROW()-4)+2)),"")</f>
        <v/>
      </c>
      <c r="B21" s="118" t="str">
        <f>IFERROR(INDEX(DA_SAP!$B:$B,(_xlfn.AGGREGATE(15,6,(ROW(DA_SAP!$F$3:$F$423)-2)/(DA_SAP!$F$3:$F$423=$A$2)*($A$2&lt;&gt;""),ROW()-4)+2)),"")</f>
        <v/>
      </c>
      <c r="C21" s="118" t="str">
        <f>IFERROR(INDEX(DA_SAP!$C:$C,(_xlfn.AGGREGATE(15,6,(ROW(DA_SAP!$F$3:$F$423)-2)/(DA_SAP!$F$3:$F$423=$A$2)*($A$2&lt;&gt;""),ROW()-4)+2)),"")</f>
        <v/>
      </c>
      <c r="D21" s="118" t="str">
        <f>IF($H$4="EFFACER","",IFERROR(INDEX(DA_SAP!$D:$D,(_xlfn.AGGREGATE(15,6,(ROW(DA_SAP!$F$3:$F$423)-2)/(DA_SAP!$F$3:$F$423=$A$2)*($A$2&lt;&gt;""),ROW()-4)+2)),""))</f>
        <v/>
      </c>
      <c r="E21" s="119" t="str">
        <f t="shared" si="0"/>
        <v/>
      </c>
    </row>
    <row r="22" spans="1:5" x14ac:dyDescent="0.25">
      <c r="A22" s="117" t="str">
        <f>IFERROR(INDEX(DA_SAP!$A:$A,(_xlfn.AGGREGATE(15,6,(ROW(DA_SAP!$F$3:$F$423)-2)/(DA_SAP!$F$3:$F$423=$A$2)*($A$2&lt;&gt;""),ROW()-4)+2)),"")</f>
        <v/>
      </c>
      <c r="B22" s="118" t="str">
        <f>IFERROR(INDEX(DA_SAP!$B:$B,(_xlfn.AGGREGATE(15,6,(ROW(DA_SAP!$F$3:$F$423)-2)/(DA_SAP!$F$3:$F$423=$A$2)*($A$2&lt;&gt;""),ROW()-4)+2)),"")</f>
        <v/>
      </c>
      <c r="C22" s="118" t="str">
        <f>IFERROR(INDEX(DA_SAP!$C:$C,(_xlfn.AGGREGATE(15,6,(ROW(DA_SAP!$F$3:$F$423)-2)/(DA_SAP!$F$3:$F$423=$A$2)*($A$2&lt;&gt;""),ROW()-4)+2)),"")</f>
        <v/>
      </c>
      <c r="D22" s="118" t="str">
        <f>IF($H$4="EFFACER","",IFERROR(INDEX(DA_SAP!$D:$D,(_xlfn.AGGREGATE(15,6,(ROW(DA_SAP!$F$3:$F$423)-2)/(DA_SAP!$F$3:$F$423=$A$2)*($A$2&lt;&gt;""),ROW()-4)+2)),""))</f>
        <v/>
      </c>
      <c r="E22" s="119" t="str">
        <f t="shared" si="0"/>
        <v/>
      </c>
    </row>
    <row r="23" spans="1:5" x14ac:dyDescent="0.25">
      <c r="A23" s="117" t="str">
        <f>IFERROR(INDEX(DA_SAP!$A:$A,(_xlfn.AGGREGATE(15,6,(ROW(DA_SAP!$F$3:$F$423)-2)/(DA_SAP!$F$3:$F$423=$A$2)*($A$2&lt;&gt;""),ROW()-4)+2)),"")</f>
        <v/>
      </c>
      <c r="B23" s="118" t="str">
        <f>IFERROR(INDEX(DA_SAP!$B:$B,(_xlfn.AGGREGATE(15,6,(ROW(DA_SAP!$F$3:$F$423)-2)/(DA_SAP!$F$3:$F$423=$A$2)*($A$2&lt;&gt;""),ROW()-4)+2)),"")</f>
        <v/>
      </c>
      <c r="C23" s="118" t="str">
        <f>IFERROR(INDEX(DA_SAP!$C:$C,(_xlfn.AGGREGATE(15,6,(ROW(DA_SAP!$F$3:$F$423)-2)/(DA_SAP!$F$3:$F$423=$A$2)*($A$2&lt;&gt;""),ROW()-4)+2)),"")</f>
        <v/>
      </c>
      <c r="D23" s="118" t="str">
        <f>IF($H$4="EFFACER","",IFERROR(INDEX(DA_SAP!$D:$D,(_xlfn.AGGREGATE(15,6,(ROW(DA_SAP!$F$3:$F$423)-2)/(DA_SAP!$F$3:$F$423=$A$2)*($A$2&lt;&gt;""),ROW()-4)+2)),""))</f>
        <v/>
      </c>
      <c r="E23" s="119" t="str">
        <f t="shared" si="0"/>
        <v/>
      </c>
    </row>
    <row r="24" spans="1:5" x14ac:dyDescent="0.25">
      <c r="A24" s="117" t="str">
        <f>IFERROR(INDEX(DA_SAP!$A:$A,(_xlfn.AGGREGATE(15,6,(ROW(DA_SAP!$F$3:$F$423)-2)/(DA_SAP!$F$3:$F$423=$A$2)*($A$2&lt;&gt;""),ROW()-4)+2)),"")</f>
        <v/>
      </c>
      <c r="B24" s="118" t="str">
        <f>IFERROR(INDEX(DA_SAP!$B:$B,(_xlfn.AGGREGATE(15,6,(ROW(DA_SAP!$F$3:$F$423)-2)/(DA_SAP!$F$3:$F$423=$A$2)*($A$2&lt;&gt;""),ROW()-4)+2)),"")</f>
        <v/>
      </c>
      <c r="C24" s="118" t="str">
        <f>IFERROR(INDEX(DA_SAP!$C:$C,(_xlfn.AGGREGATE(15,6,(ROW(DA_SAP!$F$3:$F$423)-2)/(DA_SAP!$F$3:$F$423=$A$2)*($A$2&lt;&gt;""),ROW()-4)+2)),"")</f>
        <v/>
      </c>
      <c r="D24" s="118" t="str">
        <f>IF($H$4="EFFACER","",IFERROR(INDEX(DA_SAP!$D:$D,(_xlfn.AGGREGATE(15,6,(ROW(DA_SAP!$F$3:$F$423)-2)/(DA_SAP!$F$3:$F$423=$A$2)*($A$2&lt;&gt;""),ROW()-4)+2)),""))</f>
        <v/>
      </c>
      <c r="E24" s="119" t="str">
        <f t="shared" si="0"/>
        <v/>
      </c>
    </row>
    <row r="25" spans="1:5" x14ac:dyDescent="0.25">
      <c r="A25" s="117" t="str">
        <f>IFERROR(INDEX(DA_SAP!$A:$A,(_xlfn.AGGREGATE(15,6,(ROW(DA_SAP!$F$3:$F$423)-2)/(DA_SAP!$F$3:$F$423=$A$2)*($A$2&lt;&gt;""),ROW()-4)+2)),"")</f>
        <v/>
      </c>
      <c r="B25" s="118" t="str">
        <f>IFERROR(INDEX(DA_SAP!$B:$B,(_xlfn.AGGREGATE(15,6,(ROW(DA_SAP!$F$3:$F$423)-2)/(DA_SAP!$F$3:$F$423=$A$2)*($A$2&lt;&gt;""),ROW()-4)+2)),"")</f>
        <v/>
      </c>
      <c r="C25" s="118" t="str">
        <f>IFERROR(INDEX(DA_SAP!$C:$C,(_xlfn.AGGREGATE(15,6,(ROW(DA_SAP!$F$3:$F$423)-2)/(DA_SAP!$F$3:$F$423=$A$2)*($A$2&lt;&gt;""),ROW()-4)+2)),"")</f>
        <v/>
      </c>
      <c r="D25" s="118" t="str">
        <f>IF($H$4="EFFACER","",IFERROR(INDEX(DA_SAP!$D:$D,(_xlfn.AGGREGATE(15,6,(ROW(DA_SAP!$F$3:$F$423)-2)/(DA_SAP!$F$3:$F$423=$A$2)*($A$2&lt;&gt;""),ROW()-4)+2)),""))</f>
        <v/>
      </c>
      <c r="E25" s="119" t="str">
        <f t="shared" si="0"/>
        <v/>
      </c>
    </row>
    <row r="26" spans="1:5" x14ac:dyDescent="0.25">
      <c r="A26" s="117" t="str">
        <f>IFERROR(INDEX(DA_SAP!$A:$A,(_xlfn.AGGREGATE(15,6,(ROW(DA_SAP!$F$3:$F$423)-2)/(DA_SAP!$F$3:$F$423=$A$2)*($A$2&lt;&gt;""),ROW()-4)+2)),"")</f>
        <v/>
      </c>
      <c r="B26" s="118" t="str">
        <f>IFERROR(INDEX(DA_SAP!$B:$B,(_xlfn.AGGREGATE(15,6,(ROW(DA_SAP!$F$3:$F$423)-2)/(DA_SAP!$F$3:$F$423=$A$2)*($A$2&lt;&gt;""),ROW()-4)+2)),"")</f>
        <v/>
      </c>
      <c r="C26" s="118" t="str">
        <f>IFERROR(INDEX(DA_SAP!$C:$C,(_xlfn.AGGREGATE(15,6,(ROW(DA_SAP!$F$3:$F$423)-2)/(DA_SAP!$F$3:$F$423=$A$2)*($A$2&lt;&gt;""),ROW()-4)+2)),"")</f>
        <v/>
      </c>
      <c r="D26" s="118" t="str">
        <f>IF($H$4="EFFACER","",IFERROR(INDEX(DA_SAP!$D:$D,(_xlfn.AGGREGATE(15,6,(ROW(DA_SAP!$F$3:$F$423)-2)/(DA_SAP!$F$3:$F$423=$A$2)*($A$2&lt;&gt;""),ROW()-4)+2)),""))</f>
        <v/>
      </c>
      <c r="E26" s="119" t="str">
        <f t="shared" si="0"/>
        <v/>
      </c>
    </row>
    <row r="27" spans="1:5" x14ac:dyDescent="0.25">
      <c r="A27" s="117" t="str">
        <f>IFERROR(INDEX(DA_SAP!$A:$A,(_xlfn.AGGREGATE(15,6,(ROW(DA_SAP!$F$3:$F$423)-2)/(DA_SAP!$F$3:$F$423=$A$2)*($A$2&lt;&gt;""),ROW()-4)+2)),"")</f>
        <v/>
      </c>
      <c r="B27" s="118" t="str">
        <f>IFERROR(INDEX(DA_SAP!$B:$B,(_xlfn.AGGREGATE(15,6,(ROW(DA_SAP!$F$3:$F$423)-2)/(DA_SAP!$F$3:$F$423=$A$2)*($A$2&lt;&gt;""),ROW()-4)+2)),"")</f>
        <v/>
      </c>
      <c r="C27" s="118" t="str">
        <f>IFERROR(INDEX(DA_SAP!$C:$C,(_xlfn.AGGREGATE(15,6,(ROW(DA_SAP!$F$3:$F$423)-2)/(DA_SAP!$F$3:$F$423=$A$2)*($A$2&lt;&gt;""),ROW()-4)+2)),"")</f>
        <v/>
      </c>
      <c r="D27" s="118" t="str">
        <f>IF($H$4="EFFACER","",IFERROR(INDEX(DA_SAP!$D:$D,(_xlfn.AGGREGATE(15,6,(ROW(DA_SAP!$F$3:$F$423)-2)/(DA_SAP!$F$3:$F$423=$A$2)*($A$2&lt;&gt;""),ROW()-4)+2)),""))</f>
        <v/>
      </c>
      <c r="E27" s="119" t="str">
        <f t="shared" si="0"/>
        <v/>
      </c>
    </row>
    <row r="28" spans="1:5" x14ac:dyDescent="0.25">
      <c r="A28" s="117" t="str">
        <f>IFERROR(INDEX(DA_SAP!$A:$A,(_xlfn.AGGREGATE(15,6,(ROW(DA_SAP!$F$3:$F$423)-2)/(DA_SAP!$F$3:$F$423=$A$2)*($A$2&lt;&gt;""),ROW()-4)+2)),"")</f>
        <v/>
      </c>
      <c r="B28" s="118" t="str">
        <f>IFERROR(INDEX(DA_SAP!$B:$B,(_xlfn.AGGREGATE(15,6,(ROW(DA_SAP!$F$3:$F$423)-2)/(DA_SAP!$F$3:$F$423=$A$2)*($A$2&lt;&gt;""),ROW()-4)+2)),"")</f>
        <v/>
      </c>
      <c r="C28" s="118" t="str">
        <f>IFERROR(INDEX(DA_SAP!$C:$C,(_xlfn.AGGREGATE(15,6,(ROW(DA_SAP!$F$3:$F$423)-2)/(DA_SAP!$F$3:$F$423=$A$2)*($A$2&lt;&gt;""),ROW()-4)+2)),"")</f>
        <v/>
      </c>
      <c r="D28" s="118" t="str">
        <f>IF($H$4="EFFACER","",IFERROR(INDEX(DA_SAP!$D:$D,(_xlfn.AGGREGATE(15,6,(ROW(DA_SAP!$F$3:$F$423)-2)/(DA_SAP!$F$3:$F$423=$A$2)*($A$2&lt;&gt;""),ROW()-4)+2)),""))</f>
        <v/>
      </c>
      <c r="E28" s="119" t="str">
        <f t="shared" si="0"/>
        <v/>
      </c>
    </row>
    <row r="29" spans="1:5" x14ac:dyDescent="0.25">
      <c r="A29" s="117" t="str">
        <f>IFERROR(INDEX(DA_SAP!$A:$A,(_xlfn.AGGREGATE(15,6,(ROW(DA_SAP!$F$3:$F$423)-2)/(DA_SAP!$F$3:$F$423=$A$2)*($A$2&lt;&gt;""),ROW()-4)+2)),"")</f>
        <v/>
      </c>
      <c r="B29" s="118" t="str">
        <f>IFERROR(INDEX(DA_SAP!$B:$B,(_xlfn.AGGREGATE(15,6,(ROW(DA_SAP!$F$3:$F$423)-2)/(DA_SAP!$F$3:$F$423=$A$2)*($A$2&lt;&gt;""),ROW()-4)+2)),"")</f>
        <v/>
      </c>
      <c r="C29" s="118" t="str">
        <f>IFERROR(INDEX(DA_SAP!$C:$C,(_xlfn.AGGREGATE(15,6,(ROW(DA_SAP!$F$3:$F$423)-2)/(DA_SAP!$F$3:$F$423=$A$2)*($A$2&lt;&gt;""),ROW()-4)+2)),"")</f>
        <v/>
      </c>
      <c r="D29" s="118" t="str">
        <f>IF($H$4="EFFACER","",IFERROR(INDEX(DA_SAP!$D:$D,(_xlfn.AGGREGATE(15,6,(ROW(DA_SAP!$F$3:$F$423)-2)/(DA_SAP!$F$3:$F$423=$A$2)*($A$2&lt;&gt;""),ROW()-4)+2)),""))</f>
        <v/>
      </c>
      <c r="E29" s="119" t="str">
        <f t="shared" si="0"/>
        <v/>
      </c>
    </row>
    <row r="30" spans="1:5" x14ac:dyDescent="0.25">
      <c r="A30" s="117" t="str">
        <f>IFERROR(INDEX(DA_SAP!$A:$A,(_xlfn.AGGREGATE(15,6,(ROW(DA_SAP!$F$3:$F$423)-2)/(DA_SAP!$F$3:$F$423=$A$2)*($A$2&lt;&gt;""),ROW()-4)+2)),"")</f>
        <v/>
      </c>
      <c r="B30" s="118" t="str">
        <f>IFERROR(INDEX(DA_SAP!$B:$B,(_xlfn.AGGREGATE(15,6,(ROW(DA_SAP!$F$3:$F$423)-2)/(DA_SAP!$F$3:$F$423=$A$2)*($A$2&lt;&gt;""),ROW()-4)+2)),"")</f>
        <v/>
      </c>
      <c r="C30" s="118" t="str">
        <f>IFERROR(INDEX(DA_SAP!$C:$C,(_xlfn.AGGREGATE(15,6,(ROW(DA_SAP!$F$3:$F$423)-2)/(DA_SAP!$F$3:$F$423=$A$2)*($A$2&lt;&gt;""),ROW()-4)+2)),"")</f>
        <v/>
      </c>
      <c r="D30" s="118" t="str">
        <f>IF($H$4="EFFACER","",IFERROR(INDEX(DA_SAP!$D:$D,(_xlfn.AGGREGATE(15,6,(ROW(DA_SAP!$F$3:$F$423)-2)/(DA_SAP!$F$3:$F$423=$A$2)*($A$2&lt;&gt;""),ROW()-4)+2)),""))</f>
        <v/>
      </c>
      <c r="E30" s="119" t="str">
        <f t="shared" si="0"/>
        <v/>
      </c>
    </row>
    <row r="31" spans="1:5" x14ac:dyDescent="0.25">
      <c r="A31" s="117" t="str">
        <f>IFERROR(INDEX(DA_SAP!$A:$A,(_xlfn.AGGREGATE(15,6,(ROW(DA_SAP!$F$3:$F$423)-2)/(DA_SAP!$F$3:$F$423=$A$2)*($A$2&lt;&gt;""),ROW()-4)+2)),"")</f>
        <v/>
      </c>
      <c r="B31" s="118" t="str">
        <f>IFERROR(INDEX(DA_SAP!$B:$B,(_xlfn.AGGREGATE(15,6,(ROW(DA_SAP!$F$3:$F$423)-2)/(DA_SAP!$F$3:$F$423=$A$2)*($A$2&lt;&gt;""),ROW()-4)+2)),"")</f>
        <v/>
      </c>
      <c r="C31" s="118" t="str">
        <f>IFERROR(INDEX(DA_SAP!$C:$C,(_xlfn.AGGREGATE(15,6,(ROW(DA_SAP!$F$3:$F$423)-2)/(DA_SAP!$F$3:$F$423=$A$2)*($A$2&lt;&gt;""),ROW()-4)+2)),"")</f>
        <v/>
      </c>
      <c r="D31" s="118" t="str">
        <f>IF($H$4="EFFACER","",IFERROR(INDEX(DA_SAP!$D:$D,(_xlfn.AGGREGATE(15,6,(ROW(DA_SAP!$F$3:$F$423)-2)/(DA_SAP!$F$3:$F$423=$A$2)*($A$2&lt;&gt;""),ROW()-4)+2)),""))</f>
        <v/>
      </c>
      <c r="E31" s="119" t="str">
        <f t="shared" si="0"/>
        <v/>
      </c>
    </row>
    <row r="32" spans="1:5" x14ac:dyDescent="0.25">
      <c r="A32" s="117" t="str">
        <f>IFERROR(INDEX(DA_SAP!$A:$A,(_xlfn.AGGREGATE(15,6,(ROW(DA_SAP!$F$3:$F$423)-2)/(DA_SAP!$F$3:$F$423=$A$2)*($A$2&lt;&gt;""),ROW()-4)+2)),"")</f>
        <v/>
      </c>
      <c r="B32" s="118" t="str">
        <f>IFERROR(INDEX(DA_SAP!$B:$B,(_xlfn.AGGREGATE(15,6,(ROW(DA_SAP!$F$3:$F$423)-2)/(DA_SAP!$F$3:$F$423=$A$2)*($A$2&lt;&gt;""),ROW()-4)+2)),"")</f>
        <v/>
      </c>
      <c r="C32" s="118" t="str">
        <f>IFERROR(INDEX(DA_SAP!$C:$C,(_xlfn.AGGREGATE(15,6,(ROW(DA_SAP!$F$3:$F$423)-2)/(DA_SAP!$F$3:$F$423=$A$2)*($A$2&lt;&gt;""),ROW()-4)+2)),"")</f>
        <v/>
      </c>
      <c r="D32" s="118" t="str">
        <f>IF($H$4="EFFACER","",IFERROR(INDEX(DA_SAP!$D:$D,(_xlfn.AGGREGATE(15,6,(ROW(DA_SAP!$F$3:$F$423)-2)/(DA_SAP!$F$3:$F$423=$A$2)*($A$2&lt;&gt;""),ROW()-4)+2)),""))</f>
        <v/>
      </c>
      <c r="E32" s="119" t="str">
        <f t="shared" si="0"/>
        <v/>
      </c>
    </row>
    <row r="33" spans="1:5" x14ac:dyDescent="0.25">
      <c r="A33" s="117" t="str">
        <f>IFERROR(INDEX(DA_SAP!$A:$A,(_xlfn.AGGREGATE(15,6,(ROW(DA_SAP!$F$3:$F$423)-2)/(DA_SAP!$F$3:$F$423=$A$2)*($A$2&lt;&gt;""),ROW()-4)+2)),"")</f>
        <v/>
      </c>
      <c r="B33" s="118" t="str">
        <f>IFERROR(INDEX(DA_SAP!$B:$B,(_xlfn.AGGREGATE(15,6,(ROW(DA_SAP!$F$3:$F$423)-2)/(DA_SAP!$F$3:$F$423=$A$2)*($A$2&lt;&gt;""),ROW()-4)+2)),"")</f>
        <v/>
      </c>
      <c r="C33" s="118" t="str">
        <f>IFERROR(INDEX(DA_SAP!$C:$C,(_xlfn.AGGREGATE(15,6,(ROW(DA_SAP!$F$3:$F$423)-2)/(DA_SAP!$F$3:$F$423=$A$2)*($A$2&lt;&gt;""),ROW()-4)+2)),"")</f>
        <v/>
      </c>
      <c r="D33" s="118" t="str">
        <f>IF($H$4="EFFACER","",IFERROR(INDEX(DA_SAP!$D:$D,(_xlfn.AGGREGATE(15,6,(ROW(DA_SAP!$F$3:$F$423)-2)/(DA_SAP!$F$3:$F$423=$A$2)*($A$2&lt;&gt;""),ROW()-4)+2)),""))</f>
        <v/>
      </c>
      <c r="E33" s="119" t="str">
        <f t="shared" si="0"/>
        <v/>
      </c>
    </row>
    <row r="34" spans="1:5" x14ac:dyDescent="0.25">
      <c r="A34" s="117" t="str">
        <f>IFERROR(INDEX(DA_SAP!$A:$A,(_xlfn.AGGREGATE(15,6,(ROW(DA_SAP!$F$3:$F$423)-2)/(DA_SAP!$F$3:$F$423=$A$2)*($A$2&lt;&gt;""),ROW()-4)+2)),"")</f>
        <v/>
      </c>
      <c r="B34" s="118" t="str">
        <f>IFERROR(INDEX(DA_SAP!$B:$B,(_xlfn.AGGREGATE(15,6,(ROW(DA_SAP!$F$3:$F$423)-2)/(DA_SAP!$F$3:$F$423=$A$2)*($A$2&lt;&gt;""),ROW()-4)+2)),"")</f>
        <v/>
      </c>
      <c r="C34" s="118" t="str">
        <f>IFERROR(INDEX(DA_SAP!$C:$C,(_xlfn.AGGREGATE(15,6,(ROW(DA_SAP!$F$3:$F$423)-2)/(DA_SAP!$F$3:$F$423=$A$2)*($A$2&lt;&gt;""),ROW()-4)+2)),"")</f>
        <v/>
      </c>
      <c r="D34" s="118" t="str">
        <f>IF($H$4="EFFACER","",IFERROR(INDEX(DA_SAP!$D:$D,(_xlfn.AGGREGATE(15,6,(ROW(DA_SAP!$F$3:$F$423)-2)/(DA_SAP!$F$3:$F$423=$A$2)*($A$2&lt;&gt;""),ROW()-4)+2)),""))</f>
        <v/>
      </c>
      <c r="E34" s="119" t="str">
        <f t="shared" si="0"/>
        <v/>
      </c>
    </row>
    <row r="35" spans="1:5" x14ac:dyDescent="0.25">
      <c r="A35" s="117" t="str">
        <f>IFERROR(INDEX(DA_SAP!$A:$A,(_xlfn.AGGREGATE(15,6,(ROW(DA_SAP!$F$3:$F$423)-2)/(DA_SAP!$F$3:$F$423=$A$2)*($A$2&lt;&gt;""),ROW()-4)+2)),"")</f>
        <v/>
      </c>
      <c r="B35" s="118" t="str">
        <f>IFERROR(INDEX(DA_SAP!$B:$B,(_xlfn.AGGREGATE(15,6,(ROW(DA_SAP!$F$3:$F$423)-2)/(DA_SAP!$F$3:$F$423=$A$2)*($A$2&lt;&gt;""),ROW()-4)+2)),"")</f>
        <v/>
      </c>
      <c r="C35" s="118" t="str">
        <f>IFERROR(INDEX(DA_SAP!$C:$C,(_xlfn.AGGREGATE(15,6,(ROW(DA_SAP!$F$3:$F$423)-2)/(DA_SAP!$F$3:$F$423=$A$2)*($A$2&lt;&gt;""),ROW()-4)+2)),"")</f>
        <v/>
      </c>
      <c r="D35" s="118" t="str">
        <f>IF($H$4="EFFACER","",IFERROR(INDEX(DA_SAP!$D:$D,(_xlfn.AGGREGATE(15,6,(ROW(DA_SAP!$F$3:$F$423)-2)/(DA_SAP!$F$3:$F$423=$A$2)*($A$2&lt;&gt;""),ROW()-4)+2)),""))</f>
        <v/>
      </c>
      <c r="E35" s="119" t="str">
        <f t="shared" si="0"/>
        <v/>
      </c>
    </row>
    <row r="36" spans="1:5" x14ac:dyDescent="0.25">
      <c r="A36" s="117" t="str">
        <f>IFERROR(INDEX(DA_SAP!$A:$A,(_xlfn.AGGREGATE(15,6,(ROW(DA_SAP!$F$3:$F$423)-2)/(DA_SAP!$F$3:$F$423=$A$2)*($A$2&lt;&gt;""),ROW()-4)+2)),"")</f>
        <v/>
      </c>
      <c r="B36" s="118" t="str">
        <f>IFERROR(INDEX(DA_SAP!$B:$B,(_xlfn.AGGREGATE(15,6,(ROW(DA_SAP!$F$3:$F$423)-2)/(DA_SAP!$F$3:$F$423=$A$2)*($A$2&lt;&gt;""),ROW()-4)+2)),"")</f>
        <v/>
      </c>
      <c r="C36" s="118" t="str">
        <f>IFERROR(INDEX(DA_SAP!$C:$C,(_xlfn.AGGREGATE(15,6,(ROW(DA_SAP!$F$3:$F$423)-2)/(DA_SAP!$F$3:$F$423=$A$2)*($A$2&lt;&gt;""),ROW()-4)+2)),"")</f>
        <v/>
      </c>
      <c r="D36" s="118" t="str">
        <f>IF($H$4="EFFACER","",IFERROR(INDEX(DA_SAP!$D:$D,(_xlfn.AGGREGATE(15,6,(ROW(DA_SAP!$F$3:$F$423)-2)/(DA_SAP!$F$3:$F$423=$A$2)*($A$2&lt;&gt;""),ROW()-4)+2)),""))</f>
        <v/>
      </c>
      <c r="E36" s="119" t="str">
        <f t="shared" ref="E36:E63" si="1">IF($A36="","",$H$1)</f>
        <v/>
      </c>
    </row>
    <row r="37" spans="1:5" x14ac:dyDescent="0.25">
      <c r="A37" s="117" t="str">
        <f>IFERROR(INDEX(DA_SAP!$A:$A,(_xlfn.AGGREGATE(15,6,(ROW(DA_SAP!$F$3:$F$423)-2)/(DA_SAP!$F$3:$F$423=$A$2)*($A$2&lt;&gt;""),ROW()-4)+2)),"")</f>
        <v/>
      </c>
      <c r="B37" s="118" t="str">
        <f>IFERROR(INDEX(DA_SAP!$B:$B,(_xlfn.AGGREGATE(15,6,(ROW(DA_SAP!$F$3:$F$423)-2)/(DA_SAP!$F$3:$F$423=$A$2)*($A$2&lt;&gt;""),ROW()-4)+2)),"")</f>
        <v/>
      </c>
      <c r="C37" s="118" t="str">
        <f>IFERROR(INDEX(DA_SAP!$C:$C,(_xlfn.AGGREGATE(15,6,(ROW(DA_SAP!$F$3:$F$423)-2)/(DA_SAP!$F$3:$F$423=$A$2)*($A$2&lt;&gt;""),ROW()-4)+2)),"")</f>
        <v/>
      </c>
      <c r="D37" s="118" t="str">
        <f>IF($H$4="EFFACER","",IFERROR(INDEX(DA_SAP!$D:$D,(_xlfn.AGGREGATE(15,6,(ROW(DA_SAP!$F$3:$F$423)-2)/(DA_SAP!$F$3:$F$423=$A$2)*($A$2&lt;&gt;""),ROW()-4)+2)),""))</f>
        <v/>
      </c>
      <c r="E37" s="119" t="str">
        <f t="shared" si="1"/>
        <v/>
      </c>
    </row>
    <row r="38" spans="1:5" x14ac:dyDescent="0.25">
      <c r="A38" s="117" t="str">
        <f>IFERROR(INDEX(DA_SAP!$A:$A,(_xlfn.AGGREGATE(15,6,(ROW(DA_SAP!$F$3:$F$423)-2)/(DA_SAP!$F$3:$F$423=$A$2)*($A$2&lt;&gt;""),ROW()-4)+2)),"")</f>
        <v/>
      </c>
      <c r="B38" s="118" t="str">
        <f>IFERROR(INDEX(DA_SAP!$B:$B,(_xlfn.AGGREGATE(15,6,(ROW(DA_SAP!$F$3:$F$423)-2)/(DA_SAP!$F$3:$F$423=$A$2)*($A$2&lt;&gt;""),ROW()-4)+2)),"")</f>
        <v/>
      </c>
      <c r="C38" s="118" t="str">
        <f>IFERROR(INDEX(DA_SAP!$C:$C,(_xlfn.AGGREGATE(15,6,(ROW(DA_SAP!$F$3:$F$423)-2)/(DA_SAP!$F$3:$F$423=$A$2)*($A$2&lt;&gt;""),ROW()-4)+2)),"")</f>
        <v/>
      </c>
      <c r="D38" s="118" t="str">
        <f>IF($H$4="EFFACER","",IFERROR(INDEX(DA_SAP!$D:$D,(_xlfn.AGGREGATE(15,6,(ROW(DA_SAP!$F$3:$F$423)-2)/(DA_SAP!$F$3:$F$423=$A$2)*($A$2&lt;&gt;""),ROW()-4)+2)),""))</f>
        <v/>
      </c>
      <c r="E38" s="119" t="str">
        <f t="shared" si="1"/>
        <v/>
      </c>
    </row>
    <row r="39" spans="1:5" x14ac:dyDescent="0.25">
      <c r="A39" s="117" t="str">
        <f>IFERROR(INDEX(DA_SAP!$A:$A,(_xlfn.AGGREGATE(15,6,(ROW(DA_SAP!$F$3:$F$423)-2)/(DA_SAP!$F$3:$F$423=$A$2)*($A$2&lt;&gt;""),ROW()-4)+2)),"")</f>
        <v/>
      </c>
      <c r="B39" s="118" t="str">
        <f>IFERROR(INDEX(DA_SAP!$B:$B,(_xlfn.AGGREGATE(15,6,(ROW(DA_SAP!$F$3:$F$423)-2)/(DA_SAP!$F$3:$F$423=$A$2)*($A$2&lt;&gt;""),ROW()-4)+2)),"")</f>
        <v/>
      </c>
      <c r="C39" s="118" t="str">
        <f>IFERROR(INDEX(DA_SAP!$C:$C,(_xlfn.AGGREGATE(15,6,(ROW(DA_SAP!$F$3:$F$423)-2)/(DA_SAP!$F$3:$F$423=$A$2)*($A$2&lt;&gt;""),ROW()-4)+2)),"")</f>
        <v/>
      </c>
      <c r="D39" s="118" t="str">
        <f>IF($H$4="EFFACER","",IFERROR(INDEX(DA_SAP!$D:$D,(_xlfn.AGGREGATE(15,6,(ROW(DA_SAP!$F$3:$F$423)-2)/(DA_SAP!$F$3:$F$423=$A$2)*($A$2&lt;&gt;""),ROW()-4)+2)),""))</f>
        <v/>
      </c>
      <c r="E39" s="119" t="str">
        <f t="shared" si="1"/>
        <v/>
      </c>
    </row>
    <row r="40" spans="1:5" x14ac:dyDescent="0.25">
      <c r="A40" s="117" t="str">
        <f>IFERROR(INDEX(DA_SAP!$A:$A,(_xlfn.AGGREGATE(15,6,(ROW(DA_SAP!$F$3:$F$423)-2)/(DA_SAP!$F$3:$F$423=$A$2)*($A$2&lt;&gt;""),ROW()-4)+2)),"")</f>
        <v/>
      </c>
      <c r="B40" s="118" t="str">
        <f>IFERROR(INDEX(DA_SAP!$B:$B,(_xlfn.AGGREGATE(15,6,(ROW(DA_SAP!$F$3:$F$423)-2)/(DA_SAP!$F$3:$F$423=$A$2)*($A$2&lt;&gt;""),ROW()-4)+2)),"")</f>
        <v/>
      </c>
      <c r="C40" s="118" t="str">
        <f>IFERROR(INDEX(DA_SAP!$C:$C,(_xlfn.AGGREGATE(15,6,(ROW(DA_SAP!$F$3:$F$423)-2)/(DA_SAP!$F$3:$F$423=$A$2)*($A$2&lt;&gt;""),ROW()-4)+2)),"")</f>
        <v/>
      </c>
      <c r="D40" s="118" t="str">
        <f>IF($H$4="EFFACER","",IFERROR(INDEX(DA_SAP!$D:$D,(_xlfn.AGGREGATE(15,6,(ROW(DA_SAP!$F$3:$F$423)-2)/(DA_SAP!$F$3:$F$423=$A$2)*($A$2&lt;&gt;""),ROW()-4)+2)),""))</f>
        <v/>
      </c>
      <c r="E40" s="119" t="str">
        <f t="shared" si="1"/>
        <v/>
      </c>
    </row>
    <row r="41" spans="1:5" x14ac:dyDescent="0.25">
      <c r="A41" s="117" t="str">
        <f>IFERROR(INDEX(DA_SAP!$A:$A,(_xlfn.AGGREGATE(15,6,(ROW(DA_SAP!$F$3:$F$423)-2)/(DA_SAP!$F$3:$F$423=$A$2)*($A$2&lt;&gt;""),ROW()-4)+2)),"")</f>
        <v/>
      </c>
      <c r="B41" s="118" t="str">
        <f>IFERROR(INDEX(DA_SAP!$B:$B,(_xlfn.AGGREGATE(15,6,(ROW(DA_SAP!$F$3:$F$423)-2)/(DA_SAP!$F$3:$F$423=$A$2)*($A$2&lt;&gt;""),ROW()-4)+2)),"")</f>
        <v/>
      </c>
      <c r="C41" s="118" t="str">
        <f>IFERROR(INDEX(DA_SAP!$C:$C,(_xlfn.AGGREGATE(15,6,(ROW(DA_SAP!$F$3:$F$423)-2)/(DA_SAP!$F$3:$F$423=$A$2)*($A$2&lt;&gt;""),ROW()-4)+2)),"")</f>
        <v/>
      </c>
      <c r="D41" s="118" t="str">
        <f>IF($H$4="EFFACER","",IFERROR(INDEX(DA_SAP!$D:$D,(_xlfn.AGGREGATE(15,6,(ROW(DA_SAP!$F$3:$F$423)-2)/(DA_SAP!$F$3:$F$423=$A$2)*($A$2&lt;&gt;""),ROW()-4)+2)),""))</f>
        <v/>
      </c>
      <c r="E41" s="119" t="str">
        <f t="shared" si="1"/>
        <v/>
      </c>
    </row>
    <row r="42" spans="1:5" x14ac:dyDescent="0.25">
      <c r="A42" s="117" t="str">
        <f>IFERROR(INDEX(DA_SAP!$A:$A,(_xlfn.AGGREGATE(15,6,(ROW(DA_SAP!$F$3:$F$423)-2)/(DA_SAP!$F$3:$F$423=$A$2)*($A$2&lt;&gt;""),ROW()-4)+2)),"")</f>
        <v/>
      </c>
      <c r="B42" s="118" t="str">
        <f>IFERROR(INDEX(DA_SAP!$B:$B,(_xlfn.AGGREGATE(15,6,(ROW(DA_SAP!$F$3:$F$423)-2)/(DA_SAP!$F$3:$F$423=$A$2)*($A$2&lt;&gt;""),ROW()-4)+2)),"")</f>
        <v/>
      </c>
      <c r="C42" s="118" t="str">
        <f>IFERROR(INDEX(DA_SAP!$C:$C,(_xlfn.AGGREGATE(15,6,(ROW(DA_SAP!$F$3:$F$423)-2)/(DA_SAP!$F$3:$F$423=$A$2)*($A$2&lt;&gt;""),ROW()-4)+2)),"")</f>
        <v/>
      </c>
      <c r="D42" s="118" t="str">
        <f>IF($H$4="EFFACER","",IFERROR(INDEX(DA_SAP!$D:$D,(_xlfn.AGGREGATE(15,6,(ROW(DA_SAP!$F$3:$F$423)-2)/(DA_SAP!$F$3:$F$423=$A$2)*($A$2&lt;&gt;""),ROW()-4)+2)),""))</f>
        <v/>
      </c>
      <c r="E42" s="119" t="str">
        <f t="shared" si="1"/>
        <v/>
      </c>
    </row>
    <row r="43" spans="1:5" x14ac:dyDescent="0.25">
      <c r="A43" s="117" t="str">
        <f>IFERROR(INDEX(DA_SAP!$A:$A,(_xlfn.AGGREGATE(15,6,(ROW(DA_SAP!$F$3:$F$423)-2)/(DA_SAP!$F$3:$F$423=$A$2)*($A$2&lt;&gt;""),ROW()-4)+2)),"")</f>
        <v/>
      </c>
      <c r="B43" s="118" t="str">
        <f>IFERROR(INDEX(DA_SAP!$B:$B,(_xlfn.AGGREGATE(15,6,(ROW(DA_SAP!$F$3:$F$423)-2)/(DA_SAP!$F$3:$F$423=$A$2)*($A$2&lt;&gt;""),ROW()-4)+2)),"")</f>
        <v/>
      </c>
      <c r="C43" s="118" t="str">
        <f>IFERROR(INDEX(DA_SAP!$C:$C,(_xlfn.AGGREGATE(15,6,(ROW(DA_SAP!$F$3:$F$423)-2)/(DA_SAP!$F$3:$F$423=$A$2)*($A$2&lt;&gt;""),ROW()-4)+2)),"")</f>
        <v/>
      </c>
      <c r="D43" s="118" t="str">
        <f>IF($H$4="EFFACER","",IFERROR(INDEX(DA_SAP!$D:$D,(_xlfn.AGGREGATE(15,6,(ROW(DA_SAP!$F$3:$F$423)-2)/(DA_SAP!$F$3:$F$423=$A$2)*($A$2&lt;&gt;""),ROW()-4)+2)),""))</f>
        <v/>
      </c>
      <c r="E43" s="119" t="str">
        <f t="shared" si="1"/>
        <v/>
      </c>
    </row>
    <row r="44" spans="1:5" x14ac:dyDescent="0.25">
      <c r="A44" s="117" t="str">
        <f>IFERROR(INDEX(DA_SAP!$A:$A,(_xlfn.AGGREGATE(15,6,(ROW(DA_SAP!$F$3:$F$423)-2)/(DA_SAP!$F$3:$F$423=$A$2)*($A$2&lt;&gt;""),ROW()-4)+2)),"")</f>
        <v/>
      </c>
      <c r="B44" s="118" t="str">
        <f>IFERROR(INDEX(DA_SAP!$B:$B,(_xlfn.AGGREGATE(15,6,(ROW(DA_SAP!$F$3:$F$423)-2)/(DA_SAP!$F$3:$F$423=$A$2)*($A$2&lt;&gt;""),ROW()-4)+2)),"")</f>
        <v/>
      </c>
      <c r="C44" s="118" t="str">
        <f>IFERROR(INDEX(DA_SAP!$C:$C,(_xlfn.AGGREGATE(15,6,(ROW(DA_SAP!$F$3:$F$423)-2)/(DA_SAP!$F$3:$F$423=$A$2)*($A$2&lt;&gt;""),ROW()-4)+2)),"")</f>
        <v/>
      </c>
      <c r="D44" s="118" t="str">
        <f>IF($H$4="EFFACER","",IFERROR(INDEX(DA_SAP!$D:$D,(_xlfn.AGGREGATE(15,6,(ROW(DA_SAP!$F$3:$F$423)-2)/(DA_SAP!$F$3:$F$423=$A$2)*($A$2&lt;&gt;""),ROW()-4)+2)),""))</f>
        <v/>
      </c>
      <c r="E44" s="119" t="str">
        <f t="shared" si="1"/>
        <v/>
      </c>
    </row>
    <row r="45" spans="1:5" x14ac:dyDescent="0.25">
      <c r="A45" s="117" t="str">
        <f>IFERROR(INDEX(DA_SAP!$A:$A,(_xlfn.AGGREGATE(15,6,(ROW(DA_SAP!$F$3:$F$423)-2)/(DA_SAP!$F$3:$F$423=$A$2)*($A$2&lt;&gt;""),ROW()-4)+2)),"")</f>
        <v/>
      </c>
      <c r="B45" s="118" t="str">
        <f>IFERROR(INDEX(DA_SAP!$B:$B,(_xlfn.AGGREGATE(15,6,(ROW(DA_SAP!$F$3:$F$423)-2)/(DA_SAP!$F$3:$F$423=$A$2)*($A$2&lt;&gt;""),ROW()-4)+2)),"")</f>
        <v/>
      </c>
      <c r="C45" s="118" t="str">
        <f>IFERROR(INDEX(DA_SAP!$C:$C,(_xlfn.AGGREGATE(15,6,(ROW(DA_SAP!$F$3:$F$423)-2)/(DA_SAP!$F$3:$F$423=$A$2)*($A$2&lt;&gt;""),ROW()-4)+2)),"")</f>
        <v/>
      </c>
      <c r="D45" s="118" t="str">
        <f>IF($H$4="EFFACER","",IFERROR(INDEX(DA_SAP!$D:$D,(_xlfn.AGGREGATE(15,6,(ROW(DA_SAP!$F$3:$F$423)-2)/(DA_SAP!$F$3:$F$423=$A$2)*($A$2&lt;&gt;""),ROW()-4)+2)),""))</f>
        <v/>
      </c>
      <c r="E45" s="119" t="str">
        <f t="shared" si="1"/>
        <v/>
      </c>
    </row>
    <row r="46" spans="1:5" x14ac:dyDescent="0.25">
      <c r="A46" s="117" t="str">
        <f>IFERROR(INDEX(DA_SAP!$A:$A,(_xlfn.AGGREGATE(15,6,(ROW(DA_SAP!$F$3:$F$423)-2)/(DA_SAP!$F$3:$F$423=$A$2)*($A$2&lt;&gt;""),ROW()-4)+2)),"")</f>
        <v/>
      </c>
      <c r="B46" s="118" t="str">
        <f>IFERROR(INDEX(DA_SAP!$B:$B,(_xlfn.AGGREGATE(15,6,(ROW(DA_SAP!$F$3:$F$423)-2)/(DA_SAP!$F$3:$F$423=$A$2)*($A$2&lt;&gt;""),ROW()-4)+2)),"")</f>
        <v/>
      </c>
      <c r="C46" s="118" t="str">
        <f>IFERROR(INDEX(DA_SAP!$C:$C,(_xlfn.AGGREGATE(15,6,(ROW(DA_SAP!$F$3:$F$423)-2)/(DA_SAP!$F$3:$F$423=$A$2)*($A$2&lt;&gt;""),ROW()-4)+2)),"")</f>
        <v/>
      </c>
      <c r="D46" s="118" t="str">
        <f>IF($H$4="EFFACER","",IFERROR(INDEX(DA_SAP!$D:$D,(_xlfn.AGGREGATE(15,6,(ROW(DA_SAP!$F$3:$F$423)-2)/(DA_SAP!$F$3:$F$423=$A$2)*($A$2&lt;&gt;""),ROW()-4)+2)),""))</f>
        <v/>
      </c>
      <c r="E46" s="119" t="str">
        <f t="shared" si="1"/>
        <v/>
      </c>
    </row>
    <row r="47" spans="1:5" x14ac:dyDescent="0.25">
      <c r="A47" s="117" t="str">
        <f>IFERROR(INDEX(DA_SAP!$A:$A,(_xlfn.AGGREGATE(15,6,(ROW(DA_SAP!$F$3:$F$423)-2)/(DA_SAP!$F$3:$F$423=$A$2)*($A$2&lt;&gt;""),ROW()-4)+2)),"")</f>
        <v/>
      </c>
      <c r="B47" s="118" t="str">
        <f>IFERROR(INDEX(DA_SAP!$B:$B,(_xlfn.AGGREGATE(15,6,(ROW(DA_SAP!$F$3:$F$423)-2)/(DA_SAP!$F$3:$F$423=$A$2)*($A$2&lt;&gt;""),ROW()-4)+2)),"")</f>
        <v/>
      </c>
      <c r="C47" s="118" t="str">
        <f>IFERROR(INDEX(DA_SAP!$C:$C,(_xlfn.AGGREGATE(15,6,(ROW(DA_SAP!$F$3:$F$423)-2)/(DA_SAP!$F$3:$F$423=$A$2)*($A$2&lt;&gt;""),ROW()-4)+2)),"")</f>
        <v/>
      </c>
      <c r="D47" s="118" t="str">
        <f>IF($H$4="EFFACER","",IFERROR(INDEX(DA_SAP!$D:$D,(_xlfn.AGGREGATE(15,6,(ROW(DA_SAP!$F$3:$F$423)-2)/(DA_SAP!$F$3:$F$423=$A$2)*($A$2&lt;&gt;""),ROW()-4)+2)),""))</f>
        <v/>
      </c>
      <c r="E47" s="119" t="str">
        <f t="shared" si="1"/>
        <v/>
      </c>
    </row>
    <row r="48" spans="1:5" x14ac:dyDescent="0.25">
      <c r="A48" s="117" t="str">
        <f>IFERROR(INDEX(DA_SAP!$A:$A,(_xlfn.AGGREGATE(15,6,(ROW(DA_SAP!$F$3:$F$423)-2)/(DA_SAP!$F$3:$F$423=$A$2)*($A$2&lt;&gt;""),ROW()-4)+2)),"")</f>
        <v/>
      </c>
      <c r="B48" s="118" t="str">
        <f>IFERROR(INDEX(DA_SAP!$B:$B,(_xlfn.AGGREGATE(15,6,(ROW(DA_SAP!$F$3:$F$423)-2)/(DA_SAP!$F$3:$F$423=$A$2)*($A$2&lt;&gt;""),ROW()-4)+2)),"")</f>
        <v/>
      </c>
      <c r="C48" s="118" t="str">
        <f>IFERROR(INDEX(DA_SAP!$C:$C,(_xlfn.AGGREGATE(15,6,(ROW(DA_SAP!$F$3:$F$423)-2)/(DA_SAP!$F$3:$F$423=$A$2)*($A$2&lt;&gt;""),ROW()-4)+2)),"")</f>
        <v/>
      </c>
      <c r="D48" s="118" t="str">
        <f>IF($H$4="EFFACER","",IFERROR(INDEX(DA_SAP!$D:$D,(_xlfn.AGGREGATE(15,6,(ROW(DA_SAP!$F$3:$F$423)-2)/(DA_SAP!$F$3:$F$423=$A$2)*($A$2&lt;&gt;""),ROW()-4)+2)),""))</f>
        <v/>
      </c>
      <c r="E48" s="119" t="str">
        <f t="shared" si="1"/>
        <v/>
      </c>
    </row>
    <row r="49" spans="1:5" x14ac:dyDescent="0.25">
      <c r="A49" s="117" t="str">
        <f>IFERROR(INDEX(DA_SAP!$A:$A,(_xlfn.AGGREGATE(15,6,(ROW(DA_SAP!$F$3:$F$423)-2)/(DA_SAP!$F$3:$F$423=$A$2)*($A$2&lt;&gt;""),ROW()-4)+2)),"")</f>
        <v/>
      </c>
      <c r="B49" s="118" t="str">
        <f>IFERROR(INDEX(DA_SAP!$B:$B,(_xlfn.AGGREGATE(15,6,(ROW(DA_SAP!$F$3:$F$423)-2)/(DA_SAP!$F$3:$F$423=$A$2)*($A$2&lt;&gt;""),ROW()-4)+2)),"")</f>
        <v/>
      </c>
      <c r="C49" s="118" t="str">
        <f>IFERROR(INDEX(DA_SAP!$C:$C,(_xlfn.AGGREGATE(15,6,(ROW(DA_SAP!$F$3:$F$423)-2)/(DA_SAP!$F$3:$F$423=$A$2)*($A$2&lt;&gt;""),ROW()-4)+2)),"")</f>
        <v/>
      </c>
      <c r="D49" s="118" t="str">
        <f>IF($H$4="EFFACER","",IFERROR(INDEX(DA_SAP!$D:$D,(_xlfn.AGGREGATE(15,6,(ROW(DA_SAP!$F$3:$F$423)-2)/(DA_SAP!$F$3:$F$423=$A$2)*($A$2&lt;&gt;""),ROW()-4)+2)),""))</f>
        <v/>
      </c>
      <c r="E49" s="119" t="str">
        <f t="shared" si="1"/>
        <v/>
      </c>
    </row>
    <row r="50" spans="1:5" x14ac:dyDescent="0.25">
      <c r="A50" s="117" t="str">
        <f>IFERROR(INDEX(DA_SAP!$A:$A,(_xlfn.AGGREGATE(15,6,(ROW(DA_SAP!$F$3:$F$423)-2)/(DA_SAP!$F$3:$F$423=$A$2)*($A$2&lt;&gt;""),ROW()-4)+2)),"")</f>
        <v/>
      </c>
      <c r="B50" s="118" t="str">
        <f>IFERROR(INDEX(DA_SAP!$B:$B,(_xlfn.AGGREGATE(15,6,(ROW(DA_SAP!$F$3:$F$423)-2)/(DA_SAP!$F$3:$F$423=$A$2)*($A$2&lt;&gt;""),ROW()-4)+2)),"")</f>
        <v/>
      </c>
      <c r="C50" s="118" t="str">
        <f>IFERROR(INDEX(DA_SAP!$C:$C,(_xlfn.AGGREGATE(15,6,(ROW(DA_SAP!$F$3:$F$423)-2)/(DA_SAP!$F$3:$F$423=$A$2)*($A$2&lt;&gt;""),ROW()-4)+2)),"")</f>
        <v/>
      </c>
      <c r="D50" s="118" t="str">
        <f>IF($H$4="EFFACER","",IFERROR(INDEX(DA_SAP!$D:$D,(_xlfn.AGGREGATE(15,6,(ROW(DA_SAP!$F$3:$F$423)-2)/(DA_SAP!$F$3:$F$423=$A$2)*($A$2&lt;&gt;""),ROW()-4)+2)),""))</f>
        <v/>
      </c>
      <c r="E50" s="119" t="str">
        <f t="shared" si="1"/>
        <v/>
      </c>
    </row>
    <row r="51" spans="1:5" x14ac:dyDescent="0.25">
      <c r="A51" s="117" t="str">
        <f>IFERROR(INDEX(DA_SAP!$A:$A,(_xlfn.AGGREGATE(15,6,(ROW(DA_SAP!$F$3:$F$423)-2)/(DA_SAP!$F$3:$F$423=$A$2)*($A$2&lt;&gt;""),ROW()-4)+2)),"")</f>
        <v/>
      </c>
      <c r="B51" s="118" t="str">
        <f>IFERROR(INDEX(DA_SAP!$B:$B,(_xlfn.AGGREGATE(15,6,(ROW(DA_SAP!$F$3:$F$423)-2)/(DA_SAP!$F$3:$F$423=$A$2)*($A$2&lt;&gt;""),ROW()-4)+2)),"")</f>
        <v/>
      </c>
      <c r="C51" s="118" t="str">
        <f>IFERROR(INDEX(DA_SAP!$C:$C,(_xlfn.AGGREGATE(15,6,(ROW(DA_SAP!$F$3:$F$423)-2)/(DA_SAP!$F$3:$F$423=$A$2)*($A$2&lt;&gt;""),ROW()-4)+2)),"")</f>
        <v/>
      </c>
      <c r="D51" s="118" t="str">
        <f>IF($H$4="EFFACER","",IFERROR(INDEX(DA_SAP!$D:$D,(_xlfn.AGGREGATE(15,6,(ROW(DA_SAP!$F$3:$F$423)-2)/(DA_SAP!$F$3:$F$423=$A$2)*($A$2&lt;&gt;""),ROW()-4)+2)),""))</f>
        <v/>
      </c>
      <c r="E51" s="119" t="str">
        <f t="shared" si="1"/>
        <v/>
      </c>
    </row>
    <row r="52" spans="1:5" x14ac:dyDescent="0.25">
      <c r="A52" s="117" t="str">
        <f>IFERROR(INDEX(DA_SAP!$A:$A,(_xlfn.AGGREGATE(15,6,(ROW(DA_SAP!$F$3:$F$423)-2)/(DA_SAP!$F$3:$F$423=$A$2)*($A$2&lt;&gt;""),ROW()-4)+2)),"")</f>
        <v/>
      </c>
      <c r="B52" s="118" t="str">
        <f>IFERROR(INDEX(DA_SAP!$B:$B,(_xlfn.AGGREGATE(15,6,(ROW(DA_SAP!$F$3:$F$423)-2)/(DA_SAP!$F$3:$F$423=$A$2)*($A$2&lt;&gt;""),ROW()-4)+2)),"")</f>
        <v/>
      </c>
      <c r="C52" s="118" t="str">
        <f>IFERROR(INDEX(DA_SAP!$C:$C,(_xlfn.AGGREGATE(15,6,(ROW(DA_SAP!$F$3:$F$423)-2)/(DA_SAP!$F$3:$F$423=$A$2)*($A$2&lt;&gt;""),ROW()-4)+2)),"")</f>
        <v/>
      </c>
      <c r="D52" s="118" t="str">
        <f>IF($H$4="EFFACER","",IFERROR(INDEX(DA_SAP!$D:$D,(_xlfn.AGGREGATE(15,6,(ROW(DA_SAP!$F$3:$F$423)-2)/(DA_SAP!$F$3:$F$423=$A$2)*($A$2&lt;&gt;""),ROW()-4)+2)),""))</f>
        <v/>
      </c>
      <c r="E52" s="119" t="str">
        <f t="shared" si="1"/>
        <v/>
      </c>
    </row>
    <row r="53" spans="1:5" x14ac:dyDescent="0.25">
      <c r="A53" s="117" t="str">
        <f>IFERROR(INDEX(DA_SAP!$A:$A,(_xlfn.AGGREGATE(15,6,(ROW(DA_SAP!$F$3:$F$423)-2)/(DA_SAP!$F$3:$F$423=$A$2)*($A$2&lt;&gt;""),ROW()-4)+2)),"")</f>
        <v/>
      </c>
      <c r="B53" s="118" t="str">
        <f>IFERROR(INDEX(DA_SAP!$B:$B,(_xlfn.AGGREGATE(15,6,(ROW(DA_SAP!$F$3:$F$423)-2)/(DA_SAP!$F$3:$F$423=$A$2)*($A$2&lt;&gt;""),ROW()-4)+2)),"")</f>
        <v/>
      </c>
      <c r="C53" s="118" t="str">
        <f>IFERROR(INDEX(DA_SAP!$C:$C,(_xlfn.AGGREGATE(15,6,(ROW(DA_SAP!$F$3:$F$423)-2)/(DA_SAP!$F$3:$F$423=$A$2)*($A$2&lt;&gt;""),ROW()-4)+2)),"")</f>
        <v/>
      </c>
      <c r="D53" s="118" t="str">
        <f>IF($H$4="EFFACER","",IFERROR(INDEX(DA_SAP!$D:$D,(_xlfn.AGGREGATE(15,6,(ROW(DA_SAP!$F$3:$F$423)-2)/(DA_SAP!$F$3:$F$423=$A$2)*($A$2&lt;&gt;""),ROW()-4)+2)),""))</f>
        <v/>
      </c>
      <c r="E53" s="119" t="str">
        <f t="shared" si="1"/>
        <v/>
      </c>
    </row>
    <row r="54" spans="1:5" x14ac:dyDescent="0.25">
      <c r="A54" s="117" t="str">
        <f>IFERROR(INDEX(DA_SAP!$A:$A,(_xlfn.AGGREGATE(15,6,(ROW(DA_SAP!$F$3:$F$423)-2)/(DA_SAP!$F$3:$F$423=$A$2)*($A$2&lt;&gt;""),ROW()-4)+2)),"")</f>
        <v/>
      </c>
      <c r="B54" s="118" t="str">
        <f>IFERROR(INDEX(DA_SAP!$B:$B,(_xlfn.AGGREGATE(15,6,(ROW(DA_SAP!$F$3:$F$423)-2)/(DA_SAP!$F$3:$F$423=$A$2)*($A$2&lt;&gt;""),ROW()-4)+2)),"")</f>
        <v/>
      </c>
      <c r="C54" s="118" t="str">
        <f>IFERROR(INDEX(DA_SAP!$C:$C,(_xlfn.AGGREGATE(15,6,(ROW(DA_SAP!$F$3:$F$423)-2)/(DA_SAP!$F$3:$F$423=$A$2)*($A$2&lt;&gt;""),ROW()-4)+2)),"")</f>
        <v/>
      </c>
      <c r="D54" s="118" t="str">
        <f>IF($H$4="EFFACER","",IFERROR(INDEX(DA_SAP!$D:$D,(_xlfn.AGGREGATE(15,6,(ROW(DA_SAP!$F$3:$F$423)-2)/(DA_SAP!$F$3:$F$423=$A$2)*($A$2&lt;&gt;""),ROW()-4)+2)),""))</f>
        <v/>
      </c>
      <c r="E54" s="119" t="str">
        <f t="shared" si="1"/>
        <v/>
      </c>
    </row>
    <row r="55" spans="1:5" x14ac:dyDescent="0.25">
      <c r="A55" s="117" t="str">
        <f>IFERROR(INDEX(DA_SAP!$A:$A,(_xlfn.AGGREGATE(15,6,(ROW(DA_SAP!$F$3:$F$423)-2)/(DA_SAP!$F$3:$F$423=$A$2)*($A$2&lt;&gt;""),ROW()-4)+2)),"")</f>
        <v/>
      </c>
      <c r="B55" s="118" t="str">
        <f>IFERROR(INDEX(DA_SAP!$B:$B,(_xlfn.AGGREGATE(15,6,(ROW(DA_SAP!$F$3:$F$423)-2)/(DA_SAP!$F$3:$F$423=$A$2)*($A$2&lt;&gt;""),ROW()-4)+2)),"")</f>
        <v/>
      </c>
      <c r="C55" s="118" t="str">
        <f>IFERROR(INDEX(DA_SAP!$C:$C,(_xlfn.AGGREGATE(15,6,(ROW(DA_SAP!$F$3:$F$423)-2)/(DA_SAP!$F$3:$F$423=$A$2)*($A$2&lt;&gt;""),ROW()-4)+2)),"")</f>
        <v/>
      </c>
      <c r="D55" s="118" t="str">
        <f>IF($H$4="EFFACER","",IFERROR(INDEX(DA_SAP!$D:$D,(_xlfn.AGGREGATE(15,6,(ROW(DA_SAP!$F$3:$F$423)-2)/(DA_SAP!$F$3:$F$423=$A$2)*($A$2&lt;&gt;""),ROW()-4)+2)),""))</f>
        <v/>
      </c>
      <c r="E55" s="119" t="str">
        <f t="shared" si="1"/>
        <v/>
      </c>
    </row>
    <row r="56" spans="1:5" x14ac:dyDescent="0.25">
      <c r="A56" s="117" t="str">
        <f>IFERROR(INDEX(DA_SAP!$A:$A,(_xlfn.AGGREGATE(15,6,(ROW(DA_SAP!$F$3:$F$423)-2)/(DA_SAP!$F$3:$F$423=$A$2)*($A$2&lt;&gt;""),ROW()-4)+2)),"")</f>
        <v/>
      </c>
      <c r="B56" s="118" t="str">
        <f>IFERROR(INDEX(DA_SAP!$B:$B,(_xlfn.AGGREGATE(15,6,(ROW(DA_SAP!$F$3:$F$423)-2)/(DA_SAP!$F$3:$F$423=$A$2)*($A$2&lt;&gt;""),ROW()-4)+2)),"")</f>
        <v/>
      </c>
      <c r="C56" s="118" t="str">
        <f>IFERROR(INDEX(DA_SAP!$C:$C,(_xlfn.AGGREGATE(15,6,(ROW(DA_SAP!$F$3:$F$423)-2)/(DA_SAP!$F$3:$F$423=$A$2)*($A$2&lt;&gt;""),ROW()-4)+2)),"")</f>
        <v/>
      </c>
      <c r="D56" s="118" t="str">
        <f>IF($H$4="EFFACER","",IFERROR(INDEX(DA_SAP!$D:$D,(_xlfn.AGGREGATE(15,6,(ROW(DA_SAP!$F$3:$F$423)-2)/(DA_SAP!$F$3:$F$423=$A$2)*($A$2&lt;&gt;""),ROW()-4)+2)),""))</f>
        <v/>
      </c>
      <c r="E56" s="119" t="str">
        <f t="shared" si="1"/>
        <v/>
      </c>
    </row>
    <row r="57" spans="1:5" x14ac:dyDescent="0.25">
      <c r="A57" s="117" t="str">
        <f>IFERROR(INDEX(DA_SAP!$A:$A,(_xlfn.AGGREGATE(15,6,(ROW(DA_SAP!$F$3:$F$423)-2)/(DA_SAP!$F$3:$F$423=$A$2)*($A$2&lt;&gt;""),ROW()-4)+2)),"")</f>
        <v/>
      </c>
      <c r="B57" s="118" t="str">
        <f>IFERROR(INDEX(DA_SAP!$B:$B,(_xlfn.AGGREGATE(15,6,(ROW(DA_SAP!$F$3:$F$423)-2)/(DA_SAP!$F$3:$F$423=$A$2)*($A$2&lt;&gt;""),ROW()-4)+2)),"")</f>
        <v/>
      </c>
      <c r="C57" s="118" t="str">
        <f>IFERROR(INDEX(DA_SAP!$C:$C,(_xlfn.AGGREGATE(15,6,(ROW(DA_SAP!$F$3:$F$423)-2)/(DA_SAP!$F$3:$F$423=$A$2)*($A$2&lt;&gt;""),ROW()-4)+2)),"")</f>
        <v/>
      </c>
      <c r="D57" s="118" t="str">
        <f>IF($H$4="EFFACER","",IFERROR(INDEX(DA_SAP!$D:$D,(_xlfn.AGGREGATE(15,6,(ROW(DA_SAP!$F$3:$F$423)-2)/(DA_SAP!$F$3:$F$423=$A$2)*($A$2&lt;&gt;""),ROW()-4)+2)),""))</f>
        <v/>
      </c>
      <c r="E57" s="119" t="str">
        <f t="shared" si="1"/>
        <v/>
      </c>
    </row>
    <row r="58" spans="1:5" x14ac:dyDescent="0.25">
      <c r="A58" s="117" t="str">
        <f>IFERROR(INDEX(DA_SAP!$A:$A,(_xlfn.AGGREGATE(15,6,(ROW(DA_SAP!$F$3:$F$423)-2)/(DA_SAP!$F$3:$F$423=$A$2)*($A$2&lt;&gt;""),ROW()-4)+2)),"")</f>
        <v/>
      </c>
      <c r="B58" s="118" t="str">
        <f>IFERROR(INDEX(DA_SAP!$B:$B,(_xlfn.AGGREGATE(15,6,(ROW(DA_SAP!$F$3:$F$423)-2)/(DA_SAP!$F$3:$F$423=$A$2)*($A$2&lt;&gt;""),ROW()-4)+2)),"")</f>
        <v/>
      </c>
      <c r="C58" s="118" t="str">
        <f>IFERROR(INDEX(DA_SAP!$C:$C,(_xlfn.AGGREGATE(15,6,(ROW(DA_SAP!$F$3:$F$423)-2)/(DA_SAP!$F$3:$F$423=$A$2)*($A$2&lt;&gt;""),ROW()-4)+2)),"")</f>
        <v/>
      </c>
      <c r="D58" s="118" t="str">
        <f>IF($H$4="EFFACER","",IFERROR(INDEX(DA_SAP!$D:$D,(_xlfn.AGGREGATE(15,6,(ROW(DA_SAP!$F$3:$F$423)-2)/(DA_SAP!$F$3:$F$423=$A$2)*($A$2&lt;&gt;""),ROW()-4)+2)),""))</f>
        <v/>
      </c>
      <c r="E58" s="119" t="str">
        <f t="shared" si="1"/>
        <v/>
      </c>
    </row>
    <row r="59" spans="1:5" x14ac:dyDescent="0.25">
      <c r="A59" s="117" t="str">
        <f>IFERROR(INDEX(DA_SAP!$A:$A,(_xlfn.AGGREGATE(15,6,(ROW(DA_SAP!$F$3:$F$423)-2)/(DA_SAP!$F$3:$F$423=$A$2)*($A$2&lt;&gt;""),ROW()-4)+2)),"")</f>
        <v/>
      </c>
      <c r="B59" s="118" t="str">
        <f>IFERROR(INDEX(DA_SAP!$B:$B,(_xlfn.AGGREGATE(15,6,(ROW(DA_SAP!$F$3:$F$423)-2)/(DA_SAP!$F$3:$F$423=$A$2)*($A$2&lt;&gt;""),ROW()-4)+2)),"")</f>
        <v/>
      </c>
      <c r="C59" s="118" t="str">
        <f>IFERROR(INDEX(DA_SAP!$C:$C,(_xlfn.AGGREGATE(15,6,(ROW(DA_SAP!$F$3:$F$423)-2)/(DA_SAP!$F$3:$F$423=$A$2)*($A$2&lt;&gt;""),ROW()-4)+2)),"")</f>
        <v/>
      </c>
      <c r="D59" s="118" t="str">
        <f>IF($H$4="EFFACER","",IFERROR(INDEX(DA_SAP!$D:$D,(_xlfn.AGGREGATE(15,6,(ROW(DA_SAP!$F$3:$F$423)-2)/(DA_SAP!$F$3:$F$423=$A$2)*($A$2&lt;&gt;""),ROW()-4)+2)),""))</f>
        <v/>
      </c>
      <c r="E59" s="119" t="str">
        <f t="shared" si="1"/>
        <v/>
      </c>
    </row>
    <row r="60" spans="1:5" x14ac:dyDescent="0.25">
      <c r="A60" s="117" t="str">
        <f>IFERROR(INDEX(DA_SAP!$A:$A,(_xlfn.AGGREGATE(15,6,(ROW(DA_SAP!$F$3:$F$423)-2)/(DA_SAP!$F$3:$F$423=$A$2)*($A$2&lt;&gt;""),ROW()-4)+2)),"")</f>
        <v/>
      </c>
      <c r="B60" s="118" t="str">
        <f>IFERROR(INDEX(DA_SAP!$B:$B,(_xlfn.AGGREGATE(15,6,(ROW(DA_SAP!$F$3:$F$423)-2)/(DA_SAP!$F$3:$F$423=$A$2)*($A$2&lt;&gt;""),ROW()-4)+2)),"")</f>
        <v/>
      </c>
      <c r="C60" s="118" t="str">
        <f>IFERROR(INDEX(DA_SAP!$C:$C,(_xlfn.AGGREGATE(15,6,(ROW(DA_SAP!$F$3:$F$423)-2)/(DA_SAP!$F$3:$F$423=$A$2)*($A$2&lt;&gt;""),ROW()-4)+2)),"")</f>
        <v/>
      </c>
      <c r="D60" s="118" t="str">
        <f>IF($H$4="EFFACER","",IFERROR(INDEX(DA_SAP!$D:$D,(_xlfn.AGGREGATE(15,6,(ROW(DA_SAP!$F$3:$F$423)-2)/(DA_SAP!$F$3:$F$423=$A$2)*($A$2&lt;&gt;""),ROW()-4)+2)),""))</f>
        <v/>
      </c>
      <c r="E60" s="119" t="str">
        <f t="shared" si="1"/>
        <v/>
      </c>
    </row>
    <row r="61" spans="1:5" x14ac:dyDescent="0.25">
      <c r="A61" s="117" t="str">
        <f>IFERROR(INDEX(DA_SAP!$A:$A,(_xlfn.AGGREGATE(15,6,(ROW(DA_SAP!$F$3:$F$423)-2)/(DA_SAP!$F$3:$F$423=$A$2)*($A$2&lt;&gt;""),ROW()-4)+2)),"")</f>
        <v/>
      </c>
      <c r="B61" s="118" t="str">
        <f>IFERROR(INDEX(DA_SAP!$B:$B,(_xlfn.AGGREGATE(15,6,(ROW(DA_SAP!$F$3:$F$423)-2)/(DA_SAP!$F$3:$F$423=$A$2)*($A$2&lt;&gt;""),ROW()-4)+2)),"")</f>
        <v/>
      </c>
      <c r="C61" s="118" t="str">
        <f>IFERROR(INDEX(DA_SAP!$C:$C,(_xlfn.AGGREGATE(15,6,(ROW(DA_SAP!$F$3:$F$423)-2)/(DA_SAP!$F$3:$F$423=$A$2)*($A$2&lt;&gt;""),ROW()-4)+2)),"")</f>
        <v/>
      </c>
      <c r="D61" s="118" t="str">
        <f>IF($H$4="EFFACER","",IFERROR(INDEX(DA_SAP!$D:$D,(_xlfn.AGGREGATE(15,6,(ROW(DA_SAP!$F$3:$F$423)-2)/(DA_SAP!$F$3:$F$423=$A$2)*($A$2&lt;&gt;""),ROW()-4)+2)),""))</f>
        <v/>
      </c>
      <c r="E61" s="119" t="str">
        <f t="shared" si="1"/>
        <v/>
      </c>
    </row>
    <row r="62" spans="1:5" x14ac:dyDescent="0.25">
      <c r="A62" s="117" t="str">
        <f>IFERROR(INDEX(DA_SAP!$A:$A,(_xlfn.AGGREGATE(15,6,(ROW(DA_SAP!$F$3:$F$423)-2)/(DA_SAP!$F$3:$F$423=$A$2)*($A$2&lt;&gt;""),ROW()-4)+2)),"")</f>
        <v/>
      </c>
      <c r="B62" s="118" t="str">
        <f>IFERROR(INDEX(DA_SAP!$B:$B,(_xlfn.AGGREGATE(15,6,(ROW(DA_SAP!$F$3:$F$423)-2)/(DA_SAP!$F$3:$F$423=$A$2)*($A$2&lt;&gt;""),ROW()-4)+2)),"")</f>
        <v/>
      </c>
      <c r="C62" s="118" t="str">
        <f>IFERROR(INDEX(DA_SAP!$C:$C,(_xlfn.AGGREGATE(15,6,(ROW(DA_SAP!$F$3:$F$423)-2)/(DA_SAP!$F$3:$F$423=$A$2)*($A$2&lt;&gt;""),ROW()-4)+2)),"")</f>
        <v/>
      </c>
      <c r="D62" s="118" t="str">
        <f>IF($H$4="EFFACER","",IFERROR(INDEX(DA_SAP!$D:$D,(_xlfn.AGGREGATE(15,6,(ROW(DA_SAP!$F$3:$F$423)-2)/(DA_SAP!$F$3:$F$423=$A$2)*($A$2&lt;&gt;""),ROW()-4)+2)),""))</f>
        <v/>
      </c>
      <c r="E62" s="119" t="str">
        <f t="shared" si="1"/>
        <v/>
      </c>
    </row>
    <row r="63" spans="1:5" x14ac:dyDescent="0.25">
      <c r="A63" s="117" t="str">
        <f>IFERROR(INDEX(DA_SAP!$A:$A,(_xlfn.AGGREGATE(15,6,(ROW(DA_SAP!$F$3:$F$423)-2)/(DA_SAP!$F$3:$F$423=$A$2)*($A$2&lt;&gt;""),ROW()-4)+2)),"")</f>
        <v/>
      </c>
      <c r="B63" s="118" t="str">
        <f>IFERROR(INDEX(DA_SAP!$B:$B,(_xlfn.AGGREGATE(15,6,(ROW(DA_SAP!$F$3:$F$423)-2)/(DA_SAP!$F$3:$F$423=$A$2)*($A$2&lt;&gt;""),ROW()-4)+2)),"")</f>
        <v/>
      </c>
      <c r="C63" s="118" t="str">
        <f>IFERROR(INDEX(DA_SAP!$C:$C,(_xlfn.AGGREGATE(15,6,(ROW(DA_SAP!$F$3:$F$423)-2)/(DA_SAP!$F$3:$F$423=$A$2)*($A$2&lt;&gt;""),ROW()-4)+2)),"")</f>
        <v/>
      </c>
      <c r="D63" s="118" t="str">
        <f>IF($H$4="EFFACER","",IFERROR(INDEX(DA_SAP!$D:$D,(_xlfn.AGGREGATE(15,6,(ROW(DA_SAP!$F$3:$F$423)-2)/(DA_SAP!$F$3:$F$423=$A$2)*($A$2&lt;&gt;""),ROW()-4)+2)),""))</f>
        <v/>
      </c>
      <c r="E63" s="119" t="str">
        <f t="shared" si="1"/>
        <v/>
      </c>
    </row>
    <row r="64" spans="1:5" ht="15.75" customHeight="1" x14ac:dyDescent="0.25"/>
    <row r="65" spans="1:5" ht="15.75" customHeight="1" x14ac:dyDescent="0.3">
      <c r="A65" s="111" t="str">
        <f>IFERROR(INDEX(Catalogue!$K:$K,_xlfn.AGGREGATE(15,6,(ROW(Catalogue!$L$4:$L$454))/(Catalogue!$L$4:$L$454=1),2)),"")</f>
        <v>PICON / PACK</v>
      </c>
      <c r="B65" s="112"/>
      <c r="C65" s="112"/>
      <c r="D65" s="112"/>
      <c r="E65" s="113"/>
    </row>
    <row r="66" spans="1:5" x14ac:dyDescent="0.25">
      <c r="A66" s="114" t="s">
        <v>1026</v>
      </c>
      <c r="B66" s="115" t="s">
        <v>1027</v>
      </c>
      <c r="C66" s="115" t="s">
        <v>1152</v>
      </c>
      <c r="D66" s="115" t="s">
        <v>1029</v>
      </c>
      <c r="E66" s="116" t="s">
        <v>1153</v>
      </c>
    </row>
    <row r="67" spans="1:5" x14ac:dyDescent="0.25">
      <c r="A67" s="117" t="str">
        <f>IFERROR(INDEX(DA_SAP!$A:$A,(_xlfn.AGGREGATE(15,6,(ROW(DA_SAP!$F$3:$F$423)-2)/(DA_SAP!$F$3:$F$423=$A$65)*($A$65&lt;&gt;""),ROW()-67)+2)),"")</f>
        <v/>
      </c>
      <c r="B67" s="118" t="str">
        <f>IFERROR(INDEX(DA_SAP!$B:$B,(_xlfn.AGGREGATE(15,6,(ROW(DA_SAP!$F$3:$F$423)-2)/(DA_SAP!$F$3:$F$423=$A$65)*($A$65&lt;&gt;""),ROW()-67)+2)),"")</f>
        <v/>
      </c>
      <c r="C67" s="118" t="str">
        <f>IFERROR(INDEX(DA_SAP!$C:$C,(_xlfn.AGGREGATE(15,6,(ROW(DA_SAP!$F$3:$F$423)-2)/(DA_SAP!$F$3:$F$423=$A$65)*($A$65&lt;&gt;""),ROW()-67)+2)),"")</f>
        <v/>
      </c>
      <c r="D67" s="118" t="str">
        <f>IF($H$4="EFFACER","",IFERROR(INDEX(DA_SAP!$D:$D,(_xlfn.AGGREGATE(15,6,(ROW(DA_SAP!$F$3:$F$423)-2)/(DA_SAP!$F$3:$F$423=$A$65)*($A$65&lt;&gt;""),ROW()-67)+2)),""))</f>
        <v/>
      </c>
      <c r="E67" s="119" t="str">
        <f t="shared" ref="E67:E98" si="2">IF($A68="","",$H$1)</f>
        <v/>
      </c>
    </row>
    <row r="68" spans="1:5" x14ac:dyDescent="0.25">
      <c r="A68" s="117" t="str">
        <f>IFERROR(INDEX(DA_SAP!$A:$A,(_xlfn.AGGREGATE(15,6,(ROW(DA_SAP!$F$3:$F$423)-2)/(DA_SAP!$F$3:$F$423=$A$65)*($A$65&lt;&gt;""),ROW()-67)+2)),"")</f>
        <v/>
      </c>
      <c r="B68" s="118" t="str">
        <f>IFERROR(INDEX(DA_SAP!$B:$B,(_xlfn.AGGREGATE(15,6,(ROW(DA_SAP!$F$3:$F$423)-2)/(DA_SAP!$F$3:$F$423=$A$65)*($A$65&lt;&gt;""),ROW()-67)+2)),"")</f>
        <v/>
      </c>
      <c r="C68" s="118" t="str">
        <f>IFERROR(INDEX(DA_SAP!$C:$C,(_xlfn.AGGREGATE(15,6,(ROW(DA_SAP!$F$3:$F$423)-2)/(DA_SAP!$F$3:$F$423=$A$65)*($A$65&lt;&gt;""),ROW()-67)+2)),"")</f>
        <v/>
      </c>
      <c r="D68" s="118" t="str">
        <f>IF($H$4="EFFACER","",IFERROR(INDEX(DA_SAP!$D:$D,(_xlfn.AGGREGATE(15,6,(ROW(DA_SAP!$F$3:$F$423)-2)/(DA_SAP!$F$3:$F$423=$A$65)*($A$65&lt;&gt;""),ROW()-67)+2)),""))</f>
        <v/>
      </c>
      <c r="E68" s="119" t="str">
        <f t="shared" si="2"/>
        <v/>
      </c>
    </row>
    <row r="69" spans="1:5" x14ac:dyDescent="0.25">
      <c r="A69" s="117" t="str">
        <f>IFERROR(INDEX(DA_SAP!$A:$A,(_xlfn.AGGREGATE(15,6,(ROW(DA_SAP!$F$3:$F$423)-2)/(DA_SAP!$F$3:$F$423=$A$65)*($A$65&lt;&gt;""),ROW()-67)+2)),"")</f>
        <v/>
      </c>
      <c r="B69" s="118" t="str">
        <f>IFERROR(INDEX(DA_SAP!$B:$B,(_xlfn.AGGREGATE(15,6,(ROW(DA_SAP!$F$3:$F$423)-2)/(DA_SAP!$F$3:$F$423=$A$65)*($A$65&lt;&gt;""),ROW()-67)+2)),"")</f>
        <v/>
      </c>
      <c r="C69" s="118" t="str">
        <f>IFERROR(INDEX(DA_SAP!$C:$C,(_xlfn.AGGREGATE(15,6,(ROW(DA_SAP!$F$3:$F$423)-2)/(DA_SAP!$F$3:$F$423=$A$65)*($A$65&lt;&gt;""),ROW()-67)+2)),"")</f>
        <v/>
      </c>
      <c r="D69" s="118" t="str">
        <f>IF($H$4="EFFACER","",IFERROR(INDEX(DA_SAP!$D:$D,(_xlfn.AGGREGATE(15,6,(ROW(DA_SAP!$F$3:$F$423)-2)/(DA_SAP!$F$3:$F$423=$A$65)*($A$65&lt;&gt;""),ROW()-67)+2)),""))</f>
        <v/>
      </c>
      <c r="E69" s="119" t="str">
        <f t="shared" si="2"/>
        <v/>
      </c>
    </row>
    <row r="70" spans="1:5" x14ac:dyDescent="0.25">
      <c r="A70" s="117" t="str">
        <f>IFERROR(INDEX(DA_SAP!$A:$A,(_xlfn.AGGREGATE(15,6,(ROW(DA_SAP!$F$3:$F$423)-2)/(DA_SAP!$F$3:$F$423=$A$65)*($A$65&lt;&gt;""),ROW()-67)+2)),"")</f>
        <v/>
      </c>
      <c r="B70" s="118" t="str">
        <f>IFERROR(INDEX(DA_SAP!$B:$B,(_xlfn.AGGREGATE(15,6,(ROW(DA_SAP!$F$3:$F$423)-2)/(DA_SAP!$F$3:$F$423=$A$65)*($A$65&lt;&gt;""),ROW()-67)+2)),"")</f>
        <v/>
      </c>
      <c r="C70" s="118" t="str">
        <f>IFERROR(INDEX(DA_SAP!$C:$C,(_xlfn.AGGREGATE(15,6,(ROW(DA_SAP!$F$3:$F$423)-2)/(DA_SAP!$F$3:$F$423=$A$65)*($A$65&lt;&gt;""),ROW()-67)+2)),"")</f>
        <v/>
      </c>
      <c r="D70" s="118" t="str">
        <f>IF($H$4="EFFACER","",IFERROR(INDEX(DA_SAP!$D:$D,(_xlfn.AGGREGATE(15,6,(ROW(DA_SAP!$F$3:$F$423)-2)/(DA_SAP!$F$3:$F$423=$A$65)*($A$65&lt;&gt;""),ROW()-67)+2)),""))</f>
        <v/>
      </c>
      <c r="E70" s="119" t="str">
        <f t="shared" si="2"/>
        <v/>
      </c>
    </row>
    <row r="71" spans="1:5" x14ac:dyDescent="0.25">
      <c r="A71" s="117" t="str">
        <f>IFERROR(INDEX(DA_SAP!$A:$A,(_xlfn.AGGREGATE(15,6,(ROW(DA_SAP!$F$3:$F$423)-2)/(DA_SAP!$F$3:$F$423=$A$65)*($A$65&lt;&gt;""),ROW()-67)+2)),"")</f>
        <v/>
      </c>
      <c r="B71" s="118" t="str">
        <f>IFERROR(INDEX(DA_SAP!$B:$B,(_xlfn.AGGREGATE(15,6,(ROW(DA_SAP!$F$3:$F$423)-2)/(DA_SAP!$F$3:$F$423=$A$65)*($A$65&lt;&gt;""),ROW()-67)+2)),"")</f>
        <v/>
      </c>
      <c r="C71" s="118" t="str">
        <f>IFERROR(INDEX(DA_SAP!$C:$C,(_xlfn.AGGREGATE(15,6,(ROW(DA_SAP!$F$3:$F$423)-2)/(DA_SAP!$F$3:$F$423=$A$65)*($A$65&lt;&gt;""),ROW()-67)+2)),"")</f>
        <v/>
      </c>
      <c r="D71" s="118" t="str">
        <f>IF($H$4="EFFACER","",IFERROR(INDEX(DA_SAP!$D:$D,(_xlfn.AGGREGATE(15,6,(ROW(DA_SAP!$F$3:$F$423)-2)/(DA_SAP!$F$3:$F$423=$A$65)*($A$65&lt;&gt;""),ROW()-67)+2)),""))</f>
        <v/>
      </c>
      <c r="E71" s="119" t="str">
        <f t="shared" si="2"/>
        <v/>
      </c>
    </row>
    <row r="72" spans="1:5" x14ac:dyDescent="0.25">
      <c r="A72" s="117" t="str">
        <f>IFERROR(INDEX(DA_SAP!$A:$A,(_xlfn.AGGREGATE(15,6,(ROW(DA_SAP!$F$3:$F$423)-2)/(DA_SAP!$F$3:$F$423=$A$65)*($A$65&lt;&gt;""),ROW()-67)+2)),"")</f>
        <v/>
      </c>
      <c r="B72" s="118" t="str">
        <f>IFERROR(INDEX(DA_SAP!$B:$B,(_xlfn.AGGREGATE(15,6,(ROW(DA_SAP!$F$3:$F$423)-2)/(DA_SAP!$F$3:$F$423=$A$65)*($A$65&lt;&gt;""),ROW()-67)+2)),"")</f>
        <v/>
      </c>
      <c r="C72" s="118" t="str">
        <f>IFERROR(INDEX(DA_SAP!$C:$C,(_xlfn.AGGREGATE(15,6,(ROW(DA_SAP!$F$3:$F$423)-2)/(DA_SAP!$F$3:$F$423=$A$65)*($A$65&lt;&gt;""),ROW()-67)+2)),"")</f>
        <v/>
      </c>
      <c r="D72" s="118" t="str">
        <f>IF($H$4="EFFACER","",IFERROR(INDEX(DA_SAP!$D:$D,(_xlfn.AGGREGATE(15,6,(ROW(DA_SAP!$F$3:$F$423)-2)/(DA_SAP!$F$3:$F$423=$A$65)*($A$65&lt;&gt;""),ROW()-67)+2)),""))</f>
        <v/>
      </c>
      <c r="E72" s="119" t="str">
        <f t="shared" si="2"/>
        <v/>
      </c>
    </row>
    <row r="73" spans="1:5" x14ac:dyDescent="0.25">
      <c r="A73" s="117" t="str">
        <f>IFERROR(INDEX(DA_SAP!$A:$A,(_xlfn.AGGREGATE(15,6,(ROW(DA_SAP!$F$3:$F$423)-2)/(DA_SAP!$F$3:$F$423=$A$65)*($A$65&lt;&gt;""),ROW()-67)+2)),"")</f>
        <v/>
      </c>
      <c r="B73" s="118" t="str">
        <f>IFERROR(INDEX(DA_SAP!$B:$B,(_xlfn.AGGREGATE(15,6,(ROW(DA_SAP!$F$3:$F$423)-2)/(DA_SAP!$F$3:$F$423=$A$65)*($A$65&lt;&gt;""),ROW()-67)+2)),"")</f>
        <v/>
      </c>
      <c r="C73" s="118" t="str">
        <f>IFERROR(INDEX(DA_SAP!$C:$C,(_xlfn.AGGREGATE(15,6,(ROW(DA_SAP!$F$3:$F$423)-2)/(DA_SAP!$F$3:$F$423=$A$65)*($A$65&lt;&gt;""),ROW()-67)+2)),"")</f>
        <v/>
      </c>
      <c r="D73" s="118" t="str">
        <f>IF($H$4="EFFACER","",IFERROR(INDEX(DA_SAP!$D:$D,(_xlfn.AGGREGATE(15,6,(ROW(DA_SAP!$F$3:$F$423)-2)/(DA_SAP!$F$3:$F$423=$A$65)*($A$65&lt;&gt;""),ROW()-67)+2)),""))</f>
        <v/>
      </c>
      <c r="E73" s="119" t="str">
        <f t="shared" si="2"/>
        <v/>
      </c>
    </row>
    <row r="74" spans="1:5" x14ac:dyDescent="0.25">
      <c r="A74" s="117" t="str">
        <f>IFERROR(INDEX(DA_SAP!$A:$A,(_xlfn.AGGREGATE(15,6,(ROW(DA_SAP!$F$3:$F$423)-2)/(DA_SAP!$F$3:$F$423=$A$65)*($A$65&lt;&gt;""),ROW()-67)+2)),"")</f>
        <v/>
      </c>
      <c r="B74" s="118" t="str">
        <f>IFERROR(INDEX(DA_SAP!$B:$B,(_xlfn.AGGREGATE(15,6,(ROW(DA_SAP!$F$3:$F$423)-2)/(DA_SAP!$F$3:$F$423=$A$65)*($A$65&lt;&gt;""),ROW()-67)+2)),"")</f>
        <v/>
      </c>
      <c r="C74" s="118" t="str">
        <f>IFERROR(INDEX(DA_SAP!$C:$C,(_xlfn.AGGREGATE(15,6,(ROW(DA_SAP!$F$3:$F$423)-2)/(DA_SAP!$F$3:$F$423=$A$65)*($A$65&lt;&gt;""),ROW()-67)+2)),"")</f>
        <v/>
      </c>
      <c r="D74" s="118" t="str">
        <f>IF($H$4="EFFACER","",IFERROR(INDEX(DA_SAP!$D:$D,(_xlfn.AGGREGATE(15,6,(ROW(DA_SAP!$F$3:$F$423)-2)/(DA_SAP!$F$3:$F$423=$A$65)*($A$65&lt;&gt;""),ROW()-67)+2)),""))</f>
        <v/>
      </c>
      <c r="E74" s="119" t="str">
        <f t="shared" si="2"/>
        <v/>
      </c>
    </row>
    <row r="75" spans="1:5" x14ac:dyDescent="0.25">
      <c r="A75" s="117" t="str">
        <f>IFERROR(INDEX(DA_SAP!$A:$A,(_xlfn.AGGREGATE(15,6,(ROW(DA_SAP!$F$3:$F$423)-2)/(DA_SAP!$F$3:$F$423=$A$65)*($A$65&lt;&gt;""),ROW()-67)+2)),"")</f>
        <v/>
      </c>
      <c r="B75" s="118" t="str">
        <f>IFERROR(INDEX(DA_SAP!$B:$B,(_xlfn.AGGREGATE(15,6,(ROW(DA_SAP!$F$3:$F$423)-2)/(DA_SAP!$F$3:$F$423=$A$65)*($A$65&lt;&gt;""),ROW()-67)+2)),"")</f>
        <v/>
      </c>
      <c r="C75" s="118" t="str">
        <f>IFERROR(INDEX(DA_SAP!$C:$C,(_xlfn.AGGREGATE(15,6,(ROW(DA_SAP!$F$3:$F$423)-2)/(DA_SAP!$F$3:$F$423=$A$65)*($A$65&lt;&gt;""),ROW()-67)+2)),"")</f>
        <v/>
      </c>
      <c r="D75" s="118" t="str">
        <f>IF($H$4="EFFACER","",IFERROR(INDEX(DA_SAP!$D:$D,(_xlfn.AGGREGATE(15,6,(ROW(DA_SAP!$F$3:$F$423)-2)/(DA_SAP!$F$3:$F$423=$A$65)*($A$65&lt;&gt;""),ROW()-67)+2)),""))</f>
        <v/>
      </c>
      <c r="E75" s="119" t="str">
        <f t="shared" si="2"/>
        <v/>
      </c>
    </row>
    <row r="76" spans="1:5" x14ac:dyDescent="0.25">
      <c r="A76" s="117" t="str">
        <f>IFERROR(INDEX(DA_SAP!$A:$A,(_xlfn.AGGREGATE(15,6,(ROW(DA_SAP!$F$3:$F$423)-2)/(DA_SAP!$F$3:$F$423=$A$65)*($A$65&lt;&gt;""),ROW()-67)+2)),"")</f>
        <v/>
      </c>
      <c r="B76" s="118" t="str">
        <f>IFERROR(INDEX(DA_SAP!$B:$B,(_xlfn.AGGREGATE(15,6,(ROW(DA_SAP!$F$3:$F$423)-2)/(DA_SAP!$F$3:$F$423=$A$65)*($A$65&lt;&gt;""),ROW()-67)+2)),"")</f>
        <v/>
      </c>
      <c r="C76" s="118" t="str">
        <f>IFERROR(INDEX(DA_SAP!$C:$C,(_xlfn.AGGREGATE(15,6,(ROW(DA_SAP!$F$3:$F$423)-2)/(DA_SAP!$F$3:$F$423=$A$65)*($A$65&lt;&gt;""),ROW()-67)+2)),"")</f>
        <v/>
      </c>
      <c r="D76" s="118" t="str">
        <f>IF($H$4="EFFACER","",IFERROR(INDEX(DA_SAP!$D:$D,(_xlfn.AGGREGATE(15,6,(ROW(DA_SAP!$F$3:$F$423)-2)/(DA_SAP!$F$3:$F$423=$A$65)*($A$65&lt;&gt;""),ROW()-67)+2)),""))</f>
        <v/>
      </c>
      <c r="E76" s="119" t="str">
        <f t="shared" si="2"/>
        <v/>
      </c>
    </row>
    <row r="77" spans="1:5" x14ac:dyDescent="0.25">
      <c r="A77" s="117" t="str">
        <f>IFERROR(INDEX(DA_SAP!$A:$A,(_xlfn.AGGREGATE(15,6,(ROW(DA_SAP!$F$3:$F$423)-2)/(DA_SAP!$F$3:$F$423=$A$65)*($A$65&lt;&gt;""),ROW()-67)+2)),"")</f>
        <v/>
      </c>
      <c r="B77" s="118" t="str">
        <f>IFERROR(INDEX(DA_SAP!$B:$B,(_xlfn.AGGREGATE(15,6,(ROW(DA_SAP!$F$3:$F$423)-2)/(DA_SAP!$F$3:$F$423=$A$65)*($A$65&lt;&gt;""),ROW()-67)+2)),"")</f>
        <v/>
      </c>
      <c r="C77" s="118" t="str">
        <f>IFERROR(INDEX(DA_SAP!$C:$C,(_xlfn.AGGREGATE(15,6,(ROW(DA_SAP!$F$3:$F$423)-2)/(DA_SAP!$F$3:$F$423=$A$65)*($A$65&lt;&gt;""),ROW()-67)+2)),"")</f>
        <v/>
      </c>
      <c r="D77" s="118" t="str">
        <f>IF($H$4="EFFACER","",IFERROR(INDEX(DA_SAP!$D:$D,(_xlfn.AGGREGATE(15,6,(ROW(DA_SAP!$F$3:$F$423)-2)/(DA_SAP!$F$3:$F$423=$A$65)*($A$65&lt;&gt;""),ROW()-67)+2)),""))</f>
        <v/>
      </c>
      <c r="E77" s="119" t="str">
        <f t="shared" si="2"/>
        <v/>
      </c>
    </row>
    <row r="78" spans="1:5" x14ac:dyDescent="0.25">
      <c r="A78" s="117" t="str">
        <f>IFERROR(INDEX(DA_SAP!$A:$A,(_xlfn.AGGREGATE(15,6,(ROW(DA_SAP!$F$3:$F$423)-2)/(DA_SAP!$F$3:$F$423=$A$65)*($A$65&lt;&gt;""),ROW()-67)+2)),"")</f>
        <v/>
      </c>
      <c r="B78" s="118" t="str">
        <f>IFERROR(INDEX(DA_SAP!$B:$B,(_xlfn.AGGREGATE(15,6,(ROW(DA_SAP!$F$3:$F$423)-2)/(DA_SAP!$F$3:$F$423=$A$65)*($A$65&lt;&gt;""),ROW()-67)+2)),"")</f>
        <v/>
      </c>
      <c r="C78" s="118" t="str">
        <f>IFERROR(INDEX(DA_SAP!$C:$C,(_xlfn.AGGREGATE(15,6,(ROW(DA_SAP!$F$3:$F$423)-2)/(DA_SAP!$F$3:$F$423=$A$65)*($A$65&lt;&gt;""),ROW()-67)+2)),"")</f>
        <v/>
      </c>
      <c r="D78" s="118" t="str">
        <f>IF($H$4="EFFACER","",IFERROR(INDEX(DA_SAP!$D:$D,(_xlfn.AGGREGATE(15,6,(ROW(DA_SAP!$F$3:$F$423)-2)/(DA_SAP!$F$3:$F$423=$A$65)*($A$65&lt;&gt;""),ROW()-67)+2)),""))</f>
        <v/>
      </c>
      <c r="E78" s="119" t="str">
        <f t="shared" si="2"/>
        <v/>
      </c>
    </row>
    <row r="79" spans="1:5" x14ac:dyDescent="0.25">
      <c r="A79" s="117" t="str">
        <f>IFERROR(INDEX(DA_SAP!$A:$A,(_xlfn.AGGREGATE(15,6,(ROW(DA_SAP!$F$3:$F$423)-2)/(DA_SAP!$F$3:$F$423=$A$65)*($A$65&lt;&gt;""),ROW()-67)+2)),"")</f>
        <v/>
      </c>
      <c r="B79" s="118" t="str">
        <f>IFERROR(INDEX(DA_SAP!$B:$B,(_xlfn.AGGREGATE(15,6,(ROW(DA_SAP!$F$3:$F$423)-2)/(DA_SAP!$F$3:$F$423=$A$65)*($A$65&lt;&gt;""),ROW()-67)+2)),"")</f>
        <v/>
      </c>
      <c r="C79" s="118" t="str">
        <f>IFERROR(INDEX(DA_SAP!$C:$C,(_xlfn.AGGREGATE(15,6,(ROW(DA_SAP!$F$3:$F$423)-2)/(DA_SAP!$F$3:$F$423=$A$65)*($A$65&lt;&gt;""),ROW()-67)+2)),"")</f>
        <v/>
      </c>
      <c r="D79" s="118" t="str">
        <f>IF($H$4="EFFACER","",IFERROR(INDEX(DA_SAP!$D:$D,(_xlfn.AGGREGATE(15,6,(ROW(DA_SAP!$F$3:$F$423)-2)/(DA_SAP!$F$3:$F$423=$A$65)*($A$65&lt;&gt;""),ROW()-67)+2)),""))</f>
        <v/>
      </c>
      <c r="E79" s="119" t="str">
        <f t="shared" si="2"/>
        <v/>
      </c>
    </row>
    <row r="80" spans="1:5" x14ac:dyDescent="0.25">
      <c r="A80" s="117" t="str">
        <f>IFERROR(INDEX(DA_SAP!$A:$A,(_xlfn.AGGREGATE(15,6,(ROW(DA_SAP!$F$3:$F$423)-2)/(DA_SAP!$F$3:$F$423=$A$65)*($A$65&lt;&gt;""),ROW()-67)+2)),"")</f>
        <v/>
      </c>
      <c r="B80" s="118" t="str">
        <f>IFERROR(INDEX(DA_SAP!$B:$B,(_xlfn.AGGREGATE(15,6,(ROW(DA_SAP!$F$3:$F$423)-2)/(DA_SAP!$F$3:$F$423=$A$65)*($A$65&lt;&gt;""),ROW()-67)+2)),"")</f>
        <v/>
      </c>
      <c r="C80" s="118" t="str">
        <f>IFERROR(INDEX(DA_SAP!$C:$C,(_xlfn.AGGREGATE(15,6,(ROW(DA_SAP!$F$3:$F$423)-2)/(DA_SAP!$F$3:$F$423=$A$65)*($A$65&lt;&gt;""),ROW()-67)+2)),"")</f>
        <v/>
      </c>
      <c r="D80" s="118" t="str">
        <f>IF($H$4="EFFACER","",IFERROR(INDEX(DA_SAP!$D:$D,(_xlfn.AGGREGATE(15,6,(ROW(DA_SAP!$F$3:$F$423)-2)/(DA_SAP!$F$3:$F$423=$A$65)*($A$65&lt;&gt;""),ROW()-67)+2)),""))</f>
        <v/>
      </c>
      <c r="E80" s="119" t="str">
        <f t="shared" si="2"/>
        <v/>
      </c>
    </row>
    <row r="81" spans="1:5" x14ac:dyDescent="0.25">
      <c r="A81" s="117" t="str">
        <f>IFERROR(INDEX(DA_SAP!$A:$A,(_xlfn.AGGREGATE(15,6,(ROW(DA_SAP!$F$3:$F$423)-2)/(DA_SAP!$F$3:$F$423=$A$65)*($A$65&lt;&gt;""),ROW()-67)+2)),"")</f>
        <v/>
      </c>
      <c r="B81" s="118" t="str">
        <f>IFERROR(INDEX(DA_SAP!$B:$B,(_xlfn.AGGREGATE(15,6,(ROW(DA_SAP!$F$3:$F$423)-2)/(DA_SAP!$F$3:$F$423=$A$65)*($A$65&lt;&gt;""),ROW()-67)+2)),"")</f>
        <v/>
      </c>
      <c r="C81" s="118" t="str">
        <f>IFERROR(INDEX(DA_SAP!$C:$C,(_xlfn.AGGREGATE(15,6,(ROW(DA_SAP!$F$3:$F$423)-2)/(DA_SAP!$F$3:$F$423=$A$65)*($A$65&lt;&gt;""),ROW()-67)+2)),"")</f>
        <v/>
      </c>
      <c r="D81" s="118" t="str">
        <f>IF($H$4="EFFACER","",IFERROR(INDEX(DA_SAP!$D:$D,(_xlfn.AGGREGATE(15,6,(ROW(DA_SAP!$F$3:$F$423)-2)/(DA_SAP!$F$3:$F$423=$A$65)*($A$65&lt;&gt;""),ROW()-67)+2)),""))</f>
        <v/>
      </c>
      <c r="E81" s="119" t="str">
        <f t="shared" si="2"/>
        <v/>
      </c>
    </row>
    <row r="82" spans="1:5" x14ac:dyDescent="0.25">
      <c r="A82" s="117" t="str">
        <f>IFERROR(INDEX(DA_SAP!$A:$A,(_xlfn.AGGREGATE(15,6,(ROW(DA_SAP!$F$3:$F$423)-2)/(DA_SAP!$F$3:$F$423=$A$65)*($A$65&lt;&gt;""),ROW()-67)+2)),"")</f>
        <v/>
      </c>
      <c r="B82" s="118" t="str">
        <f>IFERROR(INDEX(DA_SAP!$B:$B,(_xlfn.AGGREGATE(15,6,(ROW(DA_SAP!$F$3:$F$423)-2)/(DA_SAP!$F$3:$F$423=$A$65)*($A$65&lt;&gt;""),ROW()-67)+2)),"")</f>
        <v/>
      </c>
      <c r="C82" s="118" t="str">
        <f>IFERROR(INDEX(DA_SAP!$C:$C,(_xlfn.AGGREGATE(15,6,(ROW(DA_SAP!$F$3:$F$423)-2)/(DA_SAP!$F$3:$F$423=$A$65)*($A$65&lt;&gt;""),ROW()-67)+2)),"")</f>
        <v/>
      </c>
      <c r="D82" s="118" t="str">
        <f>IF($H$4="EFFACER","",IFERROR(INDEX(DA_SAP!$D:$D,(_xlfn.AGGREGATE(15,6,(ROW(DA_SAP!$F$3:$F$423)-2)/(DA_SAP!$F$3:$F$423=$A$65)*($A$65&lt;&gt;""),ROW()-67)+2)),""))</f>
        <v/>
      </c>
      <c r="E82" s="119" t="str">
        <f t="shared" si="2"/>
        <v/>
      </c>
    </row>
    <row r="83" spans="1:5" x14ac:dyDescent="0.25">
      <c r="A83" s="117" t="str">
        <f>IFERROR(INDEX(DA_SAP!$A:$A,(_xlfn.AGGREGATE(15,6,(ROW(DA_SAP!$F$3:$F$423)-2)/(DA_SAP!$F$3:$F$423=$A$65)*($A$65&lt;&gt;""),ROW()-67)+2)),"")</f>
        <v/>
      </c>
      <c r="B83" s="118" t="str">
        <f>IFERROR(INDEX(DA_SAP!$B:$B,(_xlfn.AGGREGATE(15,6,(ROW(DA_SAP!$F$3:$F$423)-2)/(DA_SAP!$F$3:$F$423=$A$65)*($A$65&lt;&gt;""),ROW()-67)+2)),"")</f>
        <v/>
      </c>
      <c r="C83" s="118" t="str">
        <f>IFERROR(INDEX(DA_SAP!$C:$C,(_xlfn.AGGREGATE(15,6,(ROW(DA_SAP!$F$3:$F$423)-2)/(DA_SAP!$F$3:$F$423=$A$65)*($A$65&lt;&gt;""),ROW()-67)+2)),"")</f>
        <v/>
      </c>
      <c r="D83" s="118" t="str">
        <f>IF($H$4="EFFACER","",IFERROR(INDEX(DA_SAP!$D:$D,(_xlfn.AGGREGATE(15,6,(ROW(DA_SAP!$F$3:$F$423)-2)/(DA_SAP!$F$3:$F$423=$A$65)*($A$65&lt;&gt;""),ROW()-67)+2)),""))</f>
        <v/>
      </c>
      <c r="E83" s="119" t="str">
        <f t="shared" si="2"/>
        <v/>
      </c>
    </row>
    <row r="84" spans="1:5" x14ac:dyDescent="0.25">
      <c r="A84" s="117" t="str">
        <f>IFERROR(INDEX(DA_SAP!$A:$A,(_xlfn.AGGREGATE(15,6,(ROW(DA_SAP!$F$3:$F$423)-2)/(DA_SAP!$F$3:$F$423=$A$65)*($A$65&lt;&gt;""),ROW()-67)+2)),"")</f>
        <v/>
      </c>
      <c r="B84" s="118" t="str">
        <f>IFERROR(INDEX(DA_SAP!$B:$B,(_xlfn.AGGREGATE(15,6,(ROW(DA_SAP!$F$3:$F$423)-2)/(DA_SAP!$F$3:$F$423=$A$65)*($A$65&lt;&gt;""),ROW()-67)+2)),"")</f>
        <v/>
      </c>
      <c r="C84" s="118" t="str">
        <f>IFERROR(INDEX(DA_SAP!$C:$C,(_xlfn.AGGREGATE(15,6,(ROW(DA_SAP!$F$3:$F$423)-2)/(DA_SAP!$F$3:$F$423=$A$65)*($A$65&lt;&gt;""),ROW()-67)+2)),"")</f>
        <v/>
      </c>
      <c r="D84" s="118" t="str">
        <f>IF($H$4="EFFACER","",IFERROR(INDEX(DA_SAP!$D:$D,(_xlfn.AGGREGATE(15,6,(ROW(DA_SAP!$F$3:$F$423)-2)/(DA_SAP!$F$3:$F$423=$A$65)*($A$65&lt;&gt;""),ROW()-67)+2)),""))</f>
        <v/>
      </c>
      <c r="E84" s="119" t="str">
        <f t="shared" si="2"/>
        <v/>
      </c>
    </row>
    <row r="85" spans="1:5" x14ac:dyDescent="0.25">
      <c r="A85" s="117" t="str">
        <f>IFERROR(INDEX(DA_SAP!$A:$A,(_xlfn.AGGREGATE(15,6,(ROW(DA_SAP!$F$3:$F$423)-2)/(DA_SAP!$F$3:$F$423=$A$65)*($A$65&lt;&gt;""),ROW()-67)+2)),"")</f>
        <v/>
      </c>
      <c r="B85" s="118" t="str">
        <f>IFERROR(INDEX(DA_SAP!$B:$B,(_xlfn.AGGREGATE(15,6,(ROW(DA_SAP!$F$3:$F$423)-2)/(DA_SAP!$F$3:$F$423=$A$65)*($A$65&lt;&gt;""),ROW()-67)+2)),"")</f>
        <v/>
      </c>
      <c r="C85" s="118" t="str">
        <f>IFERROR(INDEX(DA_SAP!$C:$C,(_xlfn.AGGREGATE(15,6,(ROW(DA_SAP!$F$3:$F$423)-2)/(DA_SAP!$F$3:$F$423=$A$65)*($A$65&lt;&gt;""),ROW()-67)+2)),"")</f>
        <v/>
      </c>
      <c r="D85" s="118" t="str">
        <f>IF($H$4="EFFACER","",IFERROR(INDEX(DA_SAP!$D:$D,(_xlfn.AGGREGATE(15,6,(ROW(DA_SAP!$F$3:$F$423)-2)/(DA_SAP!$F$3:$F$423=$A$65)*($A$65&lt;&gt;""),ROW()-67)+2)),""))</f>
        <v/>
      </c>
      <c r="E85" s="119" t="str">
        <f t="shared" si="2"/>
        <v/>
      </c>
    </row>
    <row r="86" spans="1:5" x14ac:dyDescent="0.25">
      <c r="A86" s="117" t="str">
        <f>IFERROR(INDEX(DA_SAP!$A:$A,(_xlfn.AGGREGATE(15,6,(ROW(DA_SAP!$F$3:$F$423)-2)/(DA_SAP!$F$3:$F$423=$A$65)*($A$65&lt;&gt;""),ROW()-67)+2)),"")</f>
        <v/>
      </c>
      <c r="B86" s="118" t="str">
        <f>IFERROR(INDEX(DA_SAP!$B:$B,(_xlfn.AGGREGATE(15,6,(ROW(DA_SAP!$F$3:$F$423)-2)/(DA_SAP!$F$3:$F$423=$A$65)*($A$65&lt;&gt;""),ROW()-67)+2)),"")</f>
        <v/>
      </c>
      <c r="C86" s="118" t="str">
        <f>IFERROR(INDEX(DA_SAP!$C:$C,(_xlfn.AGGREGATE(15,6,(ROW(DA_SAP!$F$3:$F$423)-2)/(DA_SAP!$F$3:$F$423=$A$65)*($A$65&lt;&gt;""),ROW()-67)+2)),"")</f>
        <v/>
      </c>
      <c r="D86" s="118" t="str">
        <f>IF($H$4="EFFACER","",IFERROR(INDEX(DA_SAP!$D:$D,(_xlfn.AGGREGATE(15,6,(ROW(DA_SAP!$F$3:$F$423)-2)/(DA_SAP!$F$3:$F$423=$A$65)*($A$65&lt;&gt;""),ROW()-67)+2)),""))</f>
        <v/>
      </c>
      <c r="E86" s="119" t="str">
        <f t="shared" si="2"/>
        <v/>
      </c>
    </row>
    <row r="87" spans="1:5" x14ac:dyDescent="0.25">
      <c r="A87" s="117" t="str">
        <f>IFERROR(INDEX(DA_SAP!$A:$A,(_xlfn.AGGREGATE(15,6,(ROW(DA_SAP!$F$3:$F$423)-2)/(DA_SAP!$F$3:$F$423=$A$65)*($A$65&lt;&gt;""),ROW()-67)+2)),"")</f>
        <v/>
      </c>
      <c r="B87" s="118" t="str">
        <f>IFERROR(INDEX(DA_SAP!$B:$B,(_xlfn.AGGREGATE(15,6,(ROW(DA_SAP!$F$3:$F$423)-2)/(DA_SAP!$F$3:$F$423=$A$65)*($A$65&lt;&gt;""),ROW()-67)+2)),"")</f>
        <v/>
      </c>
      <c r="C87" s="118" t="str">
        <f>IFERROR(INDEX(DA_SAP!$C:$C,(_xlfn.AGGREGATE(15,6,(ROW(DA_SAP!$F$3:$F$423)-2)/(DA_SAP!$F$3:$F$423=$A$65)*($A$65&lt;&gt;""),ROW()-67)+2)),"")</f>
        <v/>
      </c>
      <c r="D87" s="118" t="str">
        <f>IF($H$4="EFFACER","",IFERROR(INDEX(DA_SAP!$D:$D,(_xlfn.AGGREGATE(15,6,(ROW(DA_SAP!$F$3:$F$423)-2)/(DA_SAP!$F$3:$F$423=$A$65)*($A$65&lt;&gt;""),ROW()-67)+2)),""))</f>
        <v/>
      </c>
      <c r="E87" s="119" t="str">
        <f t="shared" si="2"/>
        <v/>
      </c>
    </row>
    <row r="88" spans="1:5" x14ac:dyDescent="0.25">
      <c r="A88" s="117" t="str">
        <f>IFERROR(INDEX(DA_SAP!$A:$A,(_xlfn.AGGREGATE(15,6,(ROW(DA_SAP!$F$3:$F$423)-2)/(DA_SAP!$F$3:$F$423=$A$65)*($A$65&lt;&gt;""),ROW()-67)+2)),"")</f>
        <v/>
      </c>
      <c r="B88" s="118" t="str">
        <f>IFERROR(INDEX(DA_SAP!$B:$B,(_xlfn.AGGREGATE(15,6,(ROW(DA_SAP!$F$3:$F$423)-2)/(DA_SAP!$F$3:$F$423=$A$65)*($A$65&lt;&gt;""),ROW()-67)+2)),"")</f>
        <v/>
      </c>
      <c r="C88" s="118" t="str">
        <f>IFERROR(INDEX(DA_SAP!$C:$C,(_xlfn.AGGREGATE(15,6,(ROW(DA_SAP!$F$3:$F$423)-2)/(DA_SAP!$F$3:$F$423=$A$65)*($A$65&lt;&gt;""),ROW()-67)+2)),"")</f>
        <v/>
      </c>
      <c r="D88" s="118" t="str">
        <f>IF($H$4="EFFACER","",IFERROR(INDEX(DA_SAP!$D:$D,(_xlfn.AGGREGATE(15,6,(ROW(DA_SAP!$F$3:$F$423)-2)/(DA_SAP!$F$3:$F$423=$A$65)*($A$65&lt;&gt;""),ROW()-67)+2)),""))</f>
        <v/>
      </c>
      <c r="E88" s="119" t="str">
        <f t="shared" si="2"/>
        <v/>
      </c>
    </row>
    <row r="89" spans="1:5" x14ac:dyDescent="0.25">
      <c r="A89" s="117" t="str">
        <f>IFERROR(INDEX(DA_SAP!$A:$A,(_xlfn.AGGREGATE(15,6,(ROW(DA_SAP!$F$3:$F$423)-2)/(DA_SAP!$F$3:$F$423=$A$65)*($A$65&lt;&gt;""),ROW()-67)+2)),"")</f>
        <v/>
      </c>
      <c r="B89" s="118" t="str">
        <f>IFERROR(INDEX(DA_SAP!$B:$B,(_xlfn.AGGREGATE(15,6,(ROW(DA_SAP!$F$3:$F$423)-2)/(DA_SAP!$F$3:$F$423=$A$65)*($A$65&lt;&gt;""),ROW()-67)+2)),"")</f>
        <v/>
      </c>
      <c r="C89" s="118" t="str">
        <f>IFERROR(INDEX(DA_SAP!$C:$C,(_xlfn.AGGREGATE(15,6,(ROW(DA_SAP!$F$3:$F$423)-2)/(DA_SAP!$F$3:$F$423=$A$65)*($A$65&lt;&gt;""),ROW()-67)+2)),"")</f>
        <v/>
      </c>
      <c r="D89" s="118" t="str">
        <f>IF($H$4="EFFACER","",IFERROR(INDEX(DA_SAP!$D:$D,(_xlfn.AGGREGATE(15,6,(ROW(DA_SAP!$F$3:$F$423)-2)/(DA_SAP!$F$3:$F$423=$A$65)*($A$65&lt;&gt;""),ROW()-67)+2)),""))</f>
        <v/>
      </c>
      <c r="E89" s="119" t="str">
        <f t="shared" si="2"/>
        <v/>
      </c>
    </row>
    <row r="90" spans="1:5" x14ac:dyDescent="0.25">
      <c r="A90" s="117" t="str">
        <f>IFERROR(INDEX(DA_SAP!$A:$A,(_xlfn.AGGREGATE(15,6,(ROW(DA_SAP!$F$3:$F$423)-2)/(DA_SAP!$F$3:$F$423=$A$65)*($A$65&lt;&gt;""),ROW()-67)+2)),"")</f>
        <v/>
      </c>
      <c r="B90" s="118" t="str">
        <f>IFERROR(INDEX(DA_SAP!$B:$B,(_xlfn.AGGREGATE(15,6,(ROW(DA_SAP!$F$3:$F$423)-2)/(DA_SAP!$F$3:$F$423=$A$65)*($A$65&lt;&gt;""),ROW()-67)+2)),"")</f>
        <v/>
      </c>
      <c r="C90" s="118" t="str">
        <f>IFERROR(INDEX(DA_SAP!$C:$C,(_xlfn.AGGREGATE(15,6,(ROW(DA_SAP!$F$3:$F$423)-2)/(DA_SAP!$F$3:$F$423=$A$65)*($A$65&lt;&gt;""),ROW()-67)+2)),"")</f>
        <v/>
      </c>
      <c r="D90" s="118" t="str">
        <f>IF($H$4="EFFACER","",IFERROR(INDEX(DA_SAP!$D:$D,(_xlfn.AGGREGATE(15,6,(ROW(DA_SAP!$F$3:$F$423)-2)/(DA_SAP!$F$3:$F$423=$A$65)*($A$65&lt;&gt;""),ROW()-67)+2)),""))</f>
        <v/>
      </c>
      <c r="E90" s="119" t="str">
        <f t="shared" si="2"/>
        <v/>
      </c>
    </row>
    <row r="91" spans="1:5" x14ac:dyDescent="0.25">
      <c r="A91" s="117" t="str">
        <f>IFERROR(INDEX(DA_SAP!$A:$A,(_xlfn.AGGREGATE(15,6,(ROW(DA_SAP!$F$3:$F$423)-2)/(DA_SAP!$F$3:$F$423=$A$65)*($A$65&lt;&gt;""),ROW()-67)+2)),"")</f>
        <v/>
      </c>
      <c r="B91" s="118" t="str">
        <f>IFERROR(INDEX(DA_SAP!$B:$B,(_xlfn.AGGREGATE(15,6,(ROW(DA_SAP!$F$3:$F$423)-2)/(DA_SAP!$F$3:$F$423=$A$65)*($A$65&lt;&gt;""),ROW()-67)+2)),"")</f>
        <v/>
      </c>
      <c r="C91" s="118" t="str">
        <f>IFERROR(INDEX(DA_SAP!$C:$C,(_xlfn.AGGREGATE(15,6,(ROW(DA_SAP!$F$3:$F$423)-2)/(DA_SAP!$F$3:$F$423=$A$65)*($A$65&lt;&gt;""),ROW()-67)+2)),"")</f>
        <v/>
      </c>
      <c r="D91" s="118" t="str">
        <f>IF($H$4="EFFACER","",IFERROR(INDEX(DA_SAP!$D:$D,(_xlfn.AGGREGATE(15,6,(ROW(DA_SAP!$F$3:$F$423)-2)/(DA_SAP!$F$3:$F$423=$A$65)*($A$65&lt;&gt;""),ROW()-67)+2)),""))</f>
        <v/>
      </c>
      <c r="E91" s="119" t="str">
        <f t="shared" si="2"/>
        <v/>
      </c>
    </row>
    <row r="92" spans="1:5" x14ac:dyDescent="0.25">
      <c r="A92" s="117" t="str">
        <f>IFERROR(INDEX(DA_SAP!$A:$A,(_xlfn.AGGREGATE(15,6,(ROW(DA_SAP!$F$3:$F$423)-2)/(DA_SAP!$F$3:$F$423=$A$65)*($A$65&lt;&gt;""),ROW()-67)+2)),"")</f>
        <v/>
      </c>
      <c r="B92" s="118" t="str">
        <f>IFERROR(INDEX(DA_SAP!$B:$B,(_xlfn.AGGREGATE(15,6,(ROW(DA_SAP!$F$3:$F$423)-2)/(DA_SAP!$F$3:$F$423=$A$65)*($A$65&lt;&gt;""),ROW()-67)+2)),"")</f>
        <v/>
      </c>
      <c r="C92" s="118" t="str">
        <f>IFERROR(INDEX(DA_SAP!$C:$C,(_xlfn.AGGREGATE(15,6,(ROW(DA_SAP!$F$3:$F$423)-2)/(DA_SAP!$F$3:$F$423=$A$65)*($A$65&lt;&gt;""),ROW()-67)+2)),"")</f>
        <v/>
      </c>
      <c r="D92" s="118" t="str">
        <f>IF($H$4="EFFACER","",IFERROR(INDEX(DA_SAP!$D:$D,(_xlfn.AGGREGATE(15,6,(ROW(DA_SAP!$F$3:$F$423)-2)/(DA_SAP!$F$3:$F$423=$A$65)*($A$65&lt;&gt;""),ROW()-67)+2)),""))</f>
        <v/>
      </c>
      <c r="E92" s="119" t="str">
        <f t="shared" si="2"/>
        <v/>
      </c>
    </row>
    <row r="93" spans="1:5" x14ac:dyDescent="0.25">
      <c r="A93" s="117" t="str">
        <f>IFERROR(INDEX(DA_SAP!$A:$A,(_xlfn.AGGREGATE(15,6,(ROW(DA_SAP!$F$3:$F$423)-2)/(DA_SAP!$F$3:$F$423=$A$65)*($A$65&lt;&gt;""),ROW()-67)+2)),"")</f>
        <v/>
      </c>
      <c r="B93" s="118" t="str">
        <f>IFERROR(INDEX(DA_SAP!$B:$B,(_xlfn.AGGREGATE(15,6,(ROW(DA_SAP!$F$3:$F$423)-2)/(DA_SAP!$F$3:$F$423=$A$65)*($A$65&lt;&gt;""),ROW()-67)+2)),"")</f>
        <v/>
      </c>
      <c r="C93" s="118" t="str">
        <f>IFERROR(INDEX(DA_SAP!$C:$C,(_xlfn.AGGREGATE(15,6,(ROW(DA_SAP!$F$3:$F$423)-2)/(DA_SAP!$F$3:$F$423=$A$65)*($A$65&lt;&gt;""),ROW()-67)+2)),"")</f>
        <v/>
      </c>
      <c r="D93" s="118" t="str">
        <f>IF($H$4="EFFACER","",IFERROR(INDEX(DA_SAP!$D:$D,(_xlfn.AGGREGATE(15,6,(ROW(DA_SAP!$F$3:$F$423)-2)/(DA_SAP!$F$3:$F$423=$A$65)*($A$65&lt;&gt;""),ROW()-67)+2)),""))</f>
        <v/>
      </c>
      <c r="E93" s="119" t="str">
        <f t="shared" si="2"/>
        <v/>
      </c>
    </row>
    <row r="94" spans="1:5" x14ac:dyDescent="0.25">
      <c r="A94" s="117" t="str">
        <f>IFERROR(INDEX(DA_SAP!$A:$A,(_xlfn.AGGREGATE(15,6,(ROW(DA_SAP!$F$3:$F$423)-2)/(DA_SAP!$F$3:$F$423=$A$65)*($A$65&lt;&gt;""),ROW()-67)+2)),"")</f>
        <v/>
      </c>
      <c r="B94" s="118" t="str">
        <f>IFERROR(INDEX(DA_SAP!$B:$B,(_xlfn.AGGREGATE(15,6,(ROW(DA_SAP!$F$3:$F$423)-2)/(DA_SAP!$F$3:$F$423=$A$65)*($A$65&lt;&gt;""),ROW()-67)+2)),"")</f>
        <v/>
      </c>
      <c r="C94" s="118" t="str">
        <f>IFERROR(INDEX(DA_SAP!$C:$C,(_xlfn.AGGREGATE(15,6,(ROW(DA_SAP!$F$3:$F$423)-2)/(DA_SAP!$F$3:$F$423=$A$65)*($A$65&lt;&gt;""),ROW()-67)+2)),"")</f>
        <v/>
      </c>
      <c r="D94" s="118" t="str">
        <f>IF($H$4="EFFACER","",IFERROR(INDEX(DA_SAP!$D:$D,(_xlfn.AGGREGATE(15,6,(ROW(DA_SAP!$F$3:$F$423)-2)/(DA_SAP!$F$3:$F$423=$A$65)*($A$65&lt;&gt;""),ROW()-67)+2)),""))</f>
        <v/>
      </c>
      <c r="E94" s="119" t="str">
        <f t="shared" si="2"/>
        <v/>
      </c>
    </row>
    <row r="95" spans="1:5" x14ac:dyDescent="0.25">
      <c r="A95" s="117" t="str">
        <f>IFERROR(INDEX(DA_SAP!$A:$A,(_xlfn.AGGREGATE(15,6,(ROW(DA_SAP!$F$3:$F$423)-2)/(DA_SAP!$F$3:$F$423=$A$65)*($A$65&lt;&gt;""),ROW()-67)+2)),"")</f>
        <v/>
      </c>
      <c r="B95" s="118" t="str">
        <f>IFERROR(INDEX(DA_SAP!$B:$B,(_xlfn.AGGREGATE(15,6,(ROW(DA_SAP!$F$3:$F$423)-2)/(DA_SAP!$F$3:$F$423=$A$65)*($A$65&lt;&gt;""),ROW()-67)+2)),"")</f>
        <v/>
      </c>
      <c r="C95" s="118" t="str">
        <f>IFERROR(INDEX(DA_SAP!$C:$C,(_xlfn.AGGREGATE(15,6,(ROW(DA_SAP!$F$3:$F$423)-2)/(DA_SAP!$F$3:$F$423=$A$65)*($A$65&lt;&gt;""),ROW()-67)+2)),"")</f>
        <v/>
      </c>
      <c r="D95" s="118" t="str">
        <f>IF($H$4="EFFACER","",IFERROR(INDEX(DA_SAP!$D:$D,(_xlfn.AGGREGATE(15,6,(ROW(DA_SAP!$F$3:$F$423)-2)/(DA_SAP!$F$3:$F$423=$A$65)*($A$65&lt;&gt;""),ROW()-67)+2)),""))</f>
        <v/>
      </c>
      <c r="E95" s="119" t="str">
        <f t="shared" si="2"/>
        <v/>
      </c>
    </row>
    <row r="96" spans="1:5" x14ac:dyDescent="0.25">
      <c r="A96" s="117" t="str">
        <f>IFERROR(INDEX(DA_SAP!$A:$A,(_xlfn.AGGREGATE(15,6,(ROW(DA_SAP!$F$3:$F$423)-2)/(DA_SAP!$F$3:$F$423=$A$65)*($A$65&lt;&gt;""),ROW()-67)+2)),"")</f>
        <v/>
      </c>
      <c r="B96" s="118" t="str">
        <f>IFERROR(INDEX(DA_SAP!$B:$B,(_xlfn.AGGREGATE(15,6,(ROW(DA_SAP!$F$3:$F$423)-2)/(DA_SAP!$F$3:$F$423=$A$65)*($A$65&lt;&gt;""),ROW()-67)+2)),"")</f>
        <v/>
      </c>
      <c r="C96" s="118" t="str">
        <f>IFERROR(INDEX(DA_SAP!$C:$C,(_xlfn.AGGREGATE(15,6,(ROW(DA_SAP!$F$3:$F$423)-2)/(DA_SAP!$F$3:$F$423=$A$65)*($A$65&lt;&gt;""),ROW()-67)+2)),"")</f>
        <v/>
      </c>
      <c r="D96" s="118" t="str">
        <f>IF($H$4="EFFACER","",IFERROR(INDEX(DA_SAP!$D:$D,(_xlfn.AGGREGATE(15,6,(ROW(DA_SAP!$F$3:$F$423)-2)/(DA_SAP!$F$3:$F$423=$A$65)*($A$65&lt;&gt;""),ROW()-67)+2)),""))</f>
        <v/>
      </c>
      <c r="E96" s="119" t="str">
        <f t="shared" si="2"/>
        <v/>
      </c>
    </row>
    <row r="97" spans="1:5" x14ac:dyDescent="0.25">
      <c r="A97" s="117" t="str">
        <f>IFERROR(INDEX(DA_SAP!$A:$A,(_xlfn.AGGREGATE(15,6,(ROW(DA_SAP!$F$3:$F$423)-2)/(DA_SAP!$F$3:$F$423=$A$65)*($A$65&lt;&gt;""),ROW()-67)+2)),"")</f>
        <v/>
      </c>
      <c r="B97" s="118" t="str">
        <f>IFERROR(INDEX(DA_SAP!$B:$B,(_xlfn.AGGREGATE(15,6,(ROW(DA_SAP!$F$3:$F$423)-2)/(DA_SAP!$F$3:$F$423=$A$65)*($A$65&lt;&gt;""),ROW()-67)+2)),"")</f>
        <v/>
      </c>
      <c r="C97" s="118" t="str">
        <f>IFERROR(INDEX(DA_SAP!$C:$C,(_xlfn.AGGREGATE(15,6,(ROW(DA_SAP!$F$3:$F$423)-2)/(DA_SAP!$F$3:$F$423=$A$65)*($A$65&lt;&gt;""),ROW()-67)+2)),"")</f>
        <v/>
      </c>
      <c r="D97" s="118" t="str">
        <f>IF($H$4="EFFACER","",IFERROR(INDEX(DA_SAP!$D:$D,(_xlfn.AGGREGATE(15,6,(ROW(DA_SAP!$F$3:$F$423)-2)/(DA_SAP!$F$3:$F$423=$A$65)*($A$65&lt;&gt;""),ROW()-67)+2)),""))</f>
        <v/>
      </c>
      <c r="E97" s="119" t="str">
        <f t="shared" si="2"/>
        <v/>
      </c>
    </row>
    <row r="98" spans="1:5" x14ac:dyDescent="0.25">
      <c r="A98" s="117" t="str">
        <f>IFERROR(INDEX(DA_SAP!$A:$A,(_xlfn.AGGREGATE(15,6,(ROW(DA_SAP!$F$3:$F$423)-2)/(DA_SAP!$F$3:$F$423=$A$65)*($A$65&lt;&gt;""),ROW()-67)+2)),"")</f>
        <v/>
      </c>
      <c r="B98" s="118" t="str">
        <f>IFERROR(INDEX(DA_SAP!$B:$B,(_xlfn.AGGREGATE(15,6,(ROW(DA_SAP!$F$3:$F$423)-2)/(DA_SAP!$F$3:$F$423=$A$65)*($A$65&lt;&gt;""),ROW()-67)+2)),"")</f>
        <v/>
      </c>
      <c r="C98" s="118" t="str">
        <f>IFERROR(INDEX(DA_SAP!$C:$C,(_xlfn.AGGREGATE(15,6,(ROW(DA_SAP!$F$3:$F$423)-2)/(DA_SAP!$F$3:$F$423=$A$65)*($A$65&lt;&gt;""),ROW()-67)+2)),"")</f>
        <v/>
      </c>
      <c r="D98" s="118" t="str">
        <f>IF($H$4="EFFACER","",IFERROR(INDEX(DA_SAP!$D:$D,(_xlfn.AGGREGATE(15,6,(ROW(DA_SAP!$F$3:$F$423)-2)/(DA_SAP!$F$3:$F$423=$A$65)*($A$65&lt;&gt;""),ROW()-67)+2)),""))</f>
        <v/>
      </c>
      <c r="E98" s="119" t="str">
        <f t="shared" si="2"/>
        <v/>
      </c>
    </row>
    <row r="99" spans="1:5" x14ac:dyDescent="0.25">
      <c r="A99" s="117" t="str">
        <f>IFERROR(INDEX(DA_SAP!$A:$A,(_xlfn.AGGREGATE(15,6,(ROW(DA_SAP!$F$3:$F$423)-2)/(DA_SAP!$F$3:$F$423=$A$65)*($A$65&lt;&gt;""),ROW()-67)+2)),"")</f>
        <v/>
      </c>
      <c r="B99" s="118" t="str">
        <f>IFERROR(INDEX(DA_SAP!$B:$B,(_xlfn.AGGREGATE(15,6,(ROW(DA_SAP!$F$3:$F$423)-2)/(DA_SAP!$F$3:$F$423=$A$65)*($A$65&lt;&gt;""),ROW()-67)+2)),"")</f>
        <v/>
      </c>
      <c r="C99" s="118" t="str">
        <f>IFERROR(INDEX(DA_SAP!$C:$C,(_xlfn.AGGREGATE(15,6,(ROW(DA_SAP!$F$3:$F$423)-2)/(DA_SAP!$F$3:$F$423=$A$65)*($A$65&lt;&gt;""),ROW()-67)+2)),"")</f>
        <v/>
      </c>
      <c r="D99" s="118" t="str">
        <f>IF($H$4="EFFACER","",IFERROR(INDEX(DA_SAP!$D:$D,(_xlfn.AGGREGATE(15,6,(ROW(DA_SAP!$F$3:$F$423)-2)/(DA_SAP!$F$3:$F$423=$A$65)*($A$65&lt;&gt;""),ROW()-67)+2)),""))</f>
        <v/>
      </c>
      <c r="E99" s="119" t="str">
        <f t="shared" ref="E99:E126" si="3">IF($A100="","",$H$1)</f>
        <v/>
      </c>
    </row>
    <row r="100" spans="1:5" x14ac:dyDescent="0.25">
      <c r="A100" s="117" t="str">
        <f>IFERROR(INDEX(DA_SAP!$A:$A,(_xlfn.AGGREGATE(15,6,(ROW(DA_SAP!$F$3:$F$423)-2)/(DA_SAP!$F$3:$F$423=$A$65)*($A$65&lt;&gt;""),ROW()-67)+2)),"")</f>
        <v/>
      </c>
      <c r="B100" s="118" t="str">
        <f>IFERROR(INDEX(DA_SAP!$B:$B,(_xlfn.AGGREGATE(15,6,(ROW(DA_SAP!$F$3:$F$423)-2)/(DA_SAP!$F$3:$F$423=$A$65)*($A$65&lt;&gt;""),ROW()-67)+2)),"")</f>
        <v/>
      </c>
      <c r="C100" s="118" t="str">
        <f>IFERROR(INDEX(DA_SAP!$C:$C,(_xlfn.AGGREGATE(15,6,(ROW(DA_SAP!$F$3:$F$423)-2)/(DA_SAP!$F$3:$F$423=$A$65)*($A$65&lt;&gt;""),ROW()-67)+2)),"")</f>
        <v/>
      </c>
      <c r="D100" s="118" t="str">
        <f>IF($H$4="EFFACER","",IFERROR(INDEX(DA_SAP!$D:$D,(_xlfn.AGGREGATE(15,6,(ROW(DA_SAP!$F$3:$F$423)-2)/(DA_SAP!$F$3:$F$423=$A$65)*($A$65&lt;&gt;""),ROW()-67)+2)),""))</f>
        <v/>
      </c>
      <c r="E100" s="119" t="str">
        <f t="shared" si="3"/>
        <v/>
      </c>
    </row>
    <row r="101" spans="1:5" x14ac:dyDescent="0.25">
      <c r="A101" s="117" t="str">
        <f>IFERROR(INDEX(DA_SAP!$A:$A,(_xlfn.AGGREGATE(15,6,(ROW(DA_SAP!$F$3:$F$423)-2)/(DA_SAP!$F$3:$F$423=$A$65)*($A$65&lt;&gt;""),ROW()-67)+2)),"")</f>
        <v/>
      </c>
      <c r="B101" s="118" t="str">
        <f>IFERROR(INDEX(DA_SAP!$B:$B,(_xlfn.AGGREGATE(15,6,(ROW(DA_SAP!$F$3:$F$423)-2)/(DA_SAP!$F$3:$F$423=$A$65)*($A$65&lt;&gt;""),ROW()-67)+2)),"")</f>
        <v/>
      </c>
      <c r="C101" s="118" t="str">
        <f>IFERROR(INDEX(DA_SAP!$C:$C,(_xlfn.AGGREGATE(15,6,(ROW(DA_SAP!$F$3:$F$423)-2)/(DA_SAP!$F$3:$F$423=$A$65)*($A$65&lt;&gt;""),ROW()-67)+2)),"")</f>
        <v/>
      </c>
      <c r="D101" s="118" t="str">
        <f>IF($H$4="EFFACER","",IFERROR(INDEX(DA_SAP!$D:$D,(_xlfn.AGGREGATE(15,6,(ROW(DA_SAP!$F$3:$F$423)-2)/(DA_SAP!$F$3:$F$423=$A$65)*($A$65&lt;&gt;""),ROW()-67)+2)),""))</f>
        <v/>
      </c>
      <c r="E101" s="119" t="str">
        <f t="shared" si="3"/>
        <v/>
      </c>
    </row>
    <row r="102" spans="1:5" x14ac:dyDescent="0.25">
      <c r="A102" s="117" t="str">
        <f>IFERROR(INDEX(DA_SAP!$A:$A,(_xlfn.AGGREGATE(15,6,(ROW(DA_SAP!$F$3:$F$423)-2)/(DA_SAP!$F$3:$F$423=$A$65)*($A$65&lt;&gt;""),ROW()-67)+2)),"")</f>
        <v/>
      </c>
      <c r="B102" s="118" t="str">
        <f>IFERROR(INDEX(DA_SAP!$B:$B,(_xlfn.AGGREGATE(15,6,(ROW(DA_SAP!$F$3:$F$423)-2)/(DA_SAP!$F$3:$F$423=$A$65)*($A$65&lt;&gt;""),ROW()-67)+2)),"")</f>
        <v/>
      </c>
      <c r="C102" s="118" t="str">
        <f>IFERROR(INDEX(DA_SAP!$C:$C,(_xlfn.AGGREGATE(15,6,(ROW(DA_SAP!$F$3:$F$423)-2)/(DA_SAP!$F$3:$F$423=$A$65)*($A$65&lt;&gt;""),ROW()-67)+2)),"")</f>
        <v/>
      </c>
      <c r="D102" s="118" t="str">
        <f>IF($H$4="EFFACER","",IFERROR(INDEX(DA_SAP!$D:$D,(_xlfn.AGGREGATE(15,6,(ROW(DA_SAP!$F$3:$F$423)-2)/(DA_SAP!$F$3:$F$423=$A$65)*($A$65&lt;&gt;""),ROW()-67)+2)),""))</f>
        <v/>
      </c>
      <c r="E102" s="119" t="str">
        <f t="shared" si="3"/>
        <v/>
      </c>
    </row>
    <row r="103" spans="1:5" x14ac:dyDescent="0.25">
      <c r="A103" s="117" t="str">
        <f>IFERROR(INDEX(DA_SAP!$A:$A,(_xlfn.AGGREGATE(15,6,(ROW(DA_SAP!$F$3:$F$423)-2)/(DA_SAP!$F$3:$F$423=$A$65)*($A$65&lt;&gt;""),ROW()-67)+2)),"")</f>
        <v/>
      </c>
      <c r="B103" s="118" t="str">
        <f>IFERROR(INDEX(DA_SAP!$B:$B,(_xlfn.AGGREGATE(15,6,(ROW(DA_SAP!$F$3:$F$423)-2)/(DA_SAP!$F$3:$F$423=$A$65)*($A$65&lt;&gt;""),ROW()-67)+2)),"")</f>
        <v/>
      </c>
      <c r="C103" s="118" t="str">
        <f>IFERROR(INDEX(DA_SAP!$C:$C,(_xlfn.AGGREGATE(15,6,(ROW(DA_SAP!$F$3:$F$423)-2)/(DA_SAP!$F$3:$F$423=$A$65)*($A$65&lt;&gt;""),ROW()-67)+2)),"")</f>
        <v/>
      </c>
      <c r="D103" s="118" t="str">
        <f>IF($H$4="EFFACER","",IFERROR(INDEX(DA_SAP!$D:$D,(_xlfn.AGGREGATE(15,6,(ROW(DA_SAP!$F$3:$F$423)-2)/(DA_SAP!$F$3:$F$423=$A$65)*($A$65&lt;&gt;""),ROW()-67)+2)),""))</f>
        <v/>
      </c>
      <c r="E103" s="119" t="str">
        <f t="shared" si="3"/>
        <v/>
      </c>
    </row>
    <row r="104" spans="1:5" x14ac:dyDescent="0.25">
      <c r="A104" s="117" t="str">
        <f>IFERROR(INDEX(DA_SAP!$A:$A,(_xlfn.AGGREGATE(15,6,(ROW(DA_SAP!$F$3:$F$423)-2)/(DA_SAP!$F$3:$F$423=$A$65)*($A$65&lt;&gt;""),ROW()-67)+2)),"")</f>
        <v/>
      </c>
      <c r="B104" s="118" t="str">
        <f>IFERROR(INDEX(DA_SAP!$B:$B,(_xlfn.AGGREGATE(15,6,(ROW(DA_SAP!$F$3:$F$423)-2)/(DA_SAP!$F$3:$F$423=$A$65)*($A$65&lt;&gt;""),ROW()-67)+2)),"")</f>
        <v/>
      </c>
      <c r="C104" s="118" t="str">
        <f>IFERROR(INDEX(DA_SAP!$C:$C,(_xlfn.AGGREGATE(15,6,(ROW(DA_SAP!$F$3:$F$423)-2)/(DA_SAP!$F$3:$F$423=$A$65)*($A$65&lt;&gt;""),ROW()-67)+2)),"")</f>
        <v/>
      </c>
      <c r="D104" s="118" t="str">
        <f>IF($H$4="EFFACER","",IFERROR(INDEX(DA_SAP!$D:$D,(_xlfn.AGGREGATE(15,6,(ROW(DA_SAP!$F$3:$F$423)-2)/(DA_SAP!$F$3:$F$423=$A$65)*($A$65&lt;&gt;""),ROW()-67)+2)),""))</f>
        <v/>
      </c>
      <c r="E104" s="119" t="str">
        <f t="shared" si="3"/>
        <v/>
      </c>
    </row>
    <row r="105" spans="1:5" x14ac:dyDescent="0.25">
      <c r="A105" s="117" t="str">
        <f>IFERROR(INDEX(DA_SAP!$A:$A,(_xlfn.AGGREGATE(15,6,(ROW(DA_SAP!$F$3:$F$423)-2)/(DA_SAP!$F$3:$F$423=$A$65)*($A$65&lt;&gt;""),ROW()-67)+2)),"")</f>
        <v/>
      </c>
      <c r="B105" s="118" t="str">
        <f>IFERROR(INDEX(DA_SAP!$B:$B,(_xlfn.AGGREGATE(15,6,(ROW(DA_SAP!$F$3:$F$423)-2)/(DA_SAP!$F$3:$F$423=$A$65)*($A$65&lt;&gt;""),ROW()-67)+2)),"")</f>
        <v/>
      </c>
      <c r="C105" s="118" t="str">
        <f>IFERROR(INDEX(DA_SAP!$C:$C,(_xlfn.AGGREGATE(15,6,(ROW(DA_SAP!$F$3:$F$423)-2)/(DA_SAP!$F$3:$F$423=$A$65)*($A$65&lt;&gt;""),ROW()-67)+2)),"")</f>
        <v/>
      </c>
      <c r="D105" s="118" t="str">
        <f>IF($H$4="EFFACER","",IFERROR(INDEX(DA_SAP!$D:$D,(_xlfn.AGGREGATE(15,6,(ROW(DA_SAP!$F$3:$F$423)-2)/(DA_SAP!$F$3:$F$423=$A$65)*($A$65&lt;&gt;""),ROW()-67)+2)),""))</f>
        <v/>
      </c>
      <c r="E105" s="119" t="str">
        <f t="shared" si="3"/>
        <v/>
      </c>
    </row>
    <row r="106" spans="1:5" x14ac:dyDescent="0.25">
      <c r="A106" s="117" t="str">
        <f>IFERROR(INDEX(DA_SAP!$A:$A,(_xlfn.AGGREGATE(15,6,(ROW(DA_SAP!$F$3:$F$423)-2)/(DA_SAP!$F$3:$F$423=$A$65)*($A$65&lt;&gt;""),ROW()-67)+2)),"")</f>
        <v/>
      </c>
      <c r="B106" s="118" t="str">
        <f>IFERROR(INDEX(DA_SAP!$B:$B,(_xlfn.AGGREGATE(15,6,(ROW(DA_SAP!$F$3:$F$423)-2)/(DA_SAP!$F$3:$F$423=$A$65)*($A$65&lt;&gt;""),ROW()-67)+2)),"")</f>
        <v/>
      </c>
      <c r="C106" s="118" t="str">
        <f>IFERROR(INDEX(DA_SAP!$C:$C,(_xlfn.AGGREGATE(15,6,(ROW(DA_SAP!$F$3:$F$423)-2)/(DA_SAP!$F$3:$F$423=$A$65)*($A$65&lt;&gt;""),ROW()-67)+2)),"")</f>
        <v/>
      </c>
      <c r="D106" s="118" t="str">
        <f>IF($H$4="EFFACER","",IFERROR(INDEX(DA_SAP!$D:$D,(_xlfn.AGGREGATE(15,6,(ROW(DA_SAP!$F$3:$F$423)-2)/(DA_SAP!$F$3:$F$423=$A$65)*($A$65&lt;&gt;""),ROW()-67)+2)),""))</f>
        <v/>
      </c>
      <c r="E106" s="119" t="str">
        <f t="shared" si="3"/>
        <v/>
      </c>
    </row>
    <row r="107" spans="1:5" x14ac:dyDescent="0.25">
      <c r="A107" s="117" t="str">
        <f>IFERROR(INDEX(DA_SAP!$A:$A,(_xlfn.AGGREGATE(15,6,(ROW(DA_SAP!$F$3:$F$423)-2)/(DA_SAP!$F$3:$F$423=$A$65)*($A$65&lt;&gt;""),ROW()-67)+2)),"")</f>
        <v/>
      </c>
      <c r="B107" s="118" t="str">
        <f>IFERROR(INDEX(DA_SAP!$B:$B,(_xlfn.AGGREGATE(15,6,(ROW(DA_SAP!$F$3:$F$423)-2)/(DA_SAP!$F$3:$F$423=$A$65)*($A$65&lt;&gt;""),ROW()-67)+2)),"")</f>
        <v/>
      </c>
      <c r="C107" s="118" t="str">
        <f>IFERROR(INDEX(DA_SAP!$C:$C,(_xlfn.AGGREGATE(15,6,(ROW(DA_SAP!$F$3:$F$423)-2)/(DA_SAP!$F$3:$F$423=$A$65)*($A$65&lt;&gt;""),ROW()-67)+2)),"")</f>
        <v/>
      </c>
      <c r="D107" s="118" t="str">
        <f>IF($H$4="EFFACER","",IFERROR(INDEX(DA_SAP!$D:$D,(_xlfn.AGGREGATE(15,6,(ROW(DA_SAP!$F$3:$F$423)-2)/(DA_SAP!$F$3:$F$423=$A$65)*($A$65&lt;&gt;""),ROW()-67)+2)),""))</f>
        <v/>
      </c>
      <c r="E107" s="119" t="str">
        <f t="shared" si="3"/>
        <v/>
      </c>
    </row>
    <row r="108" spans="1:5" x14ac:dyDescent="0.25">
      <c r="A108" s="117" t="str">
        <f>IFERROR(INDEX(DA_SAP!$A:$A,(_xlfn.AGGREGATE(15,6,(ROW(DA_SAP!$F$3:$F$423)-2)/(DA_SAP!$F$3:$F$423=$A$65)*($A$65&lt;&gt;""),ROW()-67)+2)),"")</f>
        <v/>
      </c>
      <c r="B108" s="118" t="str">
        <f>IFERROR(INDEX(DA_SAP!$B:$B,(_xlfn.AGGREGATE(15,6,(ROW(DA_SAP!$F$3:$F$423)-2)/(DA_SAP!$F$3:$F$423=$A$65)*($A$65&lt;&gt;""),ROW()-67)+2)),"")</f>
        <v/>
      </c>
      <c r="C108" s="118" t="str">
        <f>IFERROR(INDEX(DA_SAP!$C:$C,(_xlfn.AGGREGATE(15,6,(ROW(DA_SAP!$F$3:$F$423)-2)/(DA_SAP!$F$3:$F$423=$A$65)*($A$65&lt;&gt;""),ROW()-67)+2)),"")</f>
        <v/>
      </c>
      <c r="D108" s="118" t="str">
        <f>IF($H$4="EFFACER","",IFERROR(INDEX(DA_SAP!$D:$D,(_xlfn.AGGREGATE(15,6,(ROW(DA_SAP!$F$3:$F$423)-2)/(DA_SAP!$F$3:$F$423=$A$65)*($A$65&lt;&gt;""),ROW()-67)+2)),""))</f>
        <v/>
      </c>
      <c r="E108" s="119" t="str">
        <f t="shared" si="3"/>
        <v/>
      </c>
    </row>
    <row r="109" spans="1:5" x14ac:dyDescent="0.25">
      <c r="A109" s="117" t="str">
        <f>IFERROR(INDEX(DA_SAP!$A:$A,(_xlfn.AGGREGATE(15,6,(ROW(DA_SAP!$F$3:$F$423)-2)/(DA_SAP!$F$3:$F$423=$A$65)*($A$65&lt;&gt;""),ROW()-67)+2)),"")</f>
        <v/>
      </c>
      <c r="B109" s="118" t="str">
        <f>IFERROR(INDEX(DA_SAP!$B:$B,(_xlfn.AGGREGATE(15,6,(ROW(DA_SAP!$F$3:$F$423)-2)/(DA_SAP!$F$3:$F$423=$A$65)*($A$65&lt;&gt;""),ROW()-67)+2)),"")</f>
        <v/>
      </c>
      <c r="C109" s="118" t="str">
        <f>IFERROR(INDEX(DA_SAP!$C:$C,(_xlfn.AGGREGATE(15,6,(ROW(DA_SAP!$F$3:$F$423)-2)/(DA_SAP!$F$3:$F$423=$A$65)*($A$65&lt;&gt;""),ROW()-67)+2)),"")</f>
        <v/>
      </c>
      <c r="D109" s="118" t="str">
        <f>IF($H$4="EFFACER","",IFERROR(INDEX(DA_SAP!$D:$D,(_xlfn.AGGREGATE(15,6,(ROW(DA_SAP!$F$3:$F$423)-2)/(DA_SAP!$F$3:$F$423=$A$65)*($A$65&lt;&gt;""),ROW()-67)+2)),""))</f>
        <v/>
      </c>
      <c r="E109" s="119" t="str">
        <f t="shared" si="3"/>
        <v/>
      </c>
    </row>
    <row r="110" spans="1:5" x14ac:dyDescent="0.25">
      <c r="A110" s="117" t="str">
        <f>IFERROR(INDEX(DA_SAP!$A:$A,(_xlfn.AGGREGATE(15,6,(ROW(DA_SAP!$F$3:$F$423)-2)/(DA_SAP!$F$3:$F$423=$A$65)*($A$65&lt;&gt;""),ROW()-67)+2)),"")</f>
        <v/>
      </c>
      <c r="B110" s="118" t="str">
        <f>IFERROR(INDEX(DA_SAP!$B:$B,(_xlfn.AGGREGATE(15,6,(ROW(DA_SAP!$F$3:$F$423)-2)/(DA_SAP!$F$3:$F$423=$A$65)*($A$65&lt;&gt;""),ROW()-67)+2)),"")</f>
        <v/>
      </c>
      <c r="C110" s="118" t="str">
        <f>IFERROR(INDEX(DA_SAP!$C:$C,(_xlfn.AGGREGATE(15,6,(ROW(DA_SAP!$F$3:$F$423)-2)/(DA_SAP!$F$3:$F$423=$A$65)*($A$65&lt;&gt;""),ROW()-67)+2)),"")</f>
        <v/>
      </c>
      <c r="D110" s="118" t="str">
        <f>IF($H$4="EFFACER","",IFERROR(INDEX(DA_SAP!$D:$D,(_xlfn.AGGREGATE(15,6,(ROW(DA_SAP!$F$3:$F$423)-2)/(DA_SAP!$F$3:$F$423=$A$65)*($A$65&lt;&gt;""),ROW()-67)+2)),""))</f>
        <v/>
      </c>
      <c r="E110" s="119" t="str">
        <f t="shared" si="3"/>
        <v/>
      </c>
    </row>
    <row r="111" spans="1:5" x14ac:dyDescent="0.25">
      <c r="A111" s="117" t="str">
        <f>IFERROR(INDEX(DA_SAP!$A:$A,(_xlfn.AGGREGATE(15,6,(ROW(DA_SAP!$F$3:$F$423)-2)/(DA_SAP!$F$3:$F$423=$A$65)*($A$65&lt;&gt;""),ROW()-67)+2)),"")</f>
        <v/>
      </c>
      <c r="B111" s="118" t="str">
        <f>IFERROR(INDEX(DA_SAP!$B:$B,(_xlfn.AGGREGATE(15,6,(ROW(DA_SAP!$F$3:$F$423)-2)/(DA_SAP!$F$3:$F$423=$A$65)*($A$65&lt;&gt;""),ROW()-67)+2)),"")</f>
        <v/>
      </c>
      <c r="C111" s="118" t="str">
        <f>IFERROR(INDEX(DA_SAP!$C:$C,(_xlfn.AGGREGATE(15,6,(ROW(DA_SAP!$F$3:$F$423)-2)/(DA_SAP!$F$3:$F$423=$A$65)*($A$65&lt;&gt;""),ROW()-67)+2)),"")</f>
        <v/>
      </c>
      <c r="D111" s="118" t="str">
        <f>IF($H$4="EFFACER","",IFERROR(INDEX(DA_SAP!$D:$D,(_xlfn.AGGREGATE(15,6,(ROW(DA_SAP!$F$3:$F$423)-2)/(DA_SAP!$F$3:$F$423=$A$65)*($A$65&lt;&gt;""),ROW()-67)+2)),""))</f>
        <v/>
      </c>
      <c r="E111" s="119" t="str">
        <f t="shared" si="3"/>
        <v/>
      </c>
    </row>
    <row r="112" spans="1:5" x14ac:dyDescent="0.25">
      <c r="A112" s="117" t="str">
        <f>IFERROR(INDEX(DA_SAP!$A:$A,(_xlfn.AGGREGATE(15,6,(ROW(DA_SAP!$F$3:$F$423)-2)/(DA_SAP!$F$3:$F$423=$A$65)*($A$65&lt;&gt;""),ROW()-67)+2)),"")</f>
        <v/>
      </c>
      <c r="B112" s="118" t="str">
        <f>IFERROR(INDEX(DA_SAP!$B:$B,(_xlfn.AGGREGATE(15,6,(ROW(DA_SAP!$F$3:$F$423)-2)/(DA_SAP!$F$3:$F$423=$A$65)*($A$65&lt;&gt;""),ROW()-67)+2)),"")</f>
        <v/>
      </c>
      <c r="C112" s="118" t="str">
        <f>IFERROR(INDEX(DA_SAP!$C:$C,(_xlfn.AGGREGATE(15,6,(ROW(DA_SAP!$F$3:$F$423)-2)/(DA_SAP!$F$3:$F$423=$A$65)*($A$65&lt;&gt;""),ROW()-67)+2)),"")</f>
        <v/>
      </c>
      <c r="D112" s="118" t="str">
        <f>IF($H$4="EFFACER","",IFERROR(INDEX(DA_SAP!$D:$D,(_xlfn.AGGREGATE(15,6,(ROW(DA_SAP!$F$3:$F$423)-2)/(DA_SAP!$F$3:$F$423=$A$65)*($A$65&lt;&gt;""),ROW()-67)+2)),""))</f>
        <v/>
      </c>
      <c r="E112" s="119" t="str">
        <f t="shared" si="3"/>
        <v/>
      </c>
    </row>
    <row r="113" spans="1:5" x14ac:dyDescent="0.25">
      <c r="A113" s="117" t="str">
        <f>IFERROR(INDEX(DA_SAP!$A:$A,(_xlfn.AGGREGATE(15,6,(ROW(DA_SAP!$F$3:$F$423)-2)/(DA_SAP!$F$3:$F$423=$A$65)*($A$65&lt;&gt;""),ROW()-67)+2)),"")</f>
        <v/>
      </c>
      <c r="B113" s="118" t="str">
        <f>IFERROR(INDEX(DA_SAP!$B:$B,(_xlfn.AGGREGATE(15,6,(ROW(DA_SAP!$F$3:$F$423)-2)/(DA_SAP!$F$3:$F$423=$A$65)*($A$65&lt;&gt;""),ROW()-67)+2)),"")</f>
        <v/>
      </c>
      <c r="C113" s="118" t="str">
        <f>IFERROR(INDEX(DA_SAP!$C:$C,(_xlfn.AGGREGATE(15,6,(ROW(DA_SAP!$F$3:$F$423)-2)/(DA_SAP!$F$3:$F$423=$A$65)*($A$65&lt;&gt;""),ROW()-67)+2)),"")</f>
        <v/>
      </c>
      <c r="D113" s="118" t="str">
        <f>IF($H$4="EFFACER","",IFERROR(INDEX(DA_SAP!$D:$D,(_xlfn.AGGREGATE(15,6,(ROW(DA_SAP!$F$3:$F$423)-2)/(DA_SAP!$F$3:$F$423=$A$65)*($A$65&lt;&gt;""),ROW()-67)+2)),""))</f>
        <v/>
      </c>
      <c r="E113" s="119" t="str">
        <f t="shared" si="3"/>
        <v/>
      </c>
    </row>
    <row r="114" spans="1:5" x14ac:dyDescent="0.25">
      <c r="A114" s="117" t="str">
        <f>IFERROR(INDEX(DA_SAP!$A:$A,(_xlfn.AGGREGATE(15,6,(ROW(DA_SAP!$F$3:$F$423)-2)/(DA_SAP!$F$3:$F$423=$A$65)*($A$65&lt;&gt;""),ROW()-67)+2)),"")</f>
        <v/>
      </c>
      <c r="B114" s="118" t="str">
        <f>IFERROR(INDEX(DA_SAP!$B:$B,(_xlfn.AGGREGATE(15,6,(ROW(DA_SAP!$F$3:$F$423)-2)/(DA_SAP!$F$3:$F$423=$A$65)*($A$65&lt;&gt;""),ROW()-67)+2)),"")</f>
        <v/>
      </c>
      <c r="C114" s="118" t="str">
        <f>IFERROR(INDEX(DA_SAP!$C:$C,(_xlfn.AGGREGATE(15,6,(ROW(DA_SAP!$F$3:$F$423)-2)/(DA_SAP!$F$3:$F$423=$A$65)*($A$65&lt;&gt;""),ROW()-67)+2)),"")</f>
        <v/>
      </c>
      <c r="D114" s="118" t="str">
        <f>IF($H$4="EFFACER","",IFERROR(INDEX(DA_SAP!$D:$D,(_xlfn.AGGREGATE(15,6,(ROW(DA_SAP!$F$3:$F$423)-2)/(DA_SAP!$F$3:$F$423=$A$65)*($A$65&lt;&gt;""),ROW()-67)+2)),""))</f>
        <v/>
      </c>
      <c r="E114" s="119" t="str">
        <f t="shared" si="3"/>
        <v/>
      </c>
    </row>
    <row r="115" spans="1:5" x14ac:dyDescent="0.25">
      <c r="A115" s="117" t="str">
        <f>IFERROR(INDEX(DA_SAP!$A:$A,(_xlfn.AGGREGATE(15,6,(ROW(DA_SAP!$F$3:$F$423)-2)/(DA_SAP!$F$3:$F$423=$A$65)*($A$65&lt;&gt;""),ROW()-67)+2)),"")</f>
        <v/>
      </c>
      <c r="B115" s="118" t="str">
        <f>IFERROR(INDEX(DA_SAP!$B:$B,(_xlfn.AGGREGATE(15,6,(ROW(DA_SAP!$F$3:$F$423)-2)/(DA_SAP!$F$3:$F$423=$A$65)*($A$65&lt;&gt;""),ROW()-67)+2)),"")</f>
        <v/>
      </c>
      <c r="C115" s="118" t="str">
        <f>IFERROR(INDEX(DA_SAP!$C:$C,(_xlfn.AGGREGATE(15,6,(ROW(DA_SAP!$F$3:$F$423)-2)/(DA_SAP!$F$3:$F$423=$A$65)*($A$65&lt;&gt;""),ROW()-67)+2)),"")</f>
        <v/>
      </c>
      <c r="D115" s="118" t="str">
        <f>IF($H$4="EFFACER","",IFERROR(INDEX(DA_SAP!$D:$D,(_xlfn.AGGREGATE(15,6,(ROW(DA_SAP!$F$3:$F$423)-2)/(DA_SAP!$F$3:$F$423=$A$65)*($A$65&lt;&gt;""),ROW()-67)+2)),""))</f>
        <v/>
      </c>
      <c r="E115" s="119" t="str">
        <f t="shared" si="3"/>
        <v/>
      </c>
    </row>
    <row r="116" spans="1:5" x14ac:dyDescent="0.25">
      <c r="A116" s="117" t="str">
        <f>IFERROR(INDEX(DA_SAP!$A:$A,(_xlfn.AGGREGATE(15,6,(ROW(DA_SAP!$F$3:$F$423)-2)/(DA_SAP!$F$3:$F$423=$A$65)*($A$65&lt;&gt;""),ROW()-67)+2)),"")</f>
        <v/>
      </c>
      <c r="B116" s="118" t="str">
        <f>IFERROR(INDEX(DA_SAP!$B:$B,(_xlfn.AGGREGATE(15,6,(ROW(DA_SAP!$F$3:$F$423)-2)/(DA_SAP!$F$3:$F$423=$A$65)*($A$65&lt;&gt;""),ROW()-67)+2)),"")</f>
        <v/>
      </c>
      <c r="C116" s="118" t="str">
        <f>IFERROR(INDEX(DA_SAP!$C:$C,(_xlfn.AGGREGATE(15,6,(ROW(DA_SAP!$F$3:$F$423)-2)/(DA_SAP!$F$3:$F$423=$A$65)*($A$65&lt;&gt;""),ROW()-67)+2)),"")</f>
        <v/>
      </c>
      <c r="D116" s="118" t="str">
        <f>IF($H$4="EFFACER","",IFERROR(INDEX(DA_SAP!$D:$D,(_xlfn.AGGREGATE(15,6,(ROW(DA_SAP!$F$3:$F$423)-2)/(DA_SAP!$F$3:$F$423=$A$65)*($A$65&lt;&gt;""),ROW()-67)+2)),""))</f>
        <v/>
      </c>
      <c r="E116" s="119" t="str">
        <f t="shared" si="3"/>
        <v/>
      </c>
    </row>
    <row r="117" spans="1:5" x14ac:dyDescent="0.25">
      <c r="A117" s="117" t="str">
        <f>IFERROR(INDEX(DA_SAP!$A:$A,(_xlfn.AGGREGATE(15,6,(ROW(DA_SAP!$F$3:$F$423)-2)/(DA_SAP!$F$3:$F$423=$A$65)*($A$65&lt;&gt;""),ROW()-67)+2)),"")</f>
        <v/>
      </c>
      <c r="B117" s="118" t="str">
        <f>IFERROR(INDEX(DA_SAP!$B:$B,(_xlfn.AGGREGATE(15,6,(ROW(DA_SAP!$F$3:$F$423)-2)/(DA_SAP!$F$3:$F$423=$A$65)*($A$65&lt;&gt;""),ROW()-67)+2)),"")</f>
        <v/>
      </c>
      <c r="C117" s="118" t="str">
        <f>IFERROR(INDEX(DA_SAP!$C:$C,(_xlfn.AGGREGATE(15,6,(ROW(DA_SAP!$F$3:$F$423)-2)/(DA_SAP!$F$3:$F$423=$A$65)*($A$65&lt;&gt;""),ROW()-67)+2)),"")</f>
        <v/>
      </c>
      <c r="D117" s="118" t="str">
        <f>IF($H$4="EFFACER","",IFERROR(INDEX(DA_SAP!$D:$D,(_xlfn.AGGREGATE(15,6,(ROW(DA_SAP!$F$3:$F$423)-2)/(DA_SAP!$F$3:$F$423=$A$65)*($A$65&lt;&gt;""),ROW()-67)+2)),""))</f>
        <v/>
      </c>
      <c r="E117" s="119" t="str">
        <f t="shared" si="3"/>
        <v/>
      </c>
    </row>
    <row r="118" spans="1:5" x14ac:dyDescent="0.25">
      <c r="A118" s="117" t="str">
        <f>IFERROR(INDEX(DA_SAP!$A:$A,(_xlfn.AGGREGATE(15,6,(ROW(DA_SAP!$F$3:$F$423)-2)/(DA_SAP!$F$3:$F$423=$A$65)*($A$65&lt;&gt;""),ROW()-67)+2)),"")</f>
        <v/>
      </c>
      <c r="B118" s="118" t="str">
        <f>IFERROR(INDEX(DA_SAP!$B:$B,(_xlfn.AGGREGATE(15,6,(ROW(DA_SAP!$F$3:$F$423)-2)/(DA_SAP!$F$3:$F$423=$A$65)*($A$65&lt;&gt;""),ROW()-67)+2)),"")</f>
        <v/>
      </c>
      <c r="C118" s="118" t="str">
        <f>IFERROR(INDEX(DA_SAP!$C:$C,(_xlfn.AGGREGATE(15,6,(ROW(DA_SAP!$F$3:$F$423)-2)/(DA_SAP!$F$3:$F$423=$A$65)*($A$65&lt;&gt;""),ROW()-67)+2)),"")</f>
        <v/>
      </c>
      <c r="D118" s="118" t="str">
        <f>IF($H$4="EFFACER","",IFERROR(INDEX(DA_SAP!$D:$D,(_xlfn.AGGREGATE(15,6,(ROW(DA_SAP!$F$3:$F$423)-2)/(DA_SAP!$F$3:$F$423=$A$65)*($A$65&lt;&gt;""),ROW()-67)+2)),""))</f>
        <v/>
      </c>
      <c r="E118" s="119" t="str">
        <f t="shared" si="3"/>
        <v/>
      </c>
    </row>
    <row r="119" spans="1:5" x14ac:dyDescent="0.25">
      <c r="A119" s="117" t="str">
        <f>IFERROR(INDEX(DA_SAP!$A:$A,(_xlfn.AGGREGATE(15,6,(ROW(DA_SAP!$F$3:$F$423)-2)/(DA_SAP!$F$3:$F$423=$A$65)*($A$65&lt;&gt;""),ROW()-67)+2)),"")</f>
        <v/>
      </c>
      <c r="B119" s="118" t="str">
        <f>IFERROR(INDEX(DA_SAP!$B:$B,(_xlfn.AGGREGATE(15,6,(ROW(DA_SAP!$F$3:$F$423)-2)/(DA_SAP!$F$3:$F$423=$A$65)*($A$65&lt;&gt;""),ROW()-67)+2)),"")</f>
        <v/>
      </c>
      <c r="C119" s="118" t="str">
        <f>IFERROR(INDEX(DA_SAP!$C:$C,(_xlfn.AGGREGATE(15,6,(ROW(DA_SAP!$F$3:$F$423)-2)/(DA_SAP!$F$3:$F$423=$A$65)*($A$65&lt;&gt;""),ROW()-67)+2)),"")</f>
        <v/>
      </c>
      <c r="D119" s="118" t="str">
        <f>IF($H$4="EFFACER","",IFERROR(INDEX(DA_SAP!$D:$D,(_xlfn.AGGREGATE(15,6,(ROW(DA_SAP!$F$3:$F$423)-2)/(DA_SAP!$F$3:$F$423=$A$65)*($A$65&lt;&gt;""),ROW()-67)+2)),""))</f>
        <v/>
      </c>
      <c r="E119" s="119" t="str">
        <f t="shared" si="3"/>
        <v/>
      </c>
    </row>
    <row r="120" spans="1:5" x14ac:dyDescent="0.25">
      <c r="A120" s="117" t="str">
        <f>IFERROR(INDEX(DA_SAP!$A:$A,(_xlfn.AGGREGATE(15,6,(ROW(DA_SAP!$F$3:$F$423)-2)/(DA_SAP!$F$3:$F$423=$A$65)*($A$65&lt;&gt;""),ROW()-67)+2)),"")</f>
        <v/>
      </c>
      <c r="B120" s="118" t="str">
        <f>IFERROR(INDEX(DA_SAP!$B:$B,(_xlfn.AGGREGATE(15,6,(ROW(DA_SAP!$F$3:$F$423)-2)/(DA_SAP!$F$3:$F$423=$A$65)*($A$65&lt;&gt;""),ROW()-67)+2)),"")</f>
        <v/>
      </c>
      <c r="C120" s="118" t="str">
        <f>IFERROR(INDEX(DA_SAP!$C:$C,(_xlfn.AGGREGATE(15,6,(ROW(DA_SAP!$F$3:$F$423)-2)/(DA_SAP!$F$3:$F$423=$A$65)*($A$65&lt;&gt;""),ROW()-67)+2)),"")</f>
        <v/>
      </c>
      <c r="D120" s="118" t="str">
        <f>IF($H$4="EFFACER","",IFERROR(INDEX(DA_SAP!$D:$D,(_xlfn.AGGREGATE(15,6,(ROW(DA_SAP!$F$3:$F$423)-2)/(DA_SAP!$F$3:$F$423=$A$65)*($A$65&lt;&gt;""),ROW()-67)+2)),""))</f>
        <v/>
      </c>
      <c r="E120" s="119" t="str">
        <f t="shared" si="3"/>
        <v/>
      </c>
    </row>
    <row r="121" spans="1:5" x14ac:dyDescent="0.25">
      <c r="A121" s="117" t="str">
        <f>IFERROR(INDEX(DA_SAP!$A:$A,(_xlfn.AGGREGATE(15,6,(ROW(DA_SAP!$F$3:$F$423)-2)/(DA_SAP!$F$3:$F$423=$A$65)*($A$65&lt;&gt;""),ROW()-67)+2)),"")</f>
        <v/>
      </c>
      <c r="B121" s="118" t="str">
        <f>IFERROR(INDEX(DA_SAP!$B:$B,(_xlfn.AGGREGATE(15,6,(ROW(DA_SAP!$F$3:$F$423)-2)/(DA_SAP!$F$3:$F$423=$A$65)*($A$65&lt;&gt;""),ROW()-67)+2)),"")</f>
        <v/>
      </c>
      <c r="C121" s="118" t="str">
        <f>IFERROR(INDEX(DA_SAP!$C:$C,(_xlfn.AGGREGATE(15,6,(ROW(DA_SAP!$F$3:$F$423)-2)/(DA_SAP!$F$3:$F$423=$A$65)*($A$65&lt;&gt;""),ROW()-67)+2)),"")</f>
        <v/>
      </c>
      <c r="D121" s="118" t="str">
        <f>IF($H$4="EFFACER","",IFERROR(INDEX(DA_SAP!$D:$D,(_xlfn.AGGREGATE(15,6,(ROW(DA_SAP!$F$3:$F$423)-2)/(DA_SAP!$F$3:$F$423=$A$65)*($A$65&lt;&gt;""),ROW()-67)+2)),""))</f>
        <v/>
      </c>
      <c r="E121" s="119" t="str">
        <f t="shared" si="3"/>
        <v/>
      </c>
    </row>
    <row r="122" spans="1:5" x14ac:dyDescent="0.25">
      <c r="A122" s="117" t="str">
        <f>IFERROR(INDEX(DA_SAP!$A:$A,(_xlfn.AGGREGATE(15,6,(ROW(DA_SAP!$F$3:$F$423)-2)/(DA_SAP!$F$3:$F$423=$A$65)*($A$65&lt;&gt;""),ROW()-67)+2)),"")</f>
        <v/>
      </c>
      <c r="B122" s="118" t="str">
        <f>IFERROR(INDEX(DA_SAP!$B:$B,(_xlfn.AGGREGATE(15,6,(ROW(DA_SAP!$F$3:$F$423)-2)/(DA_SAP!$F$3:$F$423=$A$65)*($A$65&lt;&gt;""),ROW()-67)+2)),"")</f>
        <v/>
      </c>
      <c r="C122" s="118" t="str">
        <f>IFERROR(INDEX(DA_SAP!$C:$C,(_xlfn.AGGREGATE(15,6,(ROW(DA_SAP!$F$3:$F$423)-2)/(DA_SAP!$F$3:$F$423=$A$65)*($A$65&lt;&gt;""),ROW()-67)+2)),"")</f>
        <v/>
      </c>
      <c r="D122" s="118" t="str">
        <f>IF($H$4="EFFACER","",IFERROR(INDEX(DA_SAP!$D:$D,(_xlfn.AGGREGATE(15,6,(ROW(DA_SAP!$F$3:$F$423)-2)/(DA_SAP!$F$3:$F$423=$A$65)*($A$65&lt;&gt;""),ROW()-67)+2)),""))</f>
        <v/>
      </c>
      <c r="E122" s="119" t="str">
        <f t="shared" si="3"/>
        <v/>
      </c>
    </row>
    <row r="123" spans="1:5" x14ac:dyDescent="0.25">
      <c r="A123" s="117" t="str">
        <f>IFERROR(INDEX(DA_SAP!$A:$A,(_xlfn.AGGREGATE(15,6,(ROW(DA_SAP!$F$3:$F$423)-2)/(DA_SAP!$F$3:$F$423=$A$65)*($A$65&lt;&gt;""),ROW()-67)+2)),"")</f>
        <v/>
      </c>
      <c r="B123" s="118" t="str">
        <f>IFERROR(INDEX(DA_SAP!$B:$B,(_xlfn.AGGREGATE(15,6,(ROW(DA_SAP!$F$3:$F$423)-2)/(DA_SAP!$F$3:$F$423=$A$65)*($A$65&lt;&gt;""),ROW()-67)+2)),"")</f>
        <v/>
      </c>
      <c r="C123" s="118" t="str">
        <f>IFERROR(INDEX(DA_SAP!$C:$C,(_xlfn.AGGREGATE(15,6,(ROW(DA_SAP!$F$3:$F$423)-2)/(DA_SAP!$F$3:$F$423=$A$65)*($A$65&lt;&gt;""),ROW()-67)+2)),"")</f>
        <v/>
      </c>
      <c r="D123" s="118" t="str">
        <f>IF($H$4="EFFACER","",IFERROR(INDEX(DA_SAP!$D:$D,(_xlfn.AGGREGATE(15,6,(ROW(DA_SAP!$F$3:$F$423)-2)/(DA_SAP!$F$3:$F$423=$A$65)*($A$65&lt;&gt;""),ROW()-67)+2)),""))</f>
        <v/>
      </c>
      <c r="E123" s="119" t="str">
        <f t="shared" si="3"/>
        <v/>
      </c>
    </row>
    <row r="124" spans="1:5" x14ac:dyDescent="0.25">
      <c r="A124" s="117" t="str">
        <f>IFERROR(INDEX(DA_SAP!$A:$A,(_xlfn.AGGREGATE(15,6,(ROW(DA_SAP!$F$3:$F$423)-2)/(DA_SAP!$F$3:$F$423=$A$65)*($A$65&lt;&gt;""),ROW()-67)+2)),"")</f>
        <v/>
      </c>
      <c r="B124" s="118" t="str">
        <f>IFERROR(INDEX(DA_SAP!$B:$B,(_xlfn.AGGREGATE(15,6,(ROW(DA_SAP!$F$3:$F$423)-2)/(DA_SAP!$F$3:$F$423=$A$65)*($A$65&lt;&gt;""),ROW()-67)+2)),"")</f>
        <v/>
      </c>
      <c r="C124" s="118" t="str">
        <f>IFERROR(INDEX(DA_SAP!$C:$C,(_xlfn.AGGREGATE(15,6,(ROW(DA_SAP!$F$3:$F$423)-2)/(DA_SAP!$F$3:$F$423=$A$65)*($A$65&lt;&gt;""),ROW()-67)+2)),"")</f>
        <v/>
      </c>
      <c r="D124" s="118" t="str">
        <f>IF($H$4="EFFACER","",IFERROR(INDEX(DA_SAP!$D:$D,(_xlfn.AGGREGATE(15,6,(ROW(DA_SAP!$F$3:$F$423)-2)/(DA_SAP!$F$3:$F$423=$A$65)*($A$65&lt;&gt;""),ROW()-67)+2)),""))</f>
        <v/>
      </c>
      <c r="E124" s="119" t="str">
        <f t="shared" si="3"/>
        <v/>
      </c>
    </row>
    <row r="125" spans="1:5" x14ac:dyDescent="0.25">
      <c r="A125" s="117" t="str">
        <f>IFERROR(INDEX(DA_SAP!$A:$A,(_xlfn.AGGREGATE(15,6,(ROW(DA_SAP!$F$3:$F$423)-2)/(DA_SAP!$F$3:$F$423=$A$65)*($A$65&lt;&gt;""),ROW()-67)+2)),"")</f>
        <v/>
      </c>
      <c r="B125" s="118" t="str">
        <f>IFERROR(INDEX(DA_SAP!$B:$B,(_xlfn.AGGREGATE(15,6,(ROW(DA_SAP!$F$3:$F$423)-2)/(DA_SAP!$F$3:$F$423=$A$65)*($A$65&lt;&gt;""),ROW()-67)+2)),"")</f>
        <v/>
      </c>
      <c r="C125" s="118" t="str">
        <f>IFERROR(INDEX(DA_SAP!$C:$C,(_xlfn.AGGREGATE(15,6,(ROW(DA_SAP!$F$3:$F$423)-2)/(DA_SAP!$F$3:$F$423=$A$65)*($A$65&lt;&gt;""),ROW()-67)+2)),"")</f>
        <v/>
      </c>
      <c r="D125" s="118" t="str">
        <f>IF($H$4="EFFACER","",IFERROR(INDEX(DA_SAP!$D:$D,(_xlfn.AGGREGATE(15,6,(ROW(DA_SAP!$F$3:$F$423)-2)/(DA_SAP!$F$3:$F$423=$A$65)*($A$65&lt;&gt;""),ROW()-67)+2)),""))</f>
        <v/>
      </c>
      <c r="E125" s="119" t="str">
        <f t="shared" si="3"/>
        <v/>
      </c>
    </row>
    <row r="126" spans="1:5" x14ac:dyDescent="0.25">
      <c r="A126" s="117" t="str">
        <f>IFERROR(INDEX(DA_SAP!$A:$A,(_xlfn.AGGREGATE(15,6,(ROW(DA_SAP!$F$3:$F$423)-2)/(DA_SAP!$F$3:$F$423=$A$65)*($A$65&lt;&gt;""),ROW()-67)+2)),"")</f>
        <v/>
      </c>
      <c r="B126" s="118" t="str">
        <f>IFERROR(INDEX(DA_SAP!$B:$B,(_xlfn.AGGREGATE(15,6,(ROW(DA_SAP!$F$3:$F$423)-2)/(DA_SAP!$F$3:$F$423=$A$65)*($A$65&lt;&gt;""),ROW()-67)+2)),"")</f>
        <v/>
      </c>
      <c r="C126" s="118" t="str">
        <f>IFERROR(INDEX(DA_SAP!$C:$C,(_xlfn.AGGREGATE(15,6,(ROW(DA_SAP!$F$3:$F$423)-2)/(DA_SAP!$F$3:$F$423=$A$65)*($A$65&lt;&gt;""),ROW()-67)+2)),"")</f>
        <v/>
      </c>
      <c r="D126" s="118" t="str">
        <f>IF($H$4="EFFACER","",IFERROR(INDEX(DA_SAP!$D:$D,(_xlfn.AGGREGATE(15,6,(ROW(DA_SAP!$F$3:$F$423)-2)/(DA_SAP!$F$3:$F$423=$A$65)*($A$65&lt;&gt;""),ROW()-67)+2)),""))</f>
        <v/>
      </c>
      <c r="E126" s="119" t="str">
        <f t="shared" si="3"/>
        <v/>
      </c>
    </row>
    <row r="127" spans="1:5" ht="15.75" customHeight="1" x14ac:dyDescent="0.25"/>
    <row r="128" spans="1:5" ht="15.75" customHeight="1" x14ac:dyDescent="0.3">
      <c r="A128" s="111" t="str">
        <f>IFERROR(INDEX(Catalogue!$K:$K,_xlfn.AGGREGATE(15,6,(ROW(Catalogue!$L$4:$L$454))/(Catalogue!$L$4:$L$454=1),3)),"")</f>
        <v>TYCO / ROLLAND</v>
      </c>
      <c r="B128" s="112"/>
      <c r="C128" s="112"/>
      <c r="D128" s="112"/>
      <c r="E128" s="113"/>
    </row>
    <row r="129" spans="1:5" x14ac:dyDescent="0.25">
      <c r="A129" s="114" t="s">
        <v>1026</v>
      </c>
      <c r="B129" s="115" t="s">
        <v>1027</v>
      </c>
      <c r="C129" s="115" t="s">
        <v>1152</v>
      </c>
      <c r="D129" s="115" t="s">
        <v>1029</v>
      </c>
      <c r="E129" s="116" t="s">
        <v>1153</v>
      </c>
    </row>
    <row r="130" spans="1:5" x14ac:dyDescent="0.25">
      <c r="A130" s="117" t="str">
        <f>IFERROR(INDEX(DA_SAP!$A:$A,(_xlfn.AGGREGATE(15,6,(ROW(DA_SAP!$F$3:$F$423)-2)/(DA_SAP!$F$3:$F$423=$A$128)*($A$128&lt;&gt;""),ROW()-130)+2)),"")</f>
        <v/>
      </c>
      <c r="B130" s="118" t="str">
        <f>IFERROR(INDEX(DA_SAP!$B:$B,(_xlfn.AGGREGATE(15,6,(ROW(DA_SAP!$F$3:$F$423)-2)/(DA_SAP!$F$3:$F$423=$A$128)*($A$128&lt;&gt;""),ROW()-130)+2)),"")</f>
        <v/>
      </c>
      <c r="C130" s="118" t="str">
        <f>IFERROR(INDEX(DA_SAP!$C:$C,(_xlfn.AGGREGATE(15,6,(ROW(DA_SAP!$F$3:$F$423)-2)/(DA_SAP!$F$3:$F$423=$A$128)*($A$128&lt;&gt;""),ROW()-130)+2)),"")</f>
        <v/>
      </c>
      <c r="D130" s="118" t="str">
        <f>IF($H$4="EFFACER","",IFERROR(INDEX(DA_SAP!$D:$D,(_xlfn.AGGREGATE(15,6,(ROW(DA_SAP!$F$3:$F$423)-2)/(DA_SAP!$F$3:$F$423=$A$128)*($A$128&lt;&gt;""),ROW()-130)+2)),""))</f>
        <v/>
      </c>
      <c r="E130" s="119" t="str">
        <f>IFERROR(INDEX(DA_SAP!$E:$E,(_xlfn.AGGREGATE(15,6,(ROW(DA_SAP!$F$3:$F$423)-2)/(DA_SAP!$F$3:$F$423=$A$128)*($A$128&lt;&gt;""),ROW()-130)+2)),"")</f>
        <v/>
      </c>
    </row>
    <row r="131" spans="1:5" x14ac:dyDescent="0.25">
      <c r="A131" s="117" t="str">
        <f>IFERROR(INDEX(DA_SAP!$A:$A,(_xlfn.AGGREGATE(15,6,(ROW(DA_SAP!$F$3:$F$423)-2)/(DA_SAP!$F$3:$F$423=$A$128)*($A$128&lt;&gt;""),ROW()-130)+2)),"")</f>
        <v/>
      </c>
      <c r="B131" s="118" t="str">
        <f>IFERROR(INDEX(DA_SAP!$B:$B,(_xlfn.AGGREGATE(15,6,(ROW(DA_SAP!$F$3:$F$423)-2)/(DA_SAP!$F$3:$F$423=$A$128)*($A$128&lt;&gt;""),ROW()-130)+2)),"")</f>
        <v/>
      </c>
      <c r="C131" s="118" t="str">
        <f>IFERROR(INDEX(DA_SAP!$C:$C,(_xlfn.AGGREGATE(15,6,(ROW(DA_SAP!$F$3:$F$423)-2)/(DA_SAP!$F$3:$F$423=$A$128)*($A$128&lt;&gt;""),ROW()-130)+2)),"")</f>
        <v/>
      </c>
      <c r="D131" s="118" t="str">
        <f>IF($H$4="EFFACER","",IFERROR(INDEX(DA_SAP!$D:$D,(_xlfn.AGGREGATE(15,6,(ROW(DA_SAP!$F$3:$F$423)-2)/(DA_SAP!$F$3:$F$423=$A$128)*($A$128&lt;&gt;""),ROW()-130)+2)),""))</f>
        <v/>
      </c>
      <c r="E131" s="119" t="str">
        <f t="shared" ref="E131:E162" si="4">IF($A131="","",$H$1)</f>
        <v/>
      </c>
    </row>
    <row r="132" spans="1:5" x14ac:dyDescent="0.25">
      <c r="A132" s="117" t="str">
        <f>IFERROR(INDEX(DA_SAP!$A:$A,(_xlfn.AGGREGATE(15,6,(ROW(DA_SAP!$F$3:$F$423)-2)/(DA_SAP!$F$3:$F$423=$A$128)*($A$128&lt;&gt;""),ROW()-130)+2)),"")</f>
        <v/>
      </c>
      <c r="B132" s="118" t="str">
        <f>IFERROR(INDEX(DA_SAP!$B:$B,(_xlfn.AGGREGATE(15,6,(ROW(DA_SAP!$F$3:$F$423)-2)/(DA_SAP!$F$3:$F$423=$A$128)*($A$128&lt;&gt;""),ROW()-130)+2)),"")</f>
        <v/>
      </c>
      <c r="C132" s="118" t="str">
        <f>IFERROR(INDEX(DA_SAP!$C:$C,(_xlfn.AGGREGATE(15,6,(ROW(DA_SAP!$F$3:$F$423)-2)/(DA_SAP!$F$3:$F$423=$A$128)*($A$128&lt;&gt;""),ROW()-130)+2)),"")</f>
        <v/>
      </c>
      <c r="D132" s="118" t="str">
        <f>IF($H$4="EFFACER","",IFERROR(INDEX(DA_SAP!$D:$D,(_xlfn.AGGREGATE(15,6,(ROW(DA_SAP!$F$3:$F$423)-2)/(DA_SAP!$F$3:$F$423=$A$128)*($A$128&lt;&gt;""),ROW()-130)+2)),""))</f>
        <v/>
      </c>
      <c r="E132" s="119" t="str">
        <f t="shared" si="4"/>
        <v/>
      </c>
    </row>
    <row r="133" spans="1:5" x14ac:dyDescent="0.25">
      <c r="A133" s="117" t="str">
        <f>IFERROR(INDEX(DA_SAP!$A:$A,(_xlfn.AGGREGATE(15,6,(ROW(DA_SAP!$F$3:$F$423)-2)/(DA_SAP!$F$3:$F$423=$A$128)*($A$128&lt;&gt;""),ROW()-130)+2)),"")</f>
        <v/>
      </c>
      <c r="B133" s="118" t="str">
        <f>IFERROR(INDEX(DA_SAP!$B:$B,(_xlfn.AGGREGATE(15,6,(ROW(DA_SAP!$F$3:$F$423)-2)/(DA_SAP!$F$3:$F$423=$A$128)*($A$128&lt;&gt;""),ROW()-130)+2)),"")</f>
        <v/>
      </c>
      <c r="C133" s="118" t="str">
        <f>IFERROR(INDEX(DA_SAP!$C:$C,(_xlfn.AGGREGATE(15,6,(ROW(DA_SAP!$F$3:$F$423)-2)/(DA_SAP!$F$3:$F$423=$A$128)*($A$128&lt;&gt;""),ROW()-130)+2)),"")</f>
        <v/>
      </c>
      <c r="D133" s="118" t="str">
        <f>IF($H$4="EFFACER","",IFERROR(INDEX(DA_SAP!$D:$D,(_xlfn.AGGREGATE(15,6,(ROW(DA_SAP!$F$3:$F$423)-2)/(DA_SAP!$F$3:$F$423=$A$128)*($A$128&lt;&gt;""),ROW()-130)+2)),""))</f>
        <v/>
      </c>
      <c r="E133" s="119" t="str">
        <f t="shared" si="4"/>
        <v/>
      </c>
    </row>
    <row r="134" spans="1:5" x14ac:dyDescent="0.25">
      <c r="A134" s="117" t="str">
        <f>IFERROR(INDEX(DA_SAP!$A:$A,(_xlfn.AGGREGATE(15,6,(ROW(DA_SAP!$F$3:$F$423)-2)/(DA_SAP!$F$3:$F$423=$A$128)*($A$128&lt;&gt;""),ROW()-130)+2)),"")</f>
        <v/>
      </c>
      <c r="B134" s="118" t="str">
        <f>IFERROR(INDEX(DA_SAP!$B:$B,(_xlfn.AGGREGATE(15,6,(ROW(DA_SAP!$F$3:$F$423)-2)/(DA_SAP!$F$3:$F$423=$A$128)*($A$128&lt;&gt;""),ROW()-130)+2)),"")</f>
        <v/>
      </c>
      <c r="C134" s="118" t="str">
        <f>IFERROR(INDEX(DA_SAP!$C:$C,(_xlfn.AGGREGATE(15,6,(ROW(DA_SAP!$F$3:$F$423)-2)/(DA_SAP!$F$3:$F$423=$A$128)*($A$128&lt;&gt;""),ROW()-130)+2)),"")</f>
        <v/>
      </c>
      <c r="D134" s="118" t="str">
        <f>IF($H$4="EFFACER","",IFERROR(INDEX(DA_SAP!$D:$D,(_xlfn.AGGREGATE(15,6,(ROW(DA_SAP!$F$3:$F$423)-2)/(DA_SAP!$F$3:$F$423=$A$128)*($A$128&lt;&gt;""),ROW()-130)+2)),""))</f>
        <v/>
      </c>
      <c r="E134" s="119" t="str">
        <f t="shared" si="4"/>
        <v/>
      </c>
    </row>
    <row r="135" spans="1:5" x14ac:dyDescent="0.25">
      <c r="A135" s="117" t="str">
        <f>IFERROR(INDEX(DA_SAP!$A:$A,(_xlfn.AGGREGATE(15,6,(ROW(DA_SAP!$F$3:$F$423)-2)/(DA_SAP!$F$3:$F$423=$A$128)*($A$128&lt;&gt;""),ROW()-130)+2)),"")</f>
        <v/>
      </c>
      <c r="B135" s="118" t="str">
        <f>IFERROR(INDEX(DA_SAP!$B:$B,(_xlfn.AGGREGATE(15,6,(ROW(DA_SAP!$F$3:$F$423)-2)/(DA_SAP!$F$3:$F$423=$A$128)*($A$128&lt;&gt;""),ROW()-130)+2)),"")</f>
        <v/>
      </c>
      <c r="C135" s="118" t="str">
        <f>IFERROR(INDEX(DA_SAP!$C:$C,(_xlfn.AGGREGATE(15,6,(ROW(DA_SAP!$F$3:$F$423)-2)/(DA_SAP!$F$3:$F$423=$A$128)*($A$128&lt;&gt;""),ROW()-130)+2)),"")</f>
        <v/>
      </c>
      <c r="D135" s="118" t="str">
        <f>IF($H$4="EFFACER","",IFERROR(INDEX(DA_SAP!$D:$D,(_xlfn.AGGREGATE(15,6,(ROW(DA_SAP!$F$3:$F$423)-2)/(DA_SAP!$F$3:$F$423=$A$128)*($A$128&lt;&gt;""),ROW()-130)+2)),""))</f>
        <v/>
      </c>
      <c r="E135" s="119" t="str">
        <f t="shared" si="4"/>
        <v/>
      </c>
    </row>
    <row r="136" spans="1:5" x14ac:dyDescent="0.25">
      <c r="A136" s="117" t="str">
        <f>IFERROR(INDEX(DA_SAP!$A:$A,(_xlfn.AGGREGATE(15,6,(ROW(DA_SAP!$F$3:$F$423)-2)/(DA_SAP!$F$3:$F$423=$A$128)*($A$128&lt;&gt;""),ROW()-130)+2)),"")</f>
        <v/>
      </c>
      <c r="B136" s="118" t="str">
        <f>IFERROR(INDEX(DA_SAP!$B:$B,(_xlfn.AGGREGATE(15,6,(ROW(DA_SAP!$F$3:$F$423)-2)/(DA_SAP!$F$3:$F$423=$A$128)*($A$128&lt;&gt;""),ROW()-130)+2)),"")</f>
        <v/>
      </c>
      <c r="C136" s="118" t="str">
        <f>IFERROR(INDEX(DA_SAP!$C:$C,(_xlfn.AGGREGATE(15,6,(ROW(DA_SAP!$F$3:$F$423)-2)/(DA_SAP!$F$3:$F$423=$A$128)*($A$128&lt;&gt;""),ROW()-130)+2)),"")</f>
        <v/>
      </c>
      <c r="D136" s="118" t="str">
        <f>IF($H$4="EFFACER","",IFERROR(INDEX(DA_SAP!$D:$D,(_xlfn.AGGREGATE(15,6,(ROW(DA_SAP!$F$3:$F$423)-2)/(DA_SAP!$F$3:$F$423=$A$128)*($A$128&lt;&gt;""),ROW()-130)+2)),""))</f>
        <v/>
      </c>
      <c r="E136" s="119" t="str">
        <f t="shared" si="4"/>
        <v/>
      </c>
    </row>
    <row r="137" spans="1:5" x14ac:dyDescent="0.25">
      <c r="A137" s="117" t="str">
        <f>IFERROR(INDEX(DA_SAP!$A:$A,(_xlfn.AGGREGATE(15,6,(ROW(DA_SAP!$F$3:$F$423)-2)/(DA_SAP!$F$3:$F$423=$A$128)*($A$128&lt;&gt;""),ROW()-130)+2)),"")</f>
        <v/>
      </c>
      <c r="B137" s="118" t="str">
        <f>IFERROR(INDEX(DA_SAP!$B:$B,(_xlfn.AGGREGATE(15,6,(ROW(DA_SAP!$F$3:$F$423)-2)/(DA_SAP!$F$3:$F$423=$A$128)*($A$128&lt;&gt;""),ROW()-130)+2)),"")</f>
        <v/>
      </c>
      <c r="C137" s="118" t="str">
        <f>IFERROR(INDEX(DA_SAP!$C:$C,(_xlfn.AGGREGATE(15,6,(ROW(DA_SAP!$F$3:$F$423)-2)/(DA_SAP!$F$3:$F$423=$A$128)*($A$128&lt;&gt;""),ROW()-130)+2)),"")</f>
        <v/>
      </c>
      <c r="D137" s="118" t="str">
        <f>IF($H$4="EFFACER","",IFERROR(INDEX(DA_SAP!$D:$D,(_xlfn.AGGREGATE(15,6,(ROW(DA_SAP!$F$3:$F$423)-2)/(DA_SAP!$F$3:$F$423=$A$128)*($A$128&lt;&gt;""),ROW()-130)+2)),""))</f>
        <v/>
      </c>
      <c r="E137" s="119" t="str">
        <f t="shared" si="4"/>
        <v/>
      </c>
    </row>
    <row r="138" spans="1:5" x14ac:dyDescent="0.25">
      <c r="A138" s="117" t="str">
        <f>IFERROR(INDEX(DA_SAP!$A:$A,(_xlfn.AGGREGATE(15,6,(ROW(DA_SAP!$F$3:$F$423)-2)/(DA_SAP!$F$3:$F$423=$A$128)*($A$128&lt;&gt;""),ROW()-130)+2)),"")</f>
        <v/>
      </c>
      <c r="B138" s="118" t="str">
        <f>IFERROR(INDEX(DA_SAP!$B:$B,(_xlfn.AGGREGATE(15,6,(ROW(DA_SAP!$F$3:$F$423)-2)/(DA_SAP!$F$3:$F$423=$A$128)*($A$128&lt;&gt;""),ROW()-130)+2)),"")</f>
        <v/>
      </c>
      <c r="C138" s="118" t="str">
        <f>IFERROR(INDEX(DA_SAP!$C:$C,(_xlfn.AGGREGATE(15,6,(ROW(DA_SAP!$F$3:$F$423)-2)/(DA_SAP!$F$3:$F$423=$A$128)*($A$128&lt;&gt;""),ROW()-130)+2)),"")</f>
        <v/>
      </c>
      <c r="D138" s="118" t="str">
        <f>IF($H$4="EFFACER","",IFERROR(INDEX(DA_SAP!$D:$D,(_xlfn.AGGREGATE(15,6,(ROW(DA_SAP!$F$3:$F$423)-2)/(DA_SAP!$F$3:$F$423=$A$128)*($A$128&lt;&gt;""),ROW()-130)+2)),""))</f>
        <v/>
      </c>
      <c r="E138" s="119" t="str">
        <f t="shared" si="4"/>
        <v/>
      </c>
    </row>
    <row r="139" spans="1:5" x14ac:dyDescent="0.25">
      <c r="A139" s="117" t="str">
        <f>IFERROR(INDEX(DA_SAP!$A:$A,(_xlfn.AGGREGATE(15,6,(ROW(DA_SAP!$F$3:$F$423)-2)/(DA_SAP!$F$3:$F$423=$A$128)*($A$128&lt;&gt;""),ROW()-130)+2)),"")</f>
        <v/>
      </c>
      <c r="B139" s="118" t="str">
        <f>IFERROR(INDEX(DA_SAP!$B:$B,(_xlfn.AGGREGATE(15,6,(ROW(DA_SAP!$F$3:$F$423)-2)/(DA_SAP!$F$3:$F$423=$A$128)*($A$128&lt;&gt;""),ROW()-130)+2)),"")</f>
        <v/>
      </c>
      <c r="C139" s="118" t="str">
        <f>IFERROR(INDEX(DA_SAP!$C:$C,(_xlfn.AGGREGATE(15,6,(ROW(DA_SAP!$F$3:$F$423)-2)/(DA_SAP!$F$3:$F$423=$A$128)*($A$128&lt;&gt;""),ROW()-130)+2)),"")</f>
        <v/>
      </c>
      <c r="D139" s="118" t="str">
        <f>IF($H$4="EFFACER","",IFERROR(INDEX(DA_SAP!$D:$D,(_xlfn.AGGREGATE(15,6,(ROW(DA_SAP!$F$3:$F$423)-2)/(DA_SAP!$F$3:$F$423=$A$128)*($A$128&lt;&gt;""),ROW()-130)+2)),""))</f>
        <v/>
      </c>
      <c r="E139" s="119" t="str">
        <f t="shared" si="4"/>
        <v/>
      </c>
    </row>
    <row r="140" spans="1:5" x14ac:dyDescent="0.25">
      <c r="A140" s="117" t="str">
        <f>IFERROR(INDEX(DA_SAP!$A:$A,(_xlfn.AGGREGATE(15,6,(ROW(DA_SAP!$F$3:$F$423)-2)/(DA_SAP!$F$3:$F$423=$A$128)*($A$128&lt;&gt;""),ROW()-130)+2)),"")</f>
        <v/>
      </c>
      <c r="B140" s="118" t="str">
        <f>IFERROR(INDEX(DA_SAP!$B:$B,(_xlfn.AGGREGATE(15,6,(ROW(DA_SAP!$F$3:$F$423)-2)/(DA_SAP!$F$3:$F$423=$A$128)*($A$128&lt;&gt;""),ROW()-130)+2)),"")</f>
        <v/>
      </c>
      <c r="C140" s="118" t="str">
        <f>IFERROR(INDEX(DA_SAP!$C:$C,(_xlfn.AGGREGATE(15,6,(ROW(DA_SAP!$F$3:$F$423)-2)/(DA_SAP!$F$3:$F$423=$A$128)*($A$128&lt;&gt;""),ROW()-130)+2)),"")</f>
        <v/>
      </c>
      <c r="D140" s="118" t="str">
        <f>IF($H$4="EFFACER","",IFERROR(INDEX(DA_SAP!$D:$D,(_xlfn.AGGREGATE(15,6,(ROW(DA_SAP!$F$3:$F$423)-2)/(DA_SAP!$F$3:$F$423=$A$128)*($A$128&lt;&gt;""),ROW()-130)+2)),""))</f>
        <v/>
      </c>
      <c r="E140" s="119" t="str">
        <f t="shared" si="4"/>
        <v/>
      </c>
    </row>
    <row r="141" spans="1:5" x14ac:dyDescent="0.25">
      <c r="A141" s="117" t="str">
        <f>IFERROR(INDEX(DA_SAP!$A:$A,(_xlfn.AGGREGATE(15,6,(ROW(DA_SAP!$F$3:$F$423)-2)/(DA_SAP!$F$3:$F$423=$A$128)*($A$128&lt;&gt;""),ROW()-130)+2)),"")</f>
        <v/>
      </c>
      <c r="B141" s="118" t="str">
        <f>IFERROR(INDEX(DA_SAP!$B:$B,(_xlfn.AGGREGATE(15,6,(ROW(DA_SAP!$F$3:$F$423)-2)/(DA_SAP!$F$3:$F$423=$A$128)*($A$128&lt;&gt;""),ROW()-130)+2)),"")</f>
        <v/>
      </c>
      <c r="C141" s="118" t="str">
        <f>IFERROR(INDEX(DA_SAP!$C:$C,(_xlfn.AGGREGATE(15,6,(ROW(DA_SAP!$F$3:$F$423)-2)/(DA_SAP!$F$3:$F$423=$A$128)*($A$128&lt;&gt;""),ROW()-130)+2)),"")</f>
        <v/>
      </c>
      <c r="D141" s="118" t="str">
        <f>IF($H$4="EFFACER","",IFERROR(INDEX(DA_SAP!$D:$D,(_xlfn.AGGREGATE(15,6,(ROW(DA_SAP!$F$3:$F$423)-2)/(DA_SAP!$F$3:$F$423=$A$128)*($A$128&lt;&gt;""),ROW()-130)+2)),""))</f>
        <v/>
      </c>
      <c r="E141" s="119" t="str">
        <f t="shared" si="4"/>
        <v/>
      </c>
    </row>
    <row r="142" spans="1:5" x14ac:dyDescent="0.25">
      <c r="A142" s="117" t="str">
        <f>IFERROR(INDEX(DA_SAP!$A:$A,(_xlfn.AGGREGATE(15,6,(ROW(DA_SAP!$F$3:$F$423)-2)/(DA_SAP!$F$3:$F$423=$A$128)*($A$128&lt;&gt;""),ROW()-130)+2)),"")</f>
        <v/>
      </c>
      <c r="B142" s="118" t="str">
        <f>IFERROR(INDEX(DA_SAP!$B:$B,(_xlfn.AGGREGATE(15,6,(ROW(DA_SAP!$F$3:$F$423)-2)/(DA_SAP!$F$3:$F$423=$A$128)*($A$128&lt;&gt;""),ROW()-130)+2)),"")</f>
        <v/>
      </c>
      <c r="C142" s="118" t="str">
        <f>IFERROR(INDEX(DA_SAP!$C:$C,(_xlfn.AGGREGATE(15,6,(ROW(DA_SAP!$F$3:$F$423)-2)/(DA_SAP!$F$3:$F$423=$A$128)*($A$128&lt;&gt;""),ROW()-130)+2)),"")</f>
        <v/>
      </c>
      <c r="D142" s="118" t="str">
        <f>IF($H$4="EFFACER","",IFERROR(INDEX(DA_SAP!$D:$D,(_xlfn.AGGREGATE(15,6,(ROW(DA_SAP!$F$3:$F$423)-2)/(DA_SAP!$F$3:$F$423=$A$128)*($A$128&lt;&gt;""),ROW()-130)+2)),""))</f>
        <v/>
      </c>
      <c r="E142" s="119" t="str">
        <f t="shared" si="4"/>
        <v/>
      </c>
    </row>
    <row r="143" spans="1:5" x14ac:dyDescent="0.25">
      <c r="A143" s="117" t="str">
        <f>IFERROR(INDEX(DA_SAP!$A:$A,(_xlfn.AGGREGATE(15,6,(ROW(DA_SAP!$F$3:$F$423)-2)/(DA_SAP!$F$3:$F$423=$A$128)*($A$128&lt;&gt;""),ROW()-130)+2)),"")</f>
        <v/>
      </c>
      <c r="B143" s="118" t="str">
        <f>IFERROR(INDEX(DA_SAP!$B:$B,(_xlfn.AGGREGATE(15,6,(ROW(DA_SAP!$F$3:$F$423)-2)/(DA_SAP!$F$3:$F$423=$A$128)*($A$128&lt;&gt;""),ROW()-130)+2)),"")</f>
        <v/>
      </c>
      <c r="C143" s="118" t="str">
        <f>IFERROR(INDEX(DA_SAP!$C:$C,(_xlfn.AGGREGATE(15,6,(ROW(DA_SAP!$F$3:$F$423)-2)/(DA_SAP!$F$3:$F$423=$A$128)*($A$128&lt;&gt;""),ROW()-130)+2)),"")</f>
        <v/>
      </c>
      <c r="D143" s="118" t="str">
        <f>IF($H$4="EFFACER","",IFERROR(INDEX(DA_SAP!$D:$D,(_xlfn.AGGREGATE(15,6,(ROW(DA_SAP!$F$3:$F$423)-2)/(DA_SAP!$F$3:$F$423=$A$128)*($A$128&lt;&gt;""),ROW()-130)+2)),""))</f>
        <v/>
      </c>
      <c r="E143" s="119" t="str">
        <f t="shared" si="4"/>
        <v/>
      </c>
    </row>
    <row r="144" spans="1:5" x14ac:dyDescent="0.25">
      <c r="A144" s="117" t="str">
        <f>IFERROR(INDEX(DA_SAP!$A:$A,(_xlfn.AGGREGATE(15,6,(ROW(DA_SAP!$F$3:$F$423)-2)/(DA_SAP!$F$3:$F$423=$A$128)*($A$128&lt;&gt;""),ROW()-130)+2)),"")</f>
        <v/>
      </c>
      <c r="B144" s="118" t="str">
        <f>IFERROR(INDEX(DA_SAP!$B:$B,(_xlfn.AGGREGATE(15,6,(ROW(DA_SAP!$F$3:$F$423)-2)/(DA_SAP!$F$3:$F$423=$A$128)*($A$128&lt;&gt;""),ROW()-130)+2)),"")</f>
        <v/>
      </c>
      <c r="C144" s="118" t="str">
        <f>IFERROR(INDEX(DA_SAP!$C:$C,(_xlfn.AGGREGATE(15,6,(ROW(DA_SAP!$F$3:$F$423)-2)/(DA_SAP!$F$3:$F$423=$A$128)*($A$128&lt;&gt;""),ROW()-130)+2)),"")</f>
        <v/>
      </c>
      <c r="D144" s="118" t="str">
        <f>IF($H$4="EFFACER","",IFERROR(INDEX(DA_SAP!$D:$D,(_xlfn.AGGREGATE(15,6,(ROW(DA_SAP!$F$3:$F$423)-2)/(DA_SAP!$F$3:$F$423=$A$128)*($A$128&lt;&gt;""),ROW()-130)+2)),""))</f>
        <v/>
      </c>
      <c r="E144" s="119" t="str">
        <f t="shared" si="4"/>
        <v/>
      </c>
    </row>
    <row r="145" spans="1:5" x14ac:dyDescent="0.25">
      <c r="A145" s="117" t="str">
        <f>IFERROR(INDEX(DA_SAP!$A:$A,(_xlfn.AGGREGATE(15,6,(ROW(DA_SAP!$F$3:$F$423)-2)/(DA_SAP!$F$3:$F$423=$A$128)*($A$128&lt;&gt;""),ROW()-130)+2)),"")</f>
        <v/>
      </c>
      <c r="B145" s="118" t="str">
        <f>IFERROR(INDEX(DA_SAP!$B:$B,(_xlfn.AGGREGATE(15,6,(ROW(DA_SAP!$F$3:$F$423)-2)/(DA_SAP!$F$3:$F$423=$A$128)*($A$128&lt;&gt;""),ROW()-130)+2)),"")</f>
        <v/>
      </c>
      <c r="C145" s="118" t="str">
        <f>IFERROR(INDEX(DA_SAP!$C:$C,(_xlfn.AGGREGATE(15,6,(ROW(DA_SAP!$F$3:$F$423)-2)/(DA_SAP!$F$3:$F$423=$A$128)*($A$128&lt;&gt;""),ROW()-130)+2)),"")</f>
        <v/>
      </c>
      <c r="D145" s="118" t="str">
        <f>IF($H$4="EFFACER","",IFERROR(INDEX(DA_SAP!$D:$D,(_xlfn.AGGREGATE(15,6,(ROW(DA_SAP!$F$3:$F$423)-2)/(DA_SAP!$F$3:$F$423=$A$128)*($A$128&lt;&gt;""),ROW()-130)+2)),""))</f>
        <v/>
      </c>
      <c r="E145" s="119" t="str">
        <f t="shared" si="4"/>
        <v/>
      </c>
    </row>
    <row r="146" spans="1:5" x14ac:dyDescent="0.25">
      <c r="A146" s="117" t="str">
        <f>IFERROR(INDEX(DA_SAP!$A:$A,(_xlfn.AGGREGATE(15,6,(ROW(DA_SAP!$F$3:$F$423)-2)/(DA_SAP!$F$3:$F$423=$A$128)*($A$128&lt;&gt;""),ROW()-130)+2)),"")</f>
        <v/>
      </c>
      <c r="B146" s="118" t="str">
        <f>IFERROR(INDEX(DA_SAP!$B:$B,(_xlfn.AGGREGATE(15,6,(ROW(DA_SAP!$F$3:$F$423)-2)/(DA_SAP!$F$3:$F$423=$A$128)*($A$128&lt;&gt;""),ROW()-130)+2)),"")</f>
        <v/>
      </c>
      <c r="C146" s="118" t="str">
        <f>IFERROR(INDEX(DA_SAP!$C:$C,(_xlfn.AGGREGATE(15,6,(ROW(DA_SAP!$F$3:$F$423)-2)/(DA_SAP!$F$3:$F$423=$A$128)*($A$128&lt;&gt;""),ROW()-130)+2)),"")</f>
        <v/>
      </c>
      <c r="D146" s="118" t="str">
        <f>IF($H$4="EFFACER","",IFERROR(INDEX(DA_SAP!$D:$D,(_xlfn.AGGREGATE(15,6,(ROW(DA_SAP!$F$3:$F$423)-2)/(DA_SAP!$F$3:$F$423=$A$128)*($A$128&lt;&gt;""),ROW()-130)+2)),""))</f>
        <v/>
      </c>
      <c r="E146" s="119" t="str">
        <f t="shared" si="4"/>
        <v/>
      </c>
    </row>
    <row r="147" spans="1:5" x14ac:dyDescent="0.25">
      <c r="A147" s="117" t="str">
        <f>IFERROR(INDEX(DA_SAP!$A:$A,(_xlfn.AGGREGATE(15,6,(ROW(DA_SAP!$F$3:$F$423)-2)/(DA_SAP!$F$3:$F$423=$A$128)*($A$128&lt;&gt;""),ROW()-130)+2)),"")</f>
        <v/>
      </c>
      <c r="B147" s="118" t="str">
        <f>IFERROR(INDEX(DA_SAP!$B:$B,(_xlfn.AGGREGATE(15,6,(ROW(DA_SAP!$F$3:$F$423)-2)/(DA_SAP!$F$3:$F$423=$A$128)*($A$128&lt;&gt;""),ROW()-130)+2)),"")</f>
        <v/>
      </c>
      <c r="C147" s="118" t="str">
        <f>IFERROR(INDEX(DA_SAP!$C:$C,(_xlfn.AGGREGATE(15,6,(ROW(DA_SAP!$F$3:$F$423)-2)/(DA_SAP!$F$3:$F$423=$A$128)*($A$128&lt;&gt;""),ROW()-130)+2)),"")</f>
        <v/>
      </c>
      <c r="D147" s="118" t="str">
        <f>IF($H$4="EFFACER","",IFERROR(INDEX(DA_SAP!$D:$D,(_xlfn.AGGREGATE(15,6,(ROW(DA_SAP!$F$3:$F$423)-2)/(DA_SAP!$F$3:$F$423=$A$128)*($A$128&lt;&gt;""),ROW()-130)+2)),""))</f>
        <v/>
      </c>
      <c r="E147" s="119" t="str">
        <f t="shared" si="4"/>
        <v/>
      </c>
    </row>
    <row r="148" spans="1:5" x14ac:dyDescent="0.25">
      <c r="A148" s="117" t="str">
        <f>IFERROR(INDEX(DA_SAP!$A:$A,(_xlfn.AGGREGATE(15,6,(ROW(DA_SAP!$F$3:$F$423)-2)/(DA_SAP!$F$3:$F$423=$A$128)*($A$128&lt;&gt;""),ROW()-130)+2)),"")</f>
        <v/>
      </c>
      <c r="B148" s="118" t="str">
        <f>IFERROR(INDEX(DA_SAP!$B:$B,(_xlfn.AGGREGATE(15,6,(ROW(DA_SAP!$F$3:$F$423)-2)/(DA_SAP!$F$3:$F$423=$A$128)*($A$128&lt;&gt;""),ROW()-130)+2)),"")</f>
        <v/>
      </c>
      <c r="C148" s="118" t="str">
        <f>IFERROR(INDEX(DA_SAP!$C:$C,(_xlfn.AGGREGATE(15,6,(ROW(DA_SAP!$F$3:$F$423)-2)/(DA_SAP!$F$3:$F$423=$A$128)*($A$128&lt;&gt;""),ROW()-130)+2)),"")</f>
        <v/>
      </c>
      <c r="D148" s="118" t="str">
        <f>IF($H$4="EFFACER","",IFERROR(INDEX(DA_SAP!$D:$D,(_xlfn.AGGREGATE(15,6,(ROW(DA_SAP!$F$3:$F$423)-2)/(DA_SAP!$F$3:$F$423=$A$128)*($A$128&lt;&gt;""),ROW()-130)+2)),""))</f>
        <v/>
      </c>
      <c r="E148" s="119" t="str">
        <f t="shared" si="4"/>
        <v/>
      </c>
    </row>
    <row r="149" spans="1:5" x14ac:dyDescent="0.25">
      <c r="A149" s="117" t="str">
        <f>IFERROR(INDEX(DA_SAP!$A:$A,(_xlfn.AGGREGATE(15,6,(ROW(DA_SAP!$F$3:$F$423)-2)/(DA_SAP!$F$3:$F$423=$A$128)*($A$128&lt;&gt;""),ROW()-130)+2)),"")</f>
        <v/>
      </c>
      <c r="B149" s="118" t="str">
        <f>IFERROR(INDEX(DA_SAP!$B:$B,(_xlfn.AGGREGATE(15,6,(ROW(DA_SAP!$F$3:$F$423)-2)/(DA_SAP!$F$3:$F$423=$A$128)*($A$128&lt;&gt;""),ROW()-130)+2)),"")</f>
        <v/>
      </c>
      <c r="C149" s="118" t="str">
        <f>IFERROR(INDEX(DA_SAP!$C:$C,(_xlfn.AGGREGATE(15,6,(ROW(DA_SAP!$F$3:$F$423)-2)/(DA_SAP!$F$3:$F$423=$A$128)*($A$128&lt;&gt;""),ROW()-130)+2)),"")</f>
        <v/>
      </c>
      <c r="D149" s="118" t="str">
        <f>IF($H$4="EFFACER","",IFERROR(INDEX(DA_SAP!$D:$D,(_xlfn.AGGREGATE(15,6,(ROW(DA_SAP!$F$3:$F$423)-2)/(DA_SAP!$F$3:$F$423=$A$128)*($A$128&lt;&gt;""),ROW()-130)+2)),""))</f>
        <v/>
      </c>
      <c r="E149" s="119" t="str">
        <f t="shared" si="4"/>
        <v/>
      </c>
    </row>
    <row r="150" spans="1:5" x14ac:dyDescent="0.25">
      <c r="A150" s="117" t="str">
        <f>IFERROR(INDEX(DA_SAP!$A:$A,(_xlfn.AGGREGATE(15,6,(ROW(DA_SAP!$F$3:$F$423)-2)/(DA_SAP!$F$3:$F$423=$A$128)*($A$128&lt;&gt;""),ROW()-130)+2)),"")</f>
        <v/>
      </c>
      <c r="B150" s="118" t="str">
        <f>IFERROR(INDEX(DA_SAP!$B:$B,(_xlfn.AGGREGATE(15,6,(ROW(DA_SAP!$F$3:$F$423)-2)/(DA_SAP!$F$3:$F$423=$A$128)*($A$128&lt;&gt;""),ROW()-130)+2)),"")</f>
        <v/>
      </c>
      <c r="C150" s="118" t="str">
        <f>IFERROR(INDEX(DA_SAP!$C:$C,(_xlfn.AGGREGATE(15,6,(ROW(DA_SAP!$F$3:$F$423)-2)/(DA_SAP!$F$3:$F$423=$A$128)*($A$128&lt;&gt;""),ROW()-130)+2)),"")</f>
        <v/>
      </c>
      <c r="D150" s="118" t="str">
        <f>IF($H$4="EFFACER","",IFERROR(INDEX(DA_SAP!$D:$D,(_xlfn.AGGREGATE(15,6,(ROW(DA_SAP!$F$3:$F$423)-2)/(DA_SAP!$F$3:$F$423=$A$128)*($A$128&lt;&gt;""),ROW()-130)+2)),""))</f>
        <v/>
      </c>
      <c r="E150" s="119" t="str">
        <f t="shared" si="4"/>
        <v/>
      </c>
    </row>
    <row r="151" spans="1:5" x14ac:dyDescent="0.25">
      <c r="A151" s="117" t="str">
        <f>IFERROR(INDEX(DA_SAP!$A:$A,(_xlfn.AGGREGATE(15,6,(ROW(DA_SAP!$F$3:$F$423)-2)/(DA_SAP!$F$3:$F$423=$A$128)*($A$128&lt;&gt;""),ROW()-130)+2)),"")</f>
        <v/>
      </c>
      <c r="B151" s="118" t="str">
        <f>IFERROR(INDEX(DA_SAP!$B:$B,(_xlfn.AGGREGATE(15,6,(ROW(DA_SAP!$F$3:$F$423)-2)/(DA_SAP!$F$3:$F$423=$A$128)*($A$128&lt;&gt;""),ROW()-130)+2)),"")</f>
        <v/>
      </c>
      <c r="C151" s="118" t="str">
        <f>IFERROR(INDEX(DA_SAP!$C:$C,(_xlfn.AGGREGATE(15,6,(ROW(DA_SAP!$F$3:$F$423)-2)/(DA_SAP!$F$3:$F$423=$A$128)*($A$128&lt;&gt;""),ROW()-130)+2)),"")</f>
        <v/>
      </c>
      <c r="D151" s="118" t="str">
        <f>IF($H$4="EFFACER","",IFERROR(INDEX(DA_SAP!$D:$D,(_xlfn.AGGREGATE(15,6,(ROW(DA_SAP!$F$3:$F$423)-2)/(DA_SAP!$F$3:$F$423=$A$128)*($A$128&lt;&gt;""),ROW()-130)+2)),""))</f>
        <v/>
      </c>
      <c r="E151" s="119" t="str">
        <f t="shared" si="4"/>
        <v/>
      </c>
    </row>
    <row r="152" spans="1:5" x14ac:dyDescent="0.25">
      <c r="A152" s="117" t="str">
        <f>IFERROR(INDEX(DA_SAP!$A:$A,(_xlfn.AGGREGATE(15,6,(ROW(DA_SAP!$F$3:$F$423)-2)/(DA_SAP!$F$3:$F$423=$A$128)*($A$128&lt;&gt;""),ROW()-130)+2)),"")</f>
        <v/>
      </c>
      <c r="B152" s="118" t="str">
        <f>IFERROR(INDEX(DA_SAP!$B:$B,(_xlfn.AGGREGATE(15,6,(ROW(DA_SAP!$F$3:$F$423)-2)/(DA_SAP!$F$3:$F$423=$A$128)*($A$128&lt;&gt;""),ROW()-130)+2)),"")</f>
        <v/>
      </c>
      <c r="C152" s="118" t="str">
        <f>IFERROR(INDEX(DA_SAP!$C:$C,(_xlfn.AGGREGATE(15,6,(ROW(DA_SAP!$F$3:$F$423)-2)/(DA_SAP!$F$3:$F$423=$A$128)*($A$128&lt;&gt;""),ROW()-130)+2)),"")</f>
        <v/>
      </c>
      <c r="D152" s="118" t="str">
        <f>IF($H$4="EFFACER","",IFERROR(INDEX(DA_SAP!$D:$D,(_xlfn.AGGREGATE(15,6,(ROW(DA_SAP!$F$3:$F$423)-2)/(DA_SAP!$F$3:$F$423=$A$128)*($A$128&lt;&gt;""),ROW()-130)+2)),""))</f>
        <v/>
      </c>
      <c r="E152" s="119" t="str">
        <f t="shared" si="4"/>
        <v/>
      </c>
    </row>
    <row r="153" spans="1:5" x14ac:dyDescent="0.25">
      <c r="A153" s="117" t="str">
        <f>IFERROR(INDEX(DA_SAP!$A:$A,(_xlfn.AGGREGATE(15,6,(ROW(DA_SAP!$F$3:$F$423)-2)/(DA_SAP!$F$3:$F$423=$A$128)*($A$128&lt;&gt;""),ROW()-130)+2)),"")</f>
        <v/>
      </c>
      <c r="B153" s="118" t="str">
        <f>IFERROR(INDEX(DA_SAP!$B:$B,(_xlfn.AGGREGATE(15,6,(ROW(DA_SAP!$F$3:$F$423)-2)/(DA_SAP!$F$3:$F$423=$A$128)*($A$128&lt;&gt;""),ROW()-130)+2)),"")</f>
        <v/>
      </c>
      <c r="C153" s="118" t="str">
        <f>IFERROR(INDEX(DA_SAP!$C:$C,(_xlfn.AGGREGATE(15,6,(ROW(DA_SAP!$F$3:$F$423)-2)/(DA_SAP!$F$3:$F$423=$A$128)*($A$128&lt;&gt;""),ROW()-130)+2)),"")</f>
        <v/>
      </c>
      <c r="D153" s="118" t="str">
        <f>IF($H$4="EFFACER","",IFERROR(INDEX(DA_SAP!$D:$D,(_xlfn.AGGREGATE(15,6,(ROW(DA_SAP!$F$3:$F$423)-2)/(DA_SAP!$F$3:$F$423=$A$128)*($A$128&lt;&gt;""),ROW()-130)+2)),""))</f>
        <v/>
      </c>
      <c r="E153" s="119" t="str">
        <f t="shared" si="4"/>
        <v/>
      </c>
    </row>
    <row r="154" spans="1:5" x14ac:dyDescent="0.25">
      <c r="A154" s="117" t="str">
        <f>IFERROR(INDEX(DA_SAP!$A:$A,(_xlfn.AGGREGATE(15,6,(ROW(DA_SAP!$F$3:$F$423)-2)/(DA_SAP!$F$3:$F$423=$A$128)*($A$128&lt;&gt;""),ROW()-130)+2)),"")</f>
        <v/>
      </c>
      <c r="B154" s="118" t="str">
        <f>IFERROR(INDEX(DA_SAP!$B:$B,(_xlfn.AGGREGATE(15,6,(ROW(DA_SAP!$F$3:$F$423)-2)/(DA_SAP!$F$3:$F$423=$A$128)*($A$128&lt;&gt;""),ROW()-130)+2)),"")</f>
        <v/>
      </c>
      <c r="C154" s="118" t="str">
        <f>IFERROR(INDEX(DA_SAP!$C:$C,(_xlfn.AGGREGATE(15,6,(ROW(DA_SAP!$F$3:$F$423)-2)/(DA_SAP!$F$3:$F$423=$A$128)*($A$128&lt;&gt;""),ROW()-130)+2)),"")</f>
        <v/>
      </c>
      <c r="D154" s="118" t="str">
        <f>IF($H$4="EFFACER","",IFERROR(INDEX(DA_SAP!$D:$D,(_xlfn.AGGREGATE(15,6,(ROW(DA_SAP!$F$3:$F$423)-2)/(DA_SAP!$F$3:$F$423=$A$128)*($A$128&lt;&gt;""),ROW()-130)+2)),""))</f>
        <v/>
      </c>
      <c r="E154" s="119" t="str">
        <f t="shared" si="4"/>
        <v/>
      </c>
    </row>
    <row r="155" spans="1:5" x14ac:dyDescent="0.25">
      <c r="A155" s="117" t="str">
        <f>IFERROR(INDEX(DA_SAP!$A:$A,(_xlfn.AGGREGATE(15,6,(ROW(DA_SAP!$F$3:$F$423)-2)/(DA_SAP!$F$3:$F$423=$A$128)*($A$128&lt;&gt;""),ROW()-130)+2)),"")</f>
        <v/>
      </c>
      <c r="B155" s="118" t="str">
        <f>IFERROR(INDEX(DA_SAP!$B:$B,(_xlfn.AGGREGATE(15,6,(ROW(DA_SAP!$F$3:$F$423)-2)/(DA_SAP!$F$3:$F$423=$A$128)*($A$128&lt;&gt;""),ROW()-130)+2)),"")</f>
        <v/>
      </c>
      <c r="C155" s="118" t="str">
        <f>IFERROR(INDEX(DA_SAP!$C:$C,(_xlfn.AGGREGATE(15,6,(ROW(DA_SAP!$F$3:$F$423)-2)/(DA_SAP!$F$3:$F$423=$A$128)*($A$128&lt;&gt;""),ROW()-130)+2)),"")</f>
        <v/>
      </c>
      <c r="D155" s="118" t="str">
        <f>IF($H$4="EFFACER","",IFERROR(INDEX(DA_SAP!$D:$D,(_xlfn.AGGREGATE(15,6,(ROW(DA_SAP!$F$3:$F$423)-2)/(DA_SAP!$F$3:$F$423=$A$128)*($A$128&lt;&gt;""),ROW()-130)+2)),""))</f>
        <v/>
      </c>
      <c r="E155" s="119" t="str">
        <f t="shared" si="4"/>
        <v/>
      </c>
    </row>
    <row r="156" spans="1:5" x14ac:dyDescent="0.25">
      <c r="A156" s="117" t="str">
        <f>IFERROR(INDEX(DA_SAP!$A:$A,(_xlfn.AGGREGATE(15,6,(ROW(DA_SAP!$F$3:$F$423)-2)/(DA_SAP!$F$3:$F$423=$A$128)*($A$128&lt;&gt;""),ROW()-130)+2)),"")</f>
        <v/>
      </c>
      <c r="B156" s="118" t="str">
        <f>IFERROR(INDEX(DA_SAP!$B:$B,(_xlfn.AGGREGATE(15,6,(ROW(DA_SAP!$F$3:$F$423)-2)/(DA_SAP!$F$3:$F$423=$A$128)*($A$128&lt;&gt;""),ROW()-130)+2)),"")</f>
        <v/>
      </c>
      <c r="C156" s="118" t="str">
        <f>IFERROR(INDEX(DA_SAP!$C:$C,(_xlfn.AGGREGATE(15,6,(ROW(DA_SAP!$F$3:$F$423)-2)/(DA_SAP!$F$3:$F$423=$A$128)*($A$128&lt;&gt;""),ROW()-130)+2)),"")</f>
        <v/>
      </c>
      <c r="D156" s="118" t="str">
        <f>IF($H$4="EFFACER","",IFERROR(INDEX(DA_SAP!$D:$D,(_xlfn.AGGREGATE(15,6,(ROW(DA_SAP!$F$3:$F$423)-2)/(DA_SAP!$F$3:$F$423=$A$128)*($A$128&lt;&gt;""),ROW()-130)+2)),""))</f>
        <v/>
      </c>
      <c r="E156" s="119" t="str">
        <f t="shared" si="4"/>
        <v/>
      </c>
    </row>
    <row r="157" spans="1:5" x14ac:dyDescent="0.25">
      <c r="A157" s="117" t="str">
        <f>IFERROR(INDEX(DA_SAP!$A:$A,(_xlfn.AGGREGATE(15,6,(ROW(DA_SAP!$F$3:$F$423)-2)/(DA_SAP!$F$3:$F$423=$A$128)*($A$128&lt;&gt;""),ROW()-130)+2)),"")</f>
        <v/>
      </c>
      <c r="B157" s="118" t="str">
        <f>IFERROR(INDEX(DA_SAP!$B:$B,(_xlfn.AGGREGATE(15,6,(ROW(DA_SAP!$F$3:$F$423)-2)/(DA_SAP!$F$3:$F$423=$A$128)*($A$128&lt;&gt;""),ROW()-130)+2)),"")</f>
        <v/>
      </c>
      <c r="C157" s="118" t="str">
        <f>IFERROR(INDEX(DA_SAP!$C:$C,(_xlfn.AGGREGATE(15,6,(ROW(DA_SAP!$F$3:$F$423)-2)/(DA_SAP!$F$3:$F$423=$A$128)*($A$128&lt;&gt;""),ROW()-130)+2)),"")</f>
        <v/>
      </c>
      <c r="D157" s="118" t="str">
        <f>IF($H$4="EFFACER","",IFERROR(INDEX(DA_SAP!$D:$D,(_xlfn.AGGREGATE(15,6,(ROW(DA_SAP!$F$3:$F$423)-2)/(DA_SAP!$F$3:$F$423=$A$128)*($A$128&lt;&gt;""),ROW()-130)+2)),""))</f>
        <v/>
      </c>
      <c r="E157" s="119" t="str">
        <f t="shared" si="4"/>
        <v/>
      </c>
    </row>
    <row r="158" spans="1:5" x14ac:dyDescent="0.25">
      <c r="A158" s="117" t="str">
        <f>IFERROR(INDEX(DA_SAP!$A:$A,(_xlfn.AGGREGATE(15,6,(ROW(DA_SAP!$F$3:$F$423)-2)/(DA_SAP!$F$3:$F$423=$A$128)*($A$128&lt;&gt;""),ROW()-130)+2)),"")</f>
        <v/>
      </c>
      <c r="B158" s="118" t="str">
        <f>IFERROR(INDEX(DA_SAP!$B:$B,(_xlfn.AGGREGATE(15,6,(ROW(DA_SAP!$F$3:$F$423)-2)/(DA_SAP!$F$3:$F$423=$A$128)*($A$128&lt;&gt;""),ROW()-130)+2)),"")</f>
        <v/>
      </c>
      <c r="C158" s="118" t="str">
        <f>IFERROR(INDEX(DA_SAP!$C:$C,(_xlfn.AGGREGATE(15,6,(ROW(DA_SAP!$F$3:$F$423)-2)/(DA_SAP!$F$3:$F$423=$A$128)*($A$128&lt;&gt;""),ROW()-130)+2)),"")</f>
        <v/>
      </c>
      <c r="D158" s="118" t="str">
        <f>IF($H$4="EFFACER","",IFERROR(INDEX(DA_SAP!$D:$D,(_xlfn.AGGREGATE(15,6,(ROW(DA_SAP!$F$3:$F$423)-2)/(DA_SAP!$F$3:$F$423=$A$128)*($A$128&lt;&gt;""),ROW()-130)+2)),""))</f>
        <v/>
      </c>
      <c r="E158" s="119" t="str">
        <f t="shared" si="4"/>
        <v/>
      </c>
    </row>
    <row r="159" spans="1:5" x14ac:dyDescent="0.25">
      <c r="A159" s="117" t="str">
        <f>IFERROR(INDEX(DA_SAP!$A:$A,(_xlfn.AGGREGATE(15,6,(ROW(DA_SAP!$F$3:$F$423)-2)/(DA_SAP!$F$3:$F$423=$A$128)*($A$128&lt;&gt;""),ROW()-130)+2)),"")</f>
        <v/>
      </c>
      <c r="B159" s="118" t="str">
        <f>IFERROR(INDEX(DA_SAP!$B:$B,(_xlfn.AGGREGATE(15,6,(ROW(DA_SAP!$F$3:$F$423)-2)/(DA_SAP!$F$3:$F$423=$A$128)*($A$128&lt;&gt;""),ROW()-130)+2)),"")</f>
        <v/>
      </c>
      <c r="C159" s="118" t="str">
        <f>IFERROR(INDEX(DA_SAP!$C:$C,(_xlfn.AGGREGATE(15,6,(ROW(DA_SAP!$F$3:$F$423)-2)/(DA_SAP!$F$3:$F$423=$A$128)*($A$128&lt;&gt;""),ROW()-130)+2)),"")</f>
        <v/>
      </c>
      <c r="D159" s="118" t="str">
        <f>IF($H$4="EFFACER","",IFERROR(INDEX(DA_SAP!$D:$D,(_xlfn.AGGREGATE(15,6,(ROW(DA_SAP!$F$3:$F$423)-2)/(DA_SAP!$F$3:$F$423=$A$128)*($A$128&lt;&gt;""),ROW()-130)+2)),""))</f>
        <v/>
      </c>
      <c r="E159" s="119" t="str">
        <f t="shared" si="4"/>
        <v/>
      </c>
    </row>
    <row r="160" spans="1:5" x14ac:dyDescent="0.25">
      <c r="A160" s="117" t="str">
        <f>IFERROR(INDEX(DA_SAP!$A:$A,(_xlfn.AGGREGATE(15,6,(ROW(DA_SAP!$F$3:$F$423)-2)/(DA_SAP!$F$3:$F$423=$A$128)*($A$128&lt;&gt;""),ROW()-130)+2)),"")</f>
        <v/>
      </c>
      <c r="B160" s="118" t="str">
        <f>IFERROR(INDEX(DA_SAP!$B:$B,(_xlfn.AGGREGATE(15,6,(ROW(DA_SAP!$F$3:$F$423)-2)/(DA_SAP!$F$3:$F$423=$A$128)*($A$128&lt;&gt;""),ROW()-130)+2)),"")</f>
        <v/>
      </c>
      <c r="C160" s="118" t="str">
        <f>IFERROR(INDEX(DA_SAP!$C:$C,(_xlfn.AGGREGATE(15,6,(ROW(DA_SAP!$F$3:$F$423)-2)/(DA_SAP!$F$3:$F$423=$A$128)*($A$128&lt;&gt;""),ROW()-130)+2)),"")</f>
        <v/>
      </c>
      <c r="D160" s="118" t="str">
        <f>IF($H$4="EFFACER","",IFERROR(INDEX(DA_SAP!$D:$D,(_xlfn.AGGREGATE(15,6,(ROW(DA_SAP!$F$3:$F$423)-2)/(DA_SAP!$F$3:$F$423=$A$128)*($A$128&lt;&gt;""),ROW()-130)+2)),""))</f>
        <v/>
      </c>
      <c r="E160" s="119" t="str">
        <f t="shared" si="4"/>
        <v/>
      </c>
    </row>
    <row r="161" spans="1:5" x14ac:dyDescent="0.25">
      <c r="A161" s="117" t="str">
        <f>IFERROR(INDEX(DA_SAP!$A:$A,(_xlfn.AGGREGATE(15,6,(ROW(DA_SAP!$F$3:$F$423)-2)/(DA_SAP!$F$3:$F$423=$A$128)*($A$128&lt;&gt;""),ROW()-130)+2)),"")</f>
        <v/>
      </c>
      <c r="B161" s="118" t="str">
        <f>IFERROR(INDEX(DA_SAP!$B:$B,(_xlfn.AGGREGATE(15,6,(ROW(DA_SAP!$F$3:$F$423)-2)/(DA_SAP!$F$3:$F$423=$A$128)*($A$128&lt;&gt;""),ROW()-130)+2)),"")</f>
        <v/>
      </c>
      <c r="C161" s="118" t="str">
        <f>IFERROR(INDEX(DA_SAP!$C:$C,(_xlfn.AGGREGATE(15,6,(ROW(DA_SAP!$F$3:$F$423)-2)/(DA_SAP!$F$3:$F$423=$A$128)*($A$128&lt;&gt;""),ROW()-130)+2)),"")</f>
        <v/>
      </c>
      <c r="D161" s="118" t="str">
        <f>IF($H$4="EFFACER","",IFERROR(INDEX(DA_SAP!$D:$D,(_xlfn.AGGREGATE(15,6,(ROW(DA_SAP!$F$3:$F$423)-2)/(DA_SAP!$F$3:$F$423=$A$128)*($A$128&lt;&gt;""),ROW()-130)+2)),""))</f>
        <v/>
      </c>
      <c r="E161" s="119" t="str">
        <f t="shared" si="4"/>
        <v/>
      </c>
    </row>
    <row r="162" spans="1:5" x14ac:dyDescent="0.25">
      <c r="A162" s="117" t="str">
        <f>IFERROR(INDEX(DA_SAP!$A:$A,(_xlfn.AGGREGATE(15,6,(ROW(DA_SAP!$F$3:$F$423)-2)/(DA_SAP!$F$3:$F$423=$A$128)*($A$128&lt;&gt;""),ROW()-130)+2)),"")</f>
        <v/>
      </c>
      <c r="B162" s="118" t="str">
        <f>IFERROR(INDEX(DA_SAP!$B:$B,(_xlfn.AGGREGATE(15,6,(ROW(DA_SAP!$F$3:$F$423)-2)/(DA_SAP!$F$3:$F$423=$A$128)*($A$128&lt;&gt;""),ROW()-130)+2)),"")</f>
        <v/>
      </c>
      <c r="C162" s="118" t="str">
        <f>IFERROR(INDEX(DA_SAP!$C:$C,(_xlfn.AGGREGATE(15,6,(ROW(DA_SAP!$F$3:$F$423)-2)/(DA_SAP!$F$3:$F$423=$A$128)*($A$128&lt;&gt;""),ROW()-130)+2)),"")</f>
        <v/>
      </c>
      <c r="D162" s="118" t="str">
        <f>IF($H$4="EFFACER","",IFERROR(INDEX(DA_SAP!$D:$D,(_xlfn.AGGREGATE(15,6,(ROW(DA_SAP!$F$3:$F$423)-2)/(DA_SAP!$F$3:$F$423=$A$128)*($A$128&lt;&gt;""),ROW()-130)+2)),""))</f>
        <v/>
      </c>
      <c r="E162" s="119" t="str">
        <f t="shared" si="4"/>
        <v/>
      </c>
    </row>
    <row r="163" spans="1:5" x14ac:dyDescent="0.25">
      <c r="A163" s="117" t="str">
        <f>IFERROR(INDEX(DA_SAP!$A:$A,(_xlfn.AGGREGATE(15,6,(ROW(DA_SAP!$F$3:$F$423)-2)/(DA_SAP!$F$3:$F$423=$A$128)*($A$128&lt;&gt;""),ROW()-130)+2)),"")</f>
        <v/>
      </c>
      <c r="B163" s="118" t="str">
        <f>IFERROR(INDEX(DA_SAP!$B:$B,(_xlfn.AGGREGATE(15,6,(ROW(DA_SAP!$F$3:$F$423)-2)/(DA_SAP!$F$3:$F$423=$A$128)*($A$128&lt;&gt;""),ROW()-130)+2)),"")</f>
        <v/>
      </c>
      <c r="C163" s="118" t="str">
        <f>IFERROR(INDEX(DA_SAP!$C:$C,(_xlfn.AGGREGATE(15,6,(ROW(DA_SAP!$F$3:$F$423)-2)/(DA_SAP!$F$3:$F$423=$A$128)*($A$128&lt;&gt;""),ROW()-130)+2)),"")</f>
        <v/>
      </c>
      <c r="D163" s="118" t="str">
        <f>IF($H$4="EFFACER","",IFERROR(INDEX(DA_SAP!$D:$D,(_xlfn.AGGREGATE(15,6,(ROW(DA_SAP!$F$3:$F$423)-2)/(DA_SAP!$F$3:$F$423=$A$128)*($A$128&lt;&gt;""),ROW()-130)+2)),""))</f>
        <v/>
      </c>
      <c r="E163" s="119" t="str">
        <f t="shared" ref="E163:E190" si="5">IF($A163="","",$H$1)</f>
        <v/>
      </c>
    </row>
    <row r="164" spans="1:5" x14ac:dyDescent="0.25">
      <c r="A164" s="117" t="str">
        <f>IFERROR(INDEX(DA_SAP!$A:$A,(_xlfn.AGGREGATE(15,6,(ROW(DA_SAP!$F$3:$F$423)-2)/(DA_SAP!$F$3:$F$423=$A$128)*($A$128&lt;&gt;""),ROW()-130)+2)),"")</f>
        <v/>
      </c>
      <c r="B164" s="118" t="str">
        <f>IFERROR(INDEX(DA_SAP!$B:$B,(_xlfn.AGGREGATE(15,6,(ROW(DA_SAP!$F$3:$F$423)-2)/(DA_SAP!$F$3:$F$423=$A$128)*($A$128&lt;&gt;""),ROW()-130)+2)),"")</f>
        <v/>
      </c>
      <c r="C164" s="118" t="str">
        <f>IFERROR(INDEX(DA_SAP!$C:$C,(_xlfn.AGGREGATE(15,6,(ROW(DA_SAP!$F$3:$F$423)-2)/(DA_SAP!$F$3:$F$423=$A$128)*($A$128&lt;&gt;""),ROW()-130)+2)),"")</f>
        <v/>
      </c>
      <c r="D164" s="118" t="str">
        <f>IF($H$4="EFFACER","",IFERROR(INDEX(DA_SAP!$D:$D,(_xlfn.AGGREGATE(15,6,(ROW(DA_SAP!$F$3:$F$423)-2)/(DA_SAP!$F$3:$F$423=$A$128)*($A$128&lt;&gt;""),ROW()-130)+2)),""))</f>
        <v/>
      </c>
      <c r="E164" s="119" t="str">
        <f t="shared" si="5"/>
        <v/>
      </c>
    </row>
    <row r="165" spans="1:5" x14ac:dyDescent="0.25">
      <c r="A165" s="117" t="str">
        <f>IFERROR(INDEX(DA_SAP!$A:$A,(_xlfn.AGGREGATE(15,6,(ROW(DA_SAP!$F$3:$F$423)-2)/(DA_SAP!$F$3:$F$423=$A$128)*($A$128&lt;&gt;""),ROW()-130)+2)),"")</f>
        <v/>
      </c>
      <c r="B165" s="118" t="str">
        <f>IFERROR(INDEX(DA_SAP!$B:$B,(_xlfn.AGGREGATE(15,6,(ROW(DA_SAP!$F$3:$F$423)-2)/(DA_SAP!$F$3:$F$423=$A$128)*($A$128&lt;&gt;""),ROW()-130)+2)),"")</f>
        <v/>
      </c>
      <c r="C165" s="118" t="str">
        <f>IFERROR(INDEX(DA_SAP!$C:$C,(_xlfn.AGGREGATE(15,6,(ROW(DA_SAP!$F$3:$F$423)-2)/(DA_SAP!$F$3:$F$423=$A$128)*($A$128&lt;&gt;""),ROW()-130)+2)),"")</f>
        <v/>
      </c>
      <c r="D165" s="118" t="str">
        <f>IF($H$4="EFFACER","",IFERROR(INDEX(DA_SAP!$D:$D,(_xlfn.AGGREGATE(15,6,(ROW(DA_SAP!$F$3:$F$423)-2)/(DA_SAP!$F$3:$F$423=$A$128)*($A$128&lt;&gt;""),ROW()-130)+2)),""))</f>
        <v/>
      </c>
      <c r="E165" s="119" t="str">
        <f t="shared" si="5"/>
        <v/>
      </c>
    </row>
    <row r="166" spans="1:5" x14ac:dyDescent="0.25">
      <c r="A166" s="117" t="str">
        <f>IFERROR(INDEX(DA_SAP!$A:$A,(_xlfn.AGGREGATE(15,6,(ROW(DA_SAP!$F$3:$F$423)-2)/(DA_SAP!$F$3:$F$423=$A$128)*($A$128&lt;&gt;""),ROW()-130)+2)),"")</f>
        <v/>
      </c>
      <c r="B166" s="118" t="str">
        <f>IFERROR(INDEX(DA_SAP!$B:$B,(_xlfn.AGGREGATE(15,6,(ROW(DA_SAP!$F$3:$F$423)-2)/(DA_SAP!$F$3:$F$423=$A$128)*($A$128&lt;&gt;""),ROW()-130)+2)),"")</f>
        <v/>
      </c>
      <c r="C166" s="118" t="str">
        <f>IFERROR(INDEX(DA_SAP!$C:$C,(_xlfn.AGGREGATE(15,6,(ROW(DA_SAP!$F$3:$F$423)-2)/(DA_SAP!$F$3:$F$423=$A$128)*($A$128&lt;&gt;""),ROW()-130)+2)),"")</f>
        <v/>
      </c>
      <c r="D166" s="118" t="str">
        <f>IF($H$4="EFFACER","",IFERROR(INDEX(DA_SAP!$D:$D,(_xlfn.AGGREGATE(15,6,(ROW(DA_SAP!$F$3:$F$423)-2)/(DA_SAP!$F$3:$F$423=$A$128)*($A$128&lt;&gt;""),ROW()-130)+2)),""))</f>
        <v/>
      </c>
      <c r="E166" s="119" t="str">
        <f t="shared" si="5"/>
        <v/>
      </c>
    </row>
    <row r="167" spans="1:5" x14ac:dyDescent="0.25">
      <c r="A167" s="117" t="str">
        <f>IFERROR(INDEX(DA_SAP!$A:$A,(_xlfn.AGGREGATE(15,6,(ROW(DA_SAP!$F$3:$F$423)-2)/(DA_SAP!$F$3:$F$423=$A$128)*($A$128&lt;&gt;""),ROW()-130)+2)),"")</f>
        <v/>
      </c>
      <c r="B167" s="118" t="str">
        <f>IFERROR(INDEX(DA_SAP!$B:$B,(_xlfn.AGGREGATE(15,6,(ROW(DA_SAP!$F$3:$F$423)-2)/(DA_SAP!$F$3:$F$423=$A$128)*($A$128&lt;&gt;""),ROW()-130)+2)),"")</f>
        <v/>
      </c>
      <c r="C167" s="118" t="str">
        <f>IFERROR(INDEX(DA_SAP!$C:$C,(_xlfn.AGGREGATE(15,6,(ROW(DA_SAP!$F$3:$F$423)-2)/(DA_SAP!$F$3:$F$423=$A$128)*($A$128&lt;&gt;""),ROW()-130)+2)),"")</f>
        <v/>
      </c>
      <c r="D167" s="118" t="str">
        <f>IF($H$4="EFFACER","",IFERROR(INDEX(DA_SAP!$D:$D,(_xlfn.AGGREGATE(15,6,(ROW(DA_SAP!$F$3:$F$423)-2)/(DA_SAP!$F$3:$F$423=$A$128)*($A$128&lt;&gt;""),ROW()-130)+2)),""))</f>
        <v/>
      </c>
      <c r="E167" s="119" t="str">
        <f t="shared" si="5"/>
        <v/>
      </c>
    </row>
    <row r="168" spans="1:5" x14ac:dyDescent="0.25">
      <c r="A168" s="117" t="str">
        <f>IFERROR(INDEX(DA_SAP!$A:$A,(_xlfn.AGGREGATE(15,6,(ROW(DA_SAP!$F$3:$F$423)-2)/(DA_SAP!$F$3:$F$423=$A$128)*($A$128&lt;&gt;""),ROW()-130)+2)),"")</f>
        <v/>
      </c>
      <c r="B168" s="118" t="str">
        <f>IFERROR(INDEX(DA_SAP!$B:$B,(_xlfn.AGGREGATE(15,6,(ROW(DA_SAP!$F$3:$F$423)-2)/(DA_SAP!$F$3:$F$423=$A$128)*($A$128&lt;&gt;""),ROW()-130)+2)),"")</f>
        <v/>
      </c>
      <c r="C168" s="118" t="str">
        <f>IFERROR(INDEX(DA_SAP!$C:$C,(_xlfn.AGGREGATE(15,6,(ROW(DA_SAP!$F$3:$F$423)-2)/(DA_SAP!$F$3:$F$423=$A$128)*($A$128&lt;&gt;""),ROW()-130)+2)),"")</f>
        <v/>
      </c>
      <c r="D168" s="118" t="str">
        <f>IF($H$4="EFFACER","",IFERROR(INDEX(DA_SAP!$D:$D,(_xlfn.AGGREGATE(15,6,(ROW(DA_SAP!$F$3:$F$423)-2)/(DA_SAP!$F$3:$F$423=$A$128)*($A$128&lt;&gt;""),ROW()-130)+2)),""))</f>
        <v/>
      </c>
      <c r="E168" s="119" t="str">
        <f t="shared" si="5"/>
        <v/>
      </c>
    </row>
    <row r="169" spans="1:5" x14ac:dyDescent="0.25">
      <c r="A169" s="117" t="str">
        <f>IFERROR(INDEX(DA_SAP!$A:$A,(_xlfn.AGGREGATE(15,6,(ROW(DA_SAP!$F$3:$F$423)-2)/(DA_SAP!$F$3:$F$423=$A$128)*($A$128&lt;&gt;""),ROW()-130)+2)),"")</f>
        <v/>
      </c>
      <c r="B169" s="118" t="str">
        <f>IFERROR(INDEX(DA_SAP!$B:$B,(_xlfn.AGGREGATE(15,6,(ROW(DA_SAP!$F$3:$F$423)-2)/(DA_SAP!$F$3:$F$423=$A$128)*($A$128&lt;&gt;""),ROW()-130)+2)),"")</f>
        <v/>
      </c>
      <c r="C169" s="118" t="str">
        <f>IFERROR(INDEX(DA_SAP!$C:$C,(_xlfn.AGGREGATE(15,6,(ROW(DA_SAP!$F$3:$F$423)-2)/(DA_SAP!$F$3:$F$423=$A$128)*($A$128&lt;&gt;""),ROW()-130)+2)),"")</f>
        <v/>
      </c>
      <c r="D169" s="118" t="str">
        <f>IF($H$4="EFFACER","",IFERROR(INDEX(DA_SAP!$D:$D,(_xlfn.AGGREGATE(15,6,(ROW(DA_SAP!$F$3:$F$423)-2)/(DA_SAP!$F$3:$F$423=$A$128)*($A$128&lt;&gt;""),ROW()-130)+2)),""))</f>
        <v/>
      </c>
      <c r="E169" s="119" t="str">
        <f t="shared" si="5"/>
        <v/>
      </c>
    </row>
    <row r="170" spans="1:5" x14ac:dyDescent="0.25">
      <c r="A170" s="117" t="str">
        <f>IFERROR(INDEX(DA_SAP!$A:$A,(_xlfn.AGGREGATE(15,6,(ROW(DA_SAP!$F$3:$F$423)-2)/(DA_SAP!$F$3:$F$423=$A$128)*($A$128&lt;&gt;""),ROW()-130)+2)),"")</f>
        <v/>
      </c>
      <c r="B170" s="118" t="str">
        <f>IFERROR(INDEX(DA_SAP!$B:$B,(_xlfn.AGGREGATE(15,6,(ROW(DA_SAP!$F$3:$F$423)-2)/(DA_SAP!$F$3:$F$423=$A$128)*($A$128&lt;&gt;""),ROW()-130)+2)),"")</f>
        <v/>
      </c>
      <c r="C170" s="118" t="str">
        <f>IFERROR(INDEX(DA_SAP!$C:$C,(_xlfn.AGGREGATE(15,6,(ROW(DA_SAP!$F$3:$F$423)-2)/(DA_SAP!$F$3:$F$423=$A$128)*($A$128&lt;&gt;""),ROW()-130)+2)),"")</f>
        <v/>
      </c>
      <c r="D170" s="118" t="str">
        <f>IF($H$4="EFFACER","",IFERROR(INDEX(DA_SAP!$D:$D,(_xlfn.AGGREGATE(15,6,(ROW(DA_SAP!$F$3:$F$423)-2)/(DA_SAP!$F$3:$F$423=$A$128)*($A$128&lt;&gt;""),ROW()-130)+2)),""))</f>
        <v/>
      </c>
      <c r="E170" s="119" t="str">
        <f t="shared" si="5"/>
        <v/>
      </c>
    </row>
    <row r="171" spans="1:5" x14ac:dyDescent="0.25">
      <c r="A171" s="117" t="str">
        <f>IFERROR(INDEX(DA_SAP!$A:$A,(_xlfn.AGGREGATE(15,6,(ROW(DA_SAP!$F$3:$F$423)-2)/(DA_SAP!$F$3:$F$423=$A$128)*($A$128&lt;&gt;""),ROW()-130)+2)),"")</f>
        <v/>
      </c>
      <c r="B171" s="118" t="str">
        <f>IFERROR(INDEX(DA_SAP!$B:$B,(_xlfn.AGGREGATE(15,6,(ROW(DA_SAP!$F$3:$F$423)-2)/(DA_SAP!$F$3:$F$423=$A$128)*($A$128&lt;&gt;""),ROW()-130)+2)),"")</f>
        <v/>
      </c>
      <c r="C171" s="118" t="str">
        <f>IFERROR(INDEX(DA_SAP!$C:$C,(_xlfn.AGGREGATE(15,6,(ROW(DA_SAP!$F$3:$F$423)-2)/(DA_SAP!$F$3:$F$423=$A$128)*($A$128&lt;&gt;""),ROW()-130)+2)),"")</f>
        <v/>
      </c>
      <c r="D171" s="118" t="str">
        <f>IF($H$4="EFFACER","",IFERROR(INDEX(DA_SAP!$D:$D,(_xlfn.AGGREGATE(15,6,(ROW(DA_SAP!$F$3:$F$423)-2)/(DA_SAP!$F$3:$F$423=$A$128)*($A$128&lt;&gt;""),ROW()-130)+2)),""))</f>
        <v/>
      </c>
      <c r="E171" s="119" t="str">
        <f t="shared" si="5"/>
        <v/>
      </c>
    </row>
    <row r="172" spans="1:5" x14ac:dyDescent="0.25">
      <c r="A172" s="117" t="str">
        <f>IFERROR(INDEX(DA_SAP!$A:$A,(_xlfn.AGGREGATE(15,6,(ROW(DA_SAP!$F$3:$F$423)-2)/(DA_SAP!$F$3:$F$423=$A$128)*($A$128&lt;&gt;""),ROW()-130)+2)),"")</f>
        <v/>
      </c>
      <c r="B172" s="118" t="str">
        <f>IFERROR(INDEX(DA_SAP!$B:$B,(_xlfn.AGGREGATE(15,6,(ROW(DA_SAP!$F$3:$F$423)-2)/(DA_SAP!$F$3:$F$423=$A$128)*($A$128&lt;&gt;""),ROW()-130)+2)),"")</f>
        <v/>
      </c>
      <c r="C172" s="118" t="str">
        <f>IFERROR(INDEX(DA_SAP!$C:$C,(_xlfn.AGGREGATE(15,6,(ROW(DA_SAP!$F$3:$F$423)-2)/(DA_SAP!$F$3:$F$423=$A$128)*($A$128&lt;&gt;""),ROW()-130)+2)),"")</f>
        <v/>
      </c>
      <c r="D172" s="118" t="str">
        <f>IF($H$4="EFFACER","",IFERROR(INDEX(DA_SAP!$D:$D,(_xlfn.AGGREGATE(15,6,(ROW(DA_SAP!$F$3:$F$423)-2)/(DA_SAP!$F$3:$F$423=$A$128)*($A$128&lt;&gt;""),ROW()-130)+2)),""))</f>
        <v/>
      </c>
      <c r="E172" s="119" t="str">
        <f t="shared" si="5"/>
        <v/>
      </c>
    </row>
    <row r="173" spans="1:5" x14ac:dyDescent="0.25">
      <c r="A173" s="117" t="str">
        <f>IFERROR(INDEX(DA_SAP!$A:$A,(_xlfn.AGGREGATE(15,6,(ROW(DA_SAP!$F$3:$F$423)-2)/(DA_SAP!$F$3:$F$423=$A$128)*($A$128&lt;&gt;""),ROW()-130)+2)),"")</f>
        <v/>
      </c>
      <c r="B173" s="118" t="str">
        <f>IFERROR(INDEX(DA_SAP!$B:$B,(_xlfn.AGGREGATE(15,6,(ROW(DA_SAP!$F$3:$F$423)-2)/(DA_SAP!$F$3:$F$423=$A$128)*($A$128&lt;&gt;""),ROW()-130)+2)),"")</f>
        <v/>
      </c>
      <c r="C173" s="118" t="str">
        <f>IFERROR(INDEX(DA_SAP!$C:$C,(_xlfn.AGGREGATE(15,6,(ROW(DA_SAP!$F$3:$F$423)-2)/(DA_SAP!$F$3:$F$423=$A$128)*($A$128&lt;&gt;""),ROW()-130)+2)),"")</f>
        <v/>
      </c>
      <c r="D173" s="118" t="str">
        <f>IF($H$4="EFFACER","",IFERROR(INDEX(DA_SAP!$D:$D,(_xlfn.AGGREGATE(15,6,(ROW(DA_SAP!$F$3:$F$423)-2)/(DA_SAP!$F$3:$F$423=$A$128)*($A$128&lt;&gt;""),ROW()-130)+2)),""))</f>
        <v/>
      </c>
      <c r="E173" s="119" t="str">
        <f t="shared" si="5"/>
        <v/>
      </c>
    </row>
    <row r="174" spans="1:5" x14ac:dyDescent="0.25">
      <c r="A174" s="117" t="str">
        <f>IFERROR(INDEX(DA_SAP!$A:$A,(_xlfn.AGGREGATE(15,6,(ROW(DA_SAP!$F$3:$F$423)-2)/(DA_SAP!$F$3:$F$423=$A$128)*($A$128&lt;&gt;""),ROW()-130)+2)),"")</f>
        <v/>
      </c>
      <c r="B174" s="118" t="str">
        <f>IFERROR(INDEX(DA_SAP!$B:$B,(_xlfn.AGGREGATE(15,6,(ROW(DA_SAP!$F$3:$F$423)-2)/(DA_SAP!$F$3:$F$423=$A$128)*($A$128&lt;&gt;""),ROW()-130)+2)),"")</f>
        <v/>
      </c>
      <c r="C174" s="118" t="str">
        <f>IFERROR(INDEX(DA_SAP!$C:$C,(_xlfn.AGGREGATE(15,6,(ROW(DA_SAP!$F$3:$F$423)-2)/(DA_SAP!$F$3:$F$423=$A$128)*($A$128&lt;&gt;""),ROW()-130)+2)),"")</f>
        <v/>
      </c>
      <c r="D174" s="118" t="str">
        <f>IF($H$4="EFFACER","",IFERROR(INDEX(DA_SAP!$D:$D,(_xlfn.AGGREGATE(15,6,(ROW(DA_SAP!$F$3:$F$423)-2)/(DA_SAP!$F$3:$F$423=$A$128)*($A$128&lt;&gt;""),ROW()-130)+2)),""))</f>
        <v/>
      </c>
      <c r="E174" s="119" t="str">
        <f t="shared" si="5"/>
        <v/>
      </c>
    </row>
    <row r="175" spans="1:5" x14ac:dyDescent="0.25">
      <c r="A175" s="117" t="str">
        <f>IFERROR(INDEX(DA_SAP!$A:$A,(_xlfn.AGGREGATE(15,6,(ROW(DA_SAP!$F$3:$F$423)-2)/(DA_SAP!$F$3:$F$423=$A$128)*($A$128&lt;&gt;""),ROW()-130)+2)),"")</f>
        <v/>
      </c>
      <c r="B175" s="118" t="str">
        <f>IFERROR(INDEX(DA_SAP!$B:$B,(_xlfn.AGGREGATE(15,6,(ROW(DA_SAP!$F$3:$F$423)-2)/(DA_SAP!$F$3:$F$423=$A$128)*($A$128&lt;&gt;""),ROW()-130)+2)),"")</f>
        <v/>
      </c>
      <c r="C175" s="118" t="str">
        <f>IFERROR(INDEX(DA_SAP!$C:$C,(_xlfn.AGGREGATE(15,6,(ROW(DA_SAP!$F$3:$F$423)-2)/(DA_SAP!$F$3:$F$423=$A$128)*($A$128&lt;&gt;""),ROW()-130)+2)),"")</f>
        <v/>
      </c>
      <c r="D175" s="118" t="str">
        <f>IF($H$4="EFFACER","",IFERROR(INDEX(DA_SAP!$D:$D,(_xlfn.AGGREGATE(15,6,(ROW(DA_SAP!$F$3:$F$423)-2)/(DA_SAP!$F$3:$F$423=$A$128)*($A$128&lt;&gt;""),ROW()-130)+2)),""))</f>
        <v/>
      </c>
      <c r="E175" s="119" t="str">
        <f t="shared" si="5"/>
        <v/>
      </c>
    </row>
    <row r="176" spans="1:5" x14ac:dyDescent="0.25">
      <c r="A176" s="117" t="str">
        <f>IFERROR(INDEX(DA_SAP!$A:$A,(_xlfn.AGGREGATE(15,6,(ROW(DA_SAP!$F$3:$F$423)-2)/(DA_SAP!$F$3:$F$423=$A$128)*($A$128&lt;&gt;""),ROW()-130)+2)),"")</f>
        <v/>
      </c>
      <c r="B176" s="118" t="str">
        <f>IFERROR(INDEX(DA_SAP!$B:$B,(_xlfn.AGGREGATE(15,6,(ROW(DA_SAP!$F$3:$F$423)-2)/(DA_SAP!$F$3:$F$423=$A$128)*($A$128&lt;&gt;""),ROW()-130)+2)),"")</f>
        <v/>
      </c>
      <c r="C176" s="118" t="str">
        <f>IFERROR(INDEX(DA_SAP!$C:$C,(_xlfn.AGGREGATE(15,6,(ROW(DA_SAP!$F$3:$F$423)-2)/(DA_SAP!$F$3:$F$423=$A$128)*($A$128&lt;&gt;""),ROW()-130)+2)),"")</f>
        <v/>
      </c>
      <c r="D176" s="118" t="str">
        <f>IF($H$4="EFFACER","",IFERROR(INDEX(DA_SAP!$D:$D,(_xlfn.AGGREGATE(15,6,(ROW(DA_SAP!$F$3:$F$423)-2)/(DA_SAP!$F$3:$F$423=$A$128)*($A$128&lt;&gt;""),ROW()-130)+2)),""))</f>
        <v/>
      </c>
      <c r="E176" s="119" t="str">
        <f t="shared" si="5"/>
        <v/>
      </c>
    </row>
    <row r="177" spans="1:5" x14ac:dyDescent="0.25">
      <c r="A177" s="117" t="str">
        <f>IFERROR(INDEX(DA_SAP!$A:$A,(_xlfn.AGGREGATE(15,6,(ROW(DA_SAP!$F$3:$F$423)-2)/(DA_SAP!$F$3:$F$423=$A$128)*($A$128&lt;&gt;""),ROW()-130)+2)),"")</f>
        <v/>
      </c>
      <c r="B177" s="118" t="str">
        <f>IFERROR(INDEX(DA_SAP!$B:$B,(_xlfn.AGGREGATE(15,6,(ROW(DA_SAP!$F$3:$F$423)-2)/(DA_SAP!$F$3:$F$423=$A$128)*($A$128&lt;&gt;""),ROW()-130)+2)),"")</f>
        <v/>
      </c>
      <c r="C177" s="118" t="str">
        <f>IFERROR(INDEX(DA_SAP!$C:$C,(_xlfn.AGGREGATE(15,6,(ROW(DA_SAP!$F$3:$F$423)-2)/(DA_SAP!$F$3:$F$423=$A$128)*($A$128&lt;&gt;""),ROW()-130)+2)),"")</f>
        <v/>
      </c>
      <c r="D177" s="118" t="str">
        <f>IF($H$4="EFFACER","",IFERROR(INDEX(DA_SAP!$D:$D,(_xlfn.AGGREGATE(15,6,(ROW(DA_SAP!$F$3:$F$423)-2)/(DA_SAP!$F$3:$F$423=$A$128)*($A$128&lt;&gt;""),ROW()-130)+2)),""))</f>
        <v/>
      </c>
      <c r="E177" s="119" t="str">
        <f t="shared" si="5"/>
        <v/>
      </c>
    </row>
    <row r="178" spans="1:5" x14ac:dyDescent="0.25">
      <c r="A178" s="117" t="str">
        <f>IFERROR(INDEX(DA_SAP!$A:$A,(_xlfn.AGGREGATE(15,6,(ROW(DA_SAP!$F$3:$F$423)-2)/(DA_SAP!$F$3:$F$423=$A$128)*($A$128&lt;&gt;""),ROW()-130)+2)),"")</f>
        <v/>
      </c>
      <c r="B178" s="118" t="str">
        <f>IFERROR(INDEX(DA_SAP!$B:$B,(_xlfn.AGGREGATE(15,6,(ROW(DA_SAP!$F$3:$F$423)-2)/(DA_SAP!$F$3:$F$423=$A$128)*($A$128&lt;&gt;""),ROW()-130)+2)),"")</f>
        <v/>
      </c>
      <c r="C178" s="118" t="str">
        <f>IFERROR(INDEX(DA_SAP!$C:$C,(_xlfn.AGGREGATE(15,6,(ROW(DA_SAP!$F$3:$F$423)-2)/(DA_SAP!$F$3:$F$423=$A$128)*($A$128&lt;&gt;""),ROW()-130)+2)),"")</f>
        <v/>
      </c>
      <c r="D178" s="118" t="str">
        <f>IF($H$4="EFFACER","",IFERROR(INDEX(DA_SAP!$D:$D,(_xlfn.AGGREGATE(15,6,(ROW(DA_SAP!$F$3:$F$423)-2)/(DA_SAP!$F$3:$F$423=$A$128)*($A$128&lt;&gt;""),ROW()-130)+2)),""))</f>
        <v/>
      </c>
      <c r="E178" s="119" t="str">
        <f t="shared" si="5"/>
        <v/>
      </c>
    </row>
    <row r="179" spans="1:5" x14ac:dyDescent="0.25">
      <c r="A179" s="117" t="str">
        <f>IFERROR(INDEX(DA_SAP!$A:$A,(_xlfn.AGGREGATE(15,6,(ROW(DA_SAP!$F$3:$F$423)-2)/(DA_SAP!$F$3:$F$423=$A$128)*($A$128&lt;&gt;""),ROW()-130)+2)),"")</f>
        <v/>
      </c>
      <c r="B179" s="118" t="str">
        <f>IFERROR(INDEX(DA_SAP!$B:$B,(_xlfn.AGGREGATE(15,6,(ROW(DA_SAP!$F$3:$F$423)-2)/(DA_SAP!$F$3:$F$423=$A$128)*($A$128&lt;&gt;""),ROW()-130)+2)),"")</f>
        <v/>
      </c>
      <c r="C179" s="118" t="str">
        <f>IFERROR(INDEX(DA_SAP!$C:$C,(_xlfn.AGGREGATE(15,6,(ROW(DA_SAP!$F$3:$F$423)-2)/(DA_SAP!$F$3:$F$423=$A$128)*($A$128&lt;&gt;""),ROW()-130)+2)),"")</f>
        <v/>
      </c>
      <c r="D179" s="118" t="str">
        <f>IF($H$4="EFFACER","",IFERROR(INDEX(DA_SAP!$D:$D,(_xlfn.AGGREGATE(15,6,(ROW(DA_SAP!$F$3:$F$423)-2)/(DA_SAP!$F$3:$F$423=$A$128)*($A$128&lt;&gt;""),ROW()-130)+2)),""))</f>
        <v/>
      </c>
      <c r="E179" s="119" t="str">
        <f t="shared" si="5"/>
        <v/>
      </c>
    </row>
    <row r="180" spans="1:5" x14ac:dyDescent="0.25">
      <c r="A180" s="117" t="str">
        <f>IFERROR(INDEX(DA_SAP!$A:$A,(_xlfn.AGGREGATE(15,6,(ROW(DA_SAP!$F$3:$F$423)-2)/(DA_SAP!$F$3:$F$423=$A$128)*($A$128&lt;&gt;""),ROW()-130)+2)),"")</f>
        <v/>
      </c>
      <c r="B180" s="118" t="str">
        <f>IFERROR(INDEX(DA_SAP!$B:$B,(_xlfn.AGGREGATE(15,6,(ROW(DA_SAP!$F$3:$F$423)-2)/(DA_SAP!$F$3:$F$423=$A$128)*($A$128&lt;&gt;""),ROW()-130)+2)),"")</f>
        <v/>
      </c>
      <c r="C180" s="118" t="str">
        <f>IFERROR(INDEX(DA_SAP!$C:$C,(_xlfn.AGGREGATE(15,6,(ROW(DA_SAP!$F$3:$F$423)-2)/(DA_SAP!$F$3:$F$423=$A$128)*($A$128&lt;&gt;""),ROW()-130)+2)),"")</f>
        <v/>
      </c>
      <c r="D180" s="118" t="str">
        <f>IF($H$4="EFFACER","",IFERROR(INDEX(DA_SAP!$D:$D,(_xlfn.AGGREGATE(15,6,(ROW(DA_SAP!$F$3:$F$423)-2)/(DA_SAP!$F$3:$F$423=$A$128)*($A$128&lt;&gt;""),ROW()-130)+2)),""))</f>
        <v/>
      </c>
      <c r="E180" s="119" t="str">
        <f t="shared" si="5"/>
        <v/>
      </c>
    </row>
    <row r="181" spans="1:5" x14ac:dyDescent="0.25">
      <c r="A181" s="117" t="str">
        <f>IFERROR(INDEX(DA_SAP!$A:$A,(_xlfn.AGGREGATE(15,6,(ROW(DA_SAP!$F$3:$F$423)-2)/(DA_SAP!$F$3:$F$423=$A$128)*($A$128&lt;&gt;""),ROW()-130)+2)),"")</f>
        <v/>
      </c>
      <c r="B181" s="118" t="str">
        <f>IFERROR(INDEX(DA_SAP!$B:$B,(_xlfn.AGGREGATE(15,6,(ROW(DA_SAP!$F$3:$F$423)-2)/(DA_SAP!$F$3:$F$423=$A$128)*($A$128&lt;&gt;""),ROW()-130)+2)),"")</f>
        <v/>
      </c>
      <c r="C181" s="118" t="str">
        <f>IFERROR(INDEX(DA_SAP!$C:$C,(_xlfn.AGGREGATE(15,6,(ROW(DA_SAP!$F$3:$F$423)-2)/(DA_SAP!$F$3:$F$423=$A$128)*($A$128&lt;&gt;""),ROW()-130)+2)),"")</f>
        <v/>
      </c>
      <c r="D181" s="118" t="str">
        <f>IF($H$4="EFFACER","",IFERROR(INDEX(DA_SAP!$D:$D,(_xlfn.AGGREGATE(15,6,(ROW(DA_SAP!$F$3:$F$423)-2)/(DA_SAP!$F$3:$F$423=$A$128)*($A$128&lt;&gt;""),ROW()-130)+2)),""))</f>
        <v/>
      </c>
      <c r="E181" s="119" t="str">
        <f t="shared" si="5"/>
        <v/>
      </c>
    </row>
    <row r="182" spans="1:5" x14ac:dyDescent="0.25">
      <c r="A182" s="117" t="str">
        <f>IFERROR(INDEX(DA_SAP!$A:$A,(_xlfn.AGGREGATE(15,6,(ROW(DA_SAP!$F$3:$F$423)-2)/(DA_SAP!$F$3:$F$423=$A$128)*($A$128&lt;&gt;""),ROW()-130)+2)),"")</f>
        <v/>
      </c>
      <c r="B182" s="118" t="str">
        <f>IFERROR(INDEX(DA_SAP!$B:$B,(_xlfn.AGGREGATE(15,6,(ROW(DA_SAP!$F$3:$F$423)-2)/(DA_SAP!$F$3:$F$423=$A$128)*($A$128&lt;&gt;""),ROW()-130)+2)),"")</f>
        <v/>
      </c>
      <c r="C182" s="118" t="str">
        <f>IFERROR(INDEX(DA_SAP!$C:$C,(_xlfn.AGGREGATE(15,6,(ROW(DA_SAP!$F$3:$F$423)-2)/(DA_SAP!$F$3:$F$423=$A$128)*($A$128&lt;&gt;""),ROW()-130)+2)),"")</f>
        <v/>
      </c>
      <c r="D182" s="118" t="str">
        <f>IF($H$4="EFFACER","",IFERROR(INDEX(DA_SAP!$D:$D,(_xlfn.AGGREGATE(15,6,(ROW(DA_SAP!$F$3:$F$423)-2)/(DA_SAP!$F$3:$F$423=$A$128)*($A$128&lt;&gt;""),ROW()-130)+2)),""))</f>
        <v/>
      </c>
      <c r="E182" s="119" t="str">
        <f t="shared" si="5"/>
        <v/>
      </c>
    </row>
    <row r="183" spans="1:5" x14ac:dyDescent="0.25">
      <c r="A183" s="117" t="str">
        <f>IFERROR(INDEX(DA_SAP!$A:$A,(_xlfn.AGGREGATE(15,6,(ROW(DA_SAP!$F$3:$F$423)-2)/(DA_SAP!$F$3:$F$423=$A$128)*($A$128&lt;&gt;""),ROW()-130)+2)),"")</f>
        <v/>
      </c>
      <c r="B183" s="118" t="str">
        <f>IFERROR(INDEX(DA_SAP!$B:$B,(_xlfn.AGGREGATE(15,6,(ROW(DA_SAP!$F$3:$F$423)-2)/(DA_SAP!$F$3:$F$423=$A$128)*($A$128&lt;&gt;""),ROW()-130)+2)),"")</f>
        <v/>
      </c>
      <c r="C183" s="118" t="str">
        <f>IFERROR(INDEX(DA_SAP!$C:$C,(_xlfn.AGGREGATE(15,6,(ROW(DA_SAP!$F$3:$F$423)-2)/(DA_SAP!$F$3:$F$423=$A$128)*($A$128&lt;&gt;""),ROW()-130)+2)),"")</f>
        <v/>
      </c>
      <c r="D183" s="118" t="str">
        <f>IF($H$4="EFFACER","",IFERROR(INDEX(DA_SAP!$D:$D,(_xlfn.AGGREGATE(15,6,(ROW(DA_SAP!$F$3:$F$423)-2)/(DA_SAP!$F$3:$F$423=$A$128)*($A$128&lt;&gt;""),ROW()-130)+2)),""))</f>
        <v/>
      </c>
      <c r="E183" s="119" t="str">
        <f t="shared" si="5"/>
        <v/>
      </c>
    </row>
    <row r="184" spans="1:5" x14ac:dyDescent="0.25">
      <c r="A184" s="117" t="str">
        <f>IFERROR(INDEX(DA_SAP!$A:$A,(_xlfn.AGGREGATE(15,6,(ROW(DA_SAP!$F$3:$F$423)-2)/(DA_SAP!$F$3:$F$423=$A$128)*($A$128&lt;&gt;""),ROW()-130)+2)),"")</f>
        <v/>
      </c>
      <c r="B184" s="118" t="str">
        <f>IFERROR(INDEX(DA_SAP!$B:$B,(_xlfn.AGGREGATE(15,6,(ROW(DA_SAP!$F$3:$F$423)-2)/(DA_SAP!$F$3:$F$423=$A$128)*($A$128&lt;&gt;""),ROW()-130)+2)),"")</f>
        <v/>
      </c>
      <c r="C184" s="118" t="str">
        <f>IFERROR(INDEX(DA_SAP!$C:$C,(_xlfn.AGGREGATE(15,6,(ROW(DA_SAP!$F$3:$F$423)-2)/(DA_SAP!$F$3:$F$423=$A$128)*($A$128&lt;&gt;""),ROW()-130)+2)),"")</f>
        <v/>
      </c>
      <c r="D184" s="118" t="str">
        <f>IF($H$4="EFFACER","",IFERROR(INDEX(DA_SAP!$D:$D,(_xlfn.AGGREGATE(15,6,(ROW(DA_SAP!$F$3:$F$423)-2)/(DA_SAP!$F$3:$F$423=$A$128)*($A$128&lt;&gt;""),ROW()-130)+2)),""))</f>
        <v/>
      </c>
      <c r="E184" s="119" t="str">
        <f t="shared" si="5"/>
        <v/>
      </c>
    </row>
    <row r="185" spans="1:5" x14ac:dyDescent="0.25">
      <c r="A185" s="117" t="str">
        <f>IFERROR(INDEX(DA_SAP!$A:$A,(_xlfn.AGGREGATE(15,6,(ROW(DA_SAP!$F$3:$F$423)-2)/(DA_SAP!$F$3:$F$423=$A$128)*($A$128&lt;&gt;""),ROW()-130)+2)),"")</f>
        <v/>
      </c>
      <c r="B185" s="118" t="str">
        <f>IFERROR(INDEX(DA_SAP!$B:$B,(_xlfn.AGGREGATE(15,6,(ROW(DA_SAP!$F$3:$F$423)-2)/(DA_SAP!$F$3:$F$423=$A$128)*($A$128&lt;&gt;""),ROW()-130)+2)),"")</f>
        <v/>
      </c>
      <c r="C185" s="118" t="str">
        <f>IFERROR(INDEX(DA_SAP!$C:$C,(_xlfn.AGGREGATE(15,6,(ROW(DA_SAP!$F$3:$F$423)-2)/(DA_SAP!$F$3:$F$423=$A$128)*($A$128&lt;&gt;""),ROW()-130)+2)),"")</f>
        <v/>
      </c>
      <c r="D185" s="118" t="str">
        <f>IF($H$4="EFFACER","",IFERROR(INDEX(DA_SAP!$D:$D,(_xlfn.AGGREGATE(15,6,(ROW(DA_SAP!$F$3:$F$423)-2)/(DA_SAP!$F$3:$F$423=$A$128)*($A$128&lt;&gt;""),ROW()-130)+2)),""))</f>
        <v/>
      </c>
      <c r="E185" s="119" t="str">
        <f t="shared" si="5"/>
        <v/>
      </c>
    </row>
    <row r="186" spans="1:5" x14ac:dyDescent="0.25">
      <c r="A186" s="117" t="str">
        <f>IFERROR(INDEX(DA_SAP!$A:$A,(_xlfn.AGGREGATE(15,6,(ROW(DA_SAP!$F$3:$F$423)-2)/(DA_SAP!$F$3:$F$423=$A$128)*($A$128&lt;&gt;""),ROW()-130)+2)),"")</f>
        <v/>
      </c>
      <c r="B186" s="118" t="str">
        <f>IFERROR(INDEX(DA_SAP!$B:$B,(_xlfn.AGGREGATE(15,6,(ROW(DA_SAP!$F$3:$F$423)-2)/(DA_SAP!$F$3:$F$423=$A$128)*($A$128&lt;&gt;""),ROW()-130)+2)),"")</f>
        <v/>
      </c>
      <c r="C186" s="118" t="str">
        <f>IFERROR(INDEX(DA_SAP!$C:$C,(_xlfn.AGGREGATE(15,6,(ROW(DA_SAP!$F$3:$F$423)-2)/(DA_SAP!$F$3:$F$423=$A$128)*($A$128&lt;&gt;""),ROW()-130)+2)),"")</f>
        <v/>
      </c>
      <c r="D186" s="118" t="str">
        <f>IF($H$4="EFFACER","",IFERROR(INDEX(DA_SAP!$D:$D,(_xlfn.AGGREGATE(15,6,(ROW(DA_SAP!$F$3:$F$423)-2)/(DA_SAP!$F$3:$F$423=$A$128)*($A$128&lt;&gt;""),ROW()-130)+2)),""))</f>
        <v/>
      </c>
      <c r="E186" s="119" t="str">
        <f t="shared" si="5"/>
        <v/>
      </c>
    </row>
    <row r="187" spans="1:5" x14ac:dyDescent="0.25">
      <c r="A187" s="117" t="str">
        <f>IFERROR(INDEX(DA_SAP!$A:$A,(_xlfn.AGGREGATE(15,6,(ROW(DA_SAP!$F$3:$F$423)-2)/(DA_SAP!$F$3:$F$423=$A$128)*($A$128&lt;&gt;""),ROW()-130)+2)),"")</f>
        <v/>
      </c>
      <c r="B187" s="118" t="str">
        <f>IFERROR(INDEX(DA_SAP!$B:$B,(_xlfn.AGGREGATE(15,6,(ROW(DA_SAP!$F$3:$F$423)-2)/(DA_SAP!$F$3:$F$423=$A$128)*($A$128&lt;&gt;""),ROW()-130)+2)),"")</f>
        <v/>
      </c>
      <c r="C187" s="118" t="str">
        <f>IFERROR(INDEX(DA_SAP!$C:$C,(_xlfn.AGGREGATE(15,6,(ROW(DA_SAP!$F$3:$F$423)-2)/(DA_SAP!$F$3:$F$423=$A$128)*($A$128&lt;&gt;""),ROW()-130)+2)),"")</f>
        <v/>
      </c>
      <c r="D187" s="118" t="str">
        <f>IF($H$4="EFFACER","",IFERROR(INDEX(DA_SAP!$D:$D,(_xlfn.AGGREGATE(15,6,(ROW(DA_SAP!$F$3:$F$423)-2)/(DA_SAP!$F$3:$F$423=$A$128)*($A$128&lt;&gt;""),ROW()-130)+2)),""))</f>
        <v/>
      </c>
      <c r="E187" s="119" t="str">
        <f t="shared" si="5"/>
        <v/>
      </c>
    </row>
    <row r="188" spans="1:5" x14ac:dyDescent="0.25">
      <c r="A188" s="117" t="str">
        <f>IFERROR(INDEX(DA_SAP!$A:$A,(_xlfn.AGGREGATE(15,6,(ROW(DA_SAP!$F$3:$F$423)-2)/(DA_SAP!$F$3:$F$423=$A$128)*($A$128&lt;&gt;""),ROW()-130)+2)),"")</f>
        <v/>
      </c>
      <c r="B188" s="118" t="str">
        <f>IFERROR(INDEX(DA_SAP!$B:$B,(_xlfn.AGGREGATE(15,6,(ROW(DA_SAP!$F$3:$F$423)-2)/(DA_SAP!$F$3:$F$423=$A$128)*($A$128&lt;&gt;""),ROW()-130)+2)),"")</f>
        <v/>
      </c>
      <c r="C188" s="118" t="str">
        <f>IFERROR(INDEX(DA_SAP!$C:$C,(_xlfn.AGGREGATE(15,6,(ROW(DA_SAP!$F$3:$F$423)-2)/(DA_SAP!$F$3:$F$423=$A$128)*($A$128&lt;&gt;""),ROW()-130)+2)),"")</f>
        <v/>
      </c>
      <c r="D188" s="118" t="str">
        <f>IF($H$4="EFFACER","",IFERROR(INDEX(DA_SAP!$D:$D,(_xlfn.AGGREGATE(15,6,(ROW(DA_SAP!$F$3:$F$423)-2)/(DA_SAP!$F$3:$F$423=$A$128)*($A$128&lt;&gt;""),ROW()-130)+2)),""))</f>
        <v/>
      </c>
      <c r="E188" s="119" t="str">
        <f t="shared" si="5"/>
        <v/>
      </c>
    </row>
    <row r="189" spans="1:5" ht="15.75" customHeight="1" x14ac:dyDescent="0.25">
      <c r="A189" s="117" t="str">
        <f>IFERROR(INDEX(DA_SAP!$A:$A,(_xlfn.AGGREGATE(15,6,(ROW(DA_SAP!$F$3:$F$423)-2)/(DA_SAP!$F$3:$F$423=$A$128)*($A$128&lt;&gt;""),ROW()-130)+2)),"")</f>
        <v/>
      </c>
      <c r="B189" s="118" t="str">
        <f>IFERROR(INDEX(DA_SAP!$B:$B,(_xlfn.AGGREGATE(15,6,(ROW(DA_SAP!$F$3:$F$423)-2)/(DA_SAP!$F$3:$F$423=$A$128)*($A$128&lt;&gt;""),ROW()-130)+2)),"")</f>
        <v/>
      </c>
      <c r="C189" s="118" t="str">
        <f>IFERROR(INDEX(DA_SAP!$C:$C,(_xlfn.AGGREGATE(15,6,(ROW(DA_SAP!$F$3:$F$423)-2)/(DA_SAP!$F$3:$F$423=$A$128)*($A$128&lt;&gt;""),ROW()-130)+2)),"")</f>
        <v/>
      </c>
      <c r="D189" s="118" t="str">
        <f>IF($H$4="EFFACER","",IFERROR(INDEX(DA_SAP!$D:$D,(_xlfn.AGGREGATE(15,6,(ROW(DA_SAP!$F$3:$F$423)-2)/(DA_SAP!$F$3:$F$423=$A$128)*($A$128&lt;&gt;""),ROW()-130)+2)),""))</f>
        <v/>
      </c>
      <c r="E189" s="119" t="str">
        <f t="shared" si="5"/>
        <v/>
      </c>
    </row>
    <row r="190" spans="1:5" ht="15.75" customHeight="1" x14ac:dyDescent="0.25">
      <c r="A190" s="121"/>
      <c r="B190" s="121"/>
      <c r="C190" s="121"/>
      <c r="D190" s="121"/>
      <c r="E190" s="121" t="str">
        <f t="shared" si="5"/>
        <v/>
      </c>
    </row>
    <row r="191" spans="1:5" ht="15.75" customHeight="1" x14ac:dyDescent="0.3">
      <c r="A191" s="111" t="str">
        <f>IFERROR(INDEX(Catalogue!$K:$K,_xlfn.AGGREGATE(15,6,(ROW(Catalogue!$L$4:$L$454))/(Catalogue!$L$4:$L$454=1),4)),"")</f>
        <v>ATELIER</v>
      </c>
      <c r="B191" s="112"/>
      <c r="C191" s="112"/>
      <c r="D191" s="112"/>
      <c r="E191" s="113"/>
    </row>
    <row r="192" spans="1:5" x14ac:dyDescent="0.25">
      <c r="A192" s="114" t="s">
        <v>1026</v>
      </c>
      <c r="B192" s="115" t="s">
        <v>1027</v>
      </c>
      <c r="C192" s="115" t="s">
        <v>1152</v>
      </c>
      <c r="D192" s="115" t="s">
        <v>1029</v>
      </c>
      <c r="E192" s="116" t="s">
        <v>1153</v>
      </c>
    </row>
    <row r="193" spans="1:5" x14ac:dyDescent="0.25">
      <c r="A193" s="117" t="str">
        <f>IFERROR(INDEX(DA_SAP!$A:$A,(_xlfn.AGGREGATE(15,6,(ROW(DA_SAP!$F$3:$F$423)-2)/(DA_SAP!$F$3:$F$423=$A$191)*($A$191&lt;&gt;""),ROW()-193)+2)),"")</f>
        <v/>
      </c>
      <c r="B193" s="118" t="str">
        <f>IFERROR(INDEX(DA_SAP!$B:$B,(_xlfn.AGGREGATE(15,6,(ROW(DA_SAP!$F$3:$F$423)-2)/(DA_SAP!$F$3:$F$423=$A$191)*($A$191&lt;&gt;""),ROW()-193)+2)),"")</f>
        <v/>
      </c>
      <c r="C193" s="118" t="str">
        <f>IFERROR(INDEX(DA_SAP!$C:$C,(_xlfn.AGGREGATE(15,6,(ROW(DA_SAP!$F$3:$F$423)-2)/(DA_SAP!$F$3:$F$423=$A$191)*($A$191&lt;&gt;""),ROW()-193)+2)),"")</f>
        <v/>
      </c>
      <c r="D193" s="118" t="str">
        <f>IF($H$4="EFFACER","",IFERROR(INDEX(DA_SAP!$D:$D,(_xlfn.AGGREGATE(15,6,(ROW(DA_SAP!$F$3:$F$423)-2)/(DA_SAP!$F$3:$F$423=$A$191)*($A$191&lt;&gt;""),ROW()-193)+2)),""))</f>
        <v/>
      </c>
      <c r="E193" s="119" t="str">
        <f>IFERROR(INDEX(DA_SAP!$E:$E,(_xlfn.AGGREGATE(15,6,(ROW(DA_SAP!$F$3:$F$423)-2)/(DA_SAP!$F$3:$F$423=$A$191)*($A$191&lt;&gt;""),ROW()-193)+2)),"")</f>
        <v/>
      </c>
    </row>
    <row r="194" spans="1:5" x14ac:dyDescent="0.25">
      <c r="A194" s="117" t="str">
        <f>IFERROR(INDEX(DA_SAP!$A:$A,(_xlfn.AGGREGATE(15,6,(ROW(DA_SAP!$F$3:$F$423)-2)/(DA_SAP!$F$3:$F$423=$A$191)*($A$191&lt;&gt;""),ROW()-193)+2)),"")</f>
        <v/>
      </c>
      <c r="B194" s="118" t="str">
        <f>IFERROR(INDEX(DA_SAP!$B:$B,(_xlfn.AGGREGATE(15,6,(ROW(DA_SAP!$F$3:$F$423)-2)/(DA_SAP!$F$3:$F$423=$A$191)*($A$191&lt;&gt;""),ROW()-193)+2)),"")</f>
        <v/>
      </c>
      <c r="C194" s="118" t="str">
        <f>IFERROR(INDEX(DA_SAP!$C:$C,(_xlfn.AGGREGATE(15,6,(ROW(DA_SAP!$F$3:$F$423)-2)/(DA_SAP!$F$3:$F$423=$A$191)*($A$191&lt;&gt;""),ROW()-193)+2)),"")</f>
        <v/>
      </c>
      <c r="D194" s="118" t="str">
        <f>IF($H$4="EFFACER","",IFERROR(INDEX(DA_SAP!$D:$D,(_xlfn.AGGREGATE(15,6,(ROW(DA_SAP!$F$3:$F$423)-2)/(DA_SAP!$F$3:$F$423=$A$191)*($A$191&lt;&gt;""),ROW()-193)+2)),""))</f>
        <v/>
      </c>
      <c r="E194" s="119" t="str">
        <f t="shared" ref="E194:E225" si="6">IF($A194="","",$H$1)</f>
        <v/>
      </c>
    </row>
    <row r="195" spans="1:5" x14ac:dyDescent="0.25">
      <c r="A195" s="117" t="str">
        <f>IFERROR(INDEX(DA_SAP!$A:$A,(_xlfn.AGGREGATE(15,6,(ROW(DA_SAP!$F$3:$F$423)-2)/(DA_SAP!$F$3:$F$423=$A$191)*($A$191&lt;&gt;""),ROW()-193)+2)),"")</f>
        <v/>
      </c>
      <c r="B195" s="118" t="str">
        <f>IFERROR(INDEX(DA_SAP!$B:$B,(_xlfn.AGGREGATE(15,6,(ROW(DA_SAP!$F$3:$F$423)-2)/(DA_SAP!$F$3:$F$423=$A$191)*($A$191&lt;&gt;""),ROW()-193)+2)),"")</f>
        <v/>
      </c>
      <c r="C195" s="118" t="str">
        <f>IFERROR(INDEX(DA_SAP!$C:$C,(_xlfn.AGGREGATE(15,6,(ROW(DA_SAP!$F$3:$F$423)-2)/(DA_SAP!$F$3:$F$423=$A$191)*($A$191&lt;&gt;""),ROW()-193)+2)),"")</f>
        <v/>
      </c>
      <c r="D195" s="118" t="str">
        <f>IF($H$4="EFFACER","",IFERROR(INDEX(DA_SAP!$D:$D,(_xlfn.AGGREGATE(15,6,(ROW(DA_SAP!$F$3:$F$423)-2)/(DA_SAP!$F$3:$F$423=$A$191)*($A$191&lt;&gt;""),ROW()-193)+2)),""))</f>
        <v/>
      </c>
      <c r="E195" s="119" t="str">
        <f t="shared" si="6"/>
        <v/>
      </c>
    </row>
    <row r="196" spans="1:5" x14ac:dyDescent="0.25">
      <c r="A196" s="117" t="str">
        <f>IFERROR(INDEX(DA_SAP!$A:$A,(_xlfn.AGGREGATE(15,6,(ROW(DA_SAP!$F$3:$F$423)-2)/(DA_SAP!$F$3:$F$423=$A$191)*($A$191&lt;&gt;""),ROW()-193)+2)),"")</f>
        <v/>
      </c>
      <c r="B196" s="118" t="str">
        <f>IFERROR(INDEX(DA_SAP!$B:$B,(_xlfn.AGGREGATE(15,6,(ROW(DA_SAP!$F$3:$F$423)-2)/(DA_SAP!$F$3:$F$423=$A$191)*($A$191&lt;&gt;""),ROW()-193)+2)),"")</f>
        <v/>
      </c>
      <c r="C196" s="118" t="str">
        <f>IFERROR(INDEX(DA_SAP!$C:$C,(_xlfn.AGGREGATE(15,6,(ROW(DA_SAP!$F$3:$F$423)-2)/(DA_SAP!$F$3:$F$423=$A$191)*($A$191&lt;&gt;""),ROW()-193)+2)),"")</f>
        <v/>
      </c>
      <c r="D196" s="118" t="str">
        <f>IF($H$4="EFFACER","",IFERROR(INDEX(DA_SAP!$D:$D,(_xlfn.AGGREGATE(15,6,(ROW(DA_SAP!$F$3:$F$423)-2)/(DA_SAP!$F$3:$F$423=$A$191)*($A$191&lt;&gt;""),ROW()-193)+2)),""))</f>
        <v/>
      </c>
      <c r="E196" s="119" t="str">
        <f t="shared" si="6"/>
        <v/>
      </c>
    </row>
    <row r="197" spans="1:5" x14ac:dyDescent="0.25">
      <c r="A197" s="117" t="str">
        <f>IFERROR(INDEX(DA_SAP!$A:$A,(_xlfn.AGGREGATE(15,6,(ROW(DA_SAP!$F$3:$F$423)-2)/(DA_SAP!$F$3:$F$423=$A$191)*($A$191&lt;&gt;""),ROW()-193)+2)),"")</f>
        <v/>
      </c>
      <c r="B197" s="118" t="str">
        <f>IFERROR(INDEX(DA_SAP!$B:$B,(_xlfn.AGGREGATE(15,6,(ROW(DA_SAP!$F$3:$F$423)-2)/(DA_SAP!$F$3:$F$423=$A$191)*($A$191&lt;&gt;""),ROW()-193)+2)),"")</f>
        <v/>
      </c>
      <c r="C197" s="118" t="str">
        <f>IFERROR(INDEX(DA_SAP!$C:$C,(_xlfn.AGGREGATE(15,6,(ROW(DA_SAP!$F$3:$F$423)-2)/(DA_SAP!$F$3:$F$423=$A$191)*($A$191&lt;&gt;""),ROW()-193)+2)),"")</f>
        <v/>
      </c>
      <c r="D197" s="118" t="str">
        <f>IF($H$4="EFFACER","",IFERROR(INDEX(DA_SAP!$D:$D,(_xlfn.AGGREGATE(15,6,(ROW(DA_SAP!$F$3:$F$423)-2)/(DA_SAP!$F$3:$F$423=$A$191)*($A$191&lt;&gt;""),ROW()-193)+2)),""))</f>
        <v/>
      </c>
      <c r="E197" s="119" t="str">
        <f t="shared" si="6"/>
        <v/>
      </c>
    </row>
    <row r="198" spans="1:5" x14ac:dyDescent="0.25">
      <c r="A198" s="117" t="str">
        <f>IFERROR(INDEX(DA_SAP!$A:$A,(_xlfn.AGGREGATE(15,6,(ROW(DA_SAP!$F$3:$F$423)-2)/(DA_SAP!$F$3:$F$423=$A$191)*($A$191&lt;&gt;""),ROW()-193)+2)),"")</f>
        <v/>
      </c>
      <c r="B198" s="118" t="str">
        <f>IFERROR(INDEX(DA_SAP!$B:$B,(_xlfn.AGGREGATE(15,6,(ROW(DA_SAP!$F$3:$F$423)-2)/(DA_SAP!$F$3:$F$423=$A$191)*($A$191&lt;&gt;""),ROW()-193)+2)),"")</f>
        <v/>
      </c>
      <c r="C198" s="118" t="str">
        <f>IFERROR(INDEX(DA_SAP!$C:$C,(_xlfn.AGGREGATE(15,6,(ROW(DA_SAP!$F$3:$F$423)-2)/(DA_SAP!$F$3:$F$423=$A$191)*($A$191&lt;&gt;""),ROW()-193)+2)),"")</f>
        <v/>
      </c>
      <c r="D198" s="118" t="str">
        <f>IF($H$4="EFFACER","",IFERROR(INDEX(DA_SAP!$D:$D,(_xlfn.AGGREGATE(15,6,(ROW(DA_SAP!$F$3:$F$423)-2)/(DA_SAP!$F$3:$F$423=$A$191)*($A$191&lt;&gt;""),ROW()-193)+2)),""))</f>
        <v/>
      </c>
      <c r="E198" s="119" t="str">
        <f t="shared" si="6"/>
        <v/>
      </c>
    </row>
    <row r="199" spans="1:5" x14ac:dyDescent="0.25">
      <c r="A199" s="117" t="str">
        <f>IFERROR(INDEX(DA_SAP!$A:$A,(_xlfn.AGGREGATE(15,6,(ROW(DA_SAP!$F$3:$F$423)-2)/(DA_SAP!$F$3:$F$423=$A$191)*($A$191&lt;&gt;""),ROW()-193)+2)),"")</f>
        <v/>
      </c>
      <c r="B199" s="118" t="str">
        <f>IFERROR(INDEX(DA_SAP!$B:$B,(_xlfn.AGGREGATE(15,6,(ROW(DA_SAP!$F$3:$F$423)-2)/(DA_SAP!$F$3:$F$423=$A$191)*($A$191&lt;&gt;""),ROW()-193)+2)),"")</f>
        <v/>
      </c>
      <c r="C199" s="118" t="str">
        <f>IFERROR(INDEX(DA_SAP!$C:$C,(_xlfn.AGGREGATE(15,6,(ROW(DA_SAP!$F$3:$F$423)-2)/(DA_SAP!$F$3:$F$423=$A$191)*($A$191&lt;&gt;""),ROW()-193)+2)),"")</f>
        <v/>
      </c>
      <c r="D199" s="118" t="str">
        <f>IF($H$4="EFFACER","",IFERROR(INDEX(DA_SAP!$D:$D,(_xlfn.AGGREGATE(15,6,(ROW(DA_SAP!$F$3:$F$423)-2)/(DA_SAP!$F$3:$F$423=$A$191)*($A$191&lt;&gt;""),ROW()-193)+2)),""))</f>
        <v/>
      </c>
      <c r="E199" s="119" t="str">
        <f t="shared" si="6"/>
        <v/>
      </c>
    </row>
    <row r="200" spans="1:5" x14ac:dyDescent="0.25">
      <c r="A200" s="117" t="str">
        <f>IFERROR(INDEX(DA_SAP!$A:$A,(_xlfn.AGGREGATE(15,6,(ROW(DA_SAP!$F$3:$F$423)-2)/(DA_SAP!$F$3:$F$423=$A$191)*($A$191&lt;&gt;""),ROW()-193)+2)),"")</f>
        <v/>
      </c>
      <c r="B200" s="118" t="str">
        <f>IFERROR(INDEX(DA_SAP!$B:$B,(_xlfn.AGGREGATE(15,6,(ROW(DA_SAP!$F$3:$F$423)-2)/(DA_SAP!$F$3:$F$423=$A$191)*($A$191&lt;&gt;""),ROW()-193)+2)),"")</f>
        <v/>
      </c>
      <c r="C200" s="118" t="str">
        <f>IFERROR(INDEX(DA_SAP!$C:$C,(_xlfn.AGGREGATE(15,6,(ROW(DA_SAP!$F$3:$F$423)-2)/(DA_SAP!$F$3:$F$423=$A$191)*($A$191&lt;&gt;""),ROW()-193)+2)),"")</f>
        <v/>
      </c>
      <c r="D200" s="118" t="str">
        <f>IF($H$4="EFFACER","",IFERROR(INDEX(DA_SAP!$D:$D,(_xlfn.AGGREGATE(15,6,(ROW(DA_SAP!$F$3:$F$423)-2)/(DA_SAP!$F$3:$F$423=$A$191)*($A$191&lt;&gt;""),ROW()-193)+2)),""))</f>
        <v/>
      </c>
      <c r="E200" s="119" t="str">
        <f t="shared" si="6"/>
        <v/>
      </c>
    </row>
    <row r="201" spans="1:5" x14ac:dyDescent="0.25">
      <c r="A201" s="117" t="str">
        <f>IFERROR(INDEX(DA_SAP!$A:$A,(_xlfn.AGGREGATE(15,6,(ROW(DA_SAP!$F$3:$F$423)-2)/(DA_SAP!$F$3:$F$423=$A$191)*($A$191&lt;&gt;""),ROW()-193)+2)),"")</f>
        <v/>
      </c>
      <c r="B201" s="118" t="str">
        <f>IFERROR(INDEX(DA_SAP!$B:$B,(_xlfn.AGGREGATE(15,6,(ROW(DA_SAP!$F$3:$F$423)-2)/(DA_SAP!$F$3:$F$423=$A$191)*($A$191&lt;&gt;""),ROW()-193)+2)),"")</f>
        <v/>
      </c>
      <c r="C201" s="118" t="str">
        <f>IFERROR(INDEX(DA_SAP!$C:$C,(_xlfn.AGGREGATE(15,6,(ROW(DA_SAP!$F$3:$F$423)-2)/(DA_SAP!$F$3:$F$423=$A$191)*($A$191&lt;&gt;""),ROW()-193)+2)),"")</f>
        <v/>
      </c>
      <c r="D201" s="118" t="str">
        <f>IF($H$4="EFFACER","",IFERROR(INDEX(DA_SAP!$D:$D,(_xlfn.AGGREGATE(15,6,(ROW(DA_SAP!$F$3:$F$423)-2)/(DA_SAP!$F$3:$F$423=$A$191)*($A$191&lt;&gt;""),ROW()-193)+2)),""))</f>
        <v/>
      </c>
      <c r="E201" s="119" t="str">
        <f t="shared" si="6"/>
        <v/>
      </c>
    </row>
    <row r="202" spans="1:5" x14ac:dyDescent="0.25">
      <c r="A202" s="117" t="str">
        <f>IFERROR(INDEX(DA_SAP!$A:$A,(_xlfn.AGGREGATE(15,6,(ROW(DA_SAP!$F$3:$F$423)-2)/(DA_SAP!$F$3:$F$423=$A$191)*($A$191&lt;&gt;""),ROW()-193)+2)),"")</f>
        <v/>
      </c>
      <c r="B202" s="118" t="str">
        <f>IFERROR(INDEX(DA_SAP!$B:$B,(_xlfn.AGGREGATE(15,6,(ROW(DA_SAP!$F$3:$F$423)-2)/(DA_SAP!$F$3:$F$423=$A$191)*($A$191&lt;&gt;""),ROW()-193)+2)),"")</f>
        <v/>
      </c>
      <c r="C202" s="118" t="str">
        <f>IFERROR(INDEX(DA_SAP!$C:$C,(_xlfn.AGGREGATE(15,6,(ROW(DA_SAP!$F$3:$F$423)-2)/(DA_SAP!$F$3:$F$423=$A$191)*($A$191&lt;&gt;""),ROW()-193)+2)),"")</f>
        <v/>
      </c>
      <c r="D202" s="118" t="str">
        <f>IF($H$4="EFFACER","",IFERROR(INDEX(DA_SAP!$D:$D,(_xlfn.AGGREGATE(15,6,(ROW(DA_SAP!$F$3:$F$423)-2)/(DA_SAP!$F$3:$F$423=$A$191)*($A$191&lt;&gt;""),ROW()-193)+2)),""))</f>
        <v/>
      </c>
      <c r="E202" s="119" t="str">
        <f t="shared" si="6"/>
        <v/>
      </c>
    </row>
    <row r="203" spans="1:5" x14ac:dyDescent="0.25">
      <c r="A203" s="117" t="str">
        <f>IFERROR(INDEX(DA_SAP!$A:$A,(_xlfn.AGGREGATE(15,6,(ROW(DA_SAP!$F$3:$F$423)-2)/(DA_SAP!$F$3:$F$423=$A$191)*($A$191&lt;&gt;""),ROW()-193)+2)),"")</f>
        <v/>
      </c>
      <c r="B203" s="118" t="str">
        <f>IFERROR(INDEX(DA_SAP!$B:$B,(_xlfn.AGGREGATE(15,6,(ROW(DA_SAP!$F$3:$F$423)-2)/(DA_SAP!$F$3:$F$423=$A$191)*($A$191&lt;&gt;""),ROW()-193)+2)),"")</f>
        <v/>
      </c>
      <c r="C203" s="118" t="str">
        <f>IFERROR(INDEX(DA_SAP!$C:$C,(_xlfn.AGGREGATE(15,6,(ROW(DA_SAP!$F$3:$F$423)-2)/(DA_SAP!$F$3:$F$423=$A$191)*($A$191&lt;&gt;""),ROW()-193)+2)),"")</f>
        <v/>
      </c>
      <c r="D203" s="118" t="str">
        <f>IF($H$4="EFFACER","",IFERROR(INDEX(DA_SAP!$D:$D,(_xlfn.AGGREGATE(15,6,(ROW(DA_SAP!$F$3:$F$423)-2)/(DA_SAP!$F$3:$F$423=$A$191)*($A$191&lt;&gt;""),ROW()-193)+2)),""))</f>
        <v/>
      </c>
      <c r="E203" s="119" t="str">
        <f t="shared" si="6"/>
        <v/>
      </c>
    </row>
    <row r="204" spans="1:5" x14ac:dyDescent="0.25">
      <c r="A204" s="117" t="str">
        <f>IFERROR(INDEX(DA_SAP!$A:$A,(_xlfn.AGGREGATE(15,6,(ROW(DA_SAP!$F$3:$F$423)-2)/(DA_SAP!$F$3:$F$423=$A$191)*($A$191&lt;&gt;""),ROW()-193)+2)),"")</f>
        <v/>
      </c>
      <c r="B204" s="118" t="str">
        <f>IFERROR(INDEX(DA_SAP!$B:$B,(_xlfn.AGGREGATE(15,6,(ROW(DA_SAP!$F$3:$F$423)-2)/(DA_SAP!$F$3:$F$423=$A$191)*($A$191&lt;&gt;""),ROW()-193)+2)),"")</f>
        <v/>
      </c>
      <c r="C204" s="118" t="str">
        <f>IFERROR(INDEX(DA_SAP!$C:$C,(_xlfn.AGGREGATE(15,6,(ROW(DA_SAP!$F$3:$F$423)-2)/(DA_SAP!$F$3:$F$423=$A$191)*($A$191&lt;&gt;""),ROW()-193)+2)),"")</f>
        <v/>
      </c>
      <c r="D204" s="118" t="str">
        <f>IF($H$4="EFFACER","",IFERROR(INDEX(DA_SAP!$D:$D,(_xlfn.AGGREGATE(15,6,(ROW(DA_SAP!$F$3:$F$423)-2)/(DA_SAP!$F$3:$F$423=$A$191)*($A$191&lt;&gt;""),ROW()-193)+2)),""))</f>
        <v/>
      </c>
      <c r="E204" s="119" t="str">
        <f t="shared" si="6"/>
        <v/>
      </c>
    </row>
    <row r="205" spans="1:5" x14ac:dyDescent="0.25">
      <c r="A205" s="117" t="str">
        <f>IFERROR(INDEX(DA_SAP!$A:$A,(_xlfn.AGGREGATE(15,6,(ROW(DA_SAP!$F$3:$F$423)-2)/(DA_SAP!$F$3:$F$423=$A$191)*($A$191&lt;&gt;""),ROW()-193)+2)),"")</f>
        <v/>
      </c>
      <c r="B205" s="118" t="str">
        <f>IFERROR(INDEX(DA_SAP!$B:$B,(_xlfn.AGGREGATE(15,6,(ROW(DA_SAP!$F$3:$F$423)-2)/(DA_SAP!$F$3:$F$423=$A$191)*($A$191&lt;&gt;""),ROW()-193)+2)),"")</f>
        <v/>
      </c>
      <c r="C205" s="118" t="str">
        <f>IFERROR(INDEX(DA_SAP!$C:$C,(_xlfn.AGGREGATE(15,6,(ROW(DA_SAP!$F$3:$F$423)-2)/(DA_SAP!$F$3:$F$423=$A$191)*($A$191&lt;&gt;""),ROW()-193)+2)),"")</f>
        <v/>
      </c>
      <c r="D205" s="118" t="str">
        <f>IF($H$4="EFFACER","",IFERROR(INDEX(DA_SAP!$D:$D,(_xlfn.AGGREGATE(15,6,(ROW(DA_SAP!$F$3:$F$423)-2)/(DA_SAP!$F$3:$F$423=$A$191)*($A$191&lt;&gt;""),ROW()-193)+2)),""))</f>
        <v/>
      </c>
      <c r="E205" s="119" t="str">
        <f t="shared" si="6"/>
        <v/>
      </c>
    </row>
    <row r="206" spans="1:5" x14ac:dyDescent="0.25">
      <c r="A206" s="117" t="str">
        <f>IFERROR(INDEX(DA_SAP!$A:$A,(_xlfn.AGGREGATE(15,6,(ROW(DA_SAP!$F$3:$F$423)-2)/(DA_SAP!$F$3:$F$423=$A$191)*($A$191&lt;&gt;""),ROW()-193)+2)),"")</f>
        <v/>
      </c>
      <c r="B206" s="118" t="str">
        <f>IFERROR(INDEX(DA_SAP!$B:$B,(_xlfn.AGGREGATE(15,6,(ROW(DA_SAP!$F$3:$F$423)-2)/(DA_SAP!$F$3:$F$423=$A$191)*($A$191&lt;&gt;""),ROW()-193)+2)),"")</f>
        <v/>
      </c>
      <c r="C206" s="118" t="str">
        <f>IFERROR(INDEX(DA_SAP!$C:$C,(_xlfn.AGGREGATE(15,6,(ROW(DA_SAP!$F$3:$F$423)-2)/(DA_SAP!$F$3:$F$423=$A$191)*($A$191&lt;&gt;""),ROW()-193)+2)),"")</f>
        <v/>
      </c>
      <c r="D206" s="118" t="str">
        <f>IF($H$4="EFFACER","",IFERROR(INDEX(DA_SAP!$D:$D,(_xlfn.AGGREGATE(15,6,(ROW(DA_SAP!$F$3:$F$423)-2)/(DA_SAP!$F$3:$F$423=$A$191)*($A$191&lt;&gt;""),ROW()-193)+2)),""))</f>
        <v/>
      </c>
      <c r="E206" s="119" t="str">
        <f t="shared" si="6"/>
        <v/>
      </c>
    </row>
    <row r="207" spans="1:5" x14ac:dyDescent="0.25">
      <c r="A207" s="117" t="str">
        <f>IFERROR(INDEX(DA_SAP!$A:$A,(_xlfn.AGGREGATE(15,6,(ROW(DA_SAP!$F$3:$F$423)-2)/(DA_SAP!$F$3:$F$423=$A$191)*($A$191&lt;&gt;""),ROW()-193)+2)),"")</f>
        <v/>
      </c>
      <c r="B207" s="118" t="str">
        <f>IFERROR(INDEX(DA_SAP!$B:$B,(_xlfn.AGGREGATE(15,6,(ROW(DA_SAP!$F$3:$F$423)-2)/(DA_SAP!$F$3:$F$423=$A$191)*($A$191&lt;&gt;""),ROW()-193)+2)),"")</f>
        <v/>
      </c>
      <c r="C207" s="118" t="str">
        <f>IFERROR(INDEX(DA_SAP!$C:$C,(_xlfn.AGGREGATE(15,6,(ROW(DA_SAP!$F$3:$F$423)-2)/(DA_SAP!$F$3:$F$423=$A$191)*($A$191&lt;&gt;""),ROW()-193)+2)),"")</f>
        <v/>
      </c>
      <c r="D207" s="118" t="str">
        <f>IF($H$4="EFFACER","",IFERROR(INDEX(DA_SAP!$D:$D,(_xlfn.AGGREGATE(15,6,(ROW(DA_SAP!$F$3:$F$423)-2)/(DA_SAP!$F$3:$F$423=$A$191)*($A$191&lt;&gt;""),ROW()-193)+2)),""))</f>
        <v/>
      </c>
      <c r="E207" s="119" t="str">
        <f t="shared" si="6"/>
        <v/>
      </c>
    </row>
    <row r="208" spans="1:5" x14ac:dyDescent="0.25">
      <c r="A208" s="117" t="str">
        <f>IFERROR(INDEX(DA_SAP!$A:$A,(_xlfn.AGGREGATE(15,6,(ROW(DA_SAP!$F$3:$F$423)-2)/(DA_SAP!$F$3:$F$423=$A$191)*($A$191&lt;&gt;""),ROW()-193)+2)),"")</f>
        <v/>
      </c>
      <c r="B208" s="118" t="str">
        <f>IFERROR(INDEX(DA_SAP!$B:$B,(_xlfn.AGGREGATE(15,6,(ROW(DA_SAP!$F$3:$F$423)-2)/(DA_SAP!$F$3:$F$423=$A$191)*($A$191&lt;&gt;""),ROW()-193)+2)),"")</f>
        <v/>
      </c>
      <c r="C208" s="118" t="str">
        <f>IFERROR(INDEX(DA_SAP!$C:$C,(_xlfn.AGGREGATE(15,6,(ROW(DA_SAP!$F$3:$F$423)-2)/(DA_SAP!$F$3:$F$423=$A$191)*($A$191&lt;&gt;""),ROW()-193)+2)),"")</f>
        <v/>
      </c>
      <c r="D208" s="118" t="str">
        <f>IF($H$4="EFFACER","",IFERROR(INDEX(DA_SAP!$D:$D,(_xlfn.AGGREGATE(15,6,(ROW(DA_SAP!$F$3:$F$423)-2)/(DA_SAP!$F$3:$F$423=$A$191)*($A$191&lt;&gt;""),ROW()-193)+2)),""))</f>
        <v/>
      </c>
      <c r="E208" s="119" t="str">
        <f t="shared" si="6"/>
        <v/>
      </c>
    </row>
    <row r="209" spans="1:5" x14ac:dyDescent="0.25">
      <c r="A209" s="117" t="str">
        <f>IFERROR(INDEX(DA_SAP!$A:$A,(_xlfn.AGGREGATE(15,6,(ROW(DA_SAP!$F$3:$F$423)-2)/(DA_SAP!$F$3:$F$423=$A$191)*($A$191&lt;&gt;""),ROW()-193)+2)),"")</f>
        <v/>
      </c>
      <c r="B209" s="118" t="str">
        <f>IFERROR(INDEX(DA_SAP!$B:$B,(_xlfn.AGGREGATE(15,6,(ROW(DA_SAP!$F$3:$F$423)-2)/(DA_SAP!$F$3:$F$423=$A$191)*($A$191&lt;&gt;""),ROW()-193)+2)),"")</f>
        <v/>
      </c>
      <c r="C209" s="118" t="str">
        <f>IFERROR(INDEX(DA_SAP!$C:$C,(_xlfn.AGGREGATE(15,6,(ROW(DA_SAP!$F$3:$F$423)-2)/(DA_SAP!$F$3:$F$423=$A$191)*($A$191&lt;&gt;""),ROW()-193)+2)),"")</f>
        <v/>
      </c>
      <c r="D209" s="118" t="str">
        <f>IF($H$4="EFFACER","",IFERROR(INDEX(DA_SAP!$D:$D,(_xlfn.AGGREGATE(15,6,(ROW(DA_SAP!$F$3:$F$423)-2)/(DA_SAP!$F$3:$F$423=$A$191)*($A$191&lt;&gt;""),ROW()-193)+2)),""))</f>
        <v/>
      </c>
      <c r="E209" s="119" t="str">
        <f t="shared" si="6"/>
        <v/>
      </c>
    </row>
    <row r="210" spans="1:5" x14ac:dyDescent="0.25">
      <c r="A210" s="117" t="str">
        <f>IFERROR(INDEX(DA_SAP!$A:$A,(_xlfn.AGGREGATE(15,6,(ROW(DA_SAP!$F$3:$F$423)-2)/(DA_SAP!$F$3:$F$423=$A$191)*($A$191&lt;&gt;""),ROW()-193)+2)),"")</f>
        <v/>
      </c>
      <c r="B210" s="118" t="str">
        <f>IFERROR(INDEX(DA_SAP!$B:$B,(_xlfn.AGGREGATE(15,6,(ROW(DA_SAP!$F$3:$F$423)-2)/(DA_SAP!$F$3:$F$423=$A$191)*($A$191&lt;&gt;""),ROW()-193)+2)),"")</f>
        <v/>
      </c>
      <c r="C210" s="118" t="str">
        <f>IFERROR(INDEX(DA_SAP!$C:$C,(_xlfn.AGGREGATE(15,6,(ROW(DA_SAP!$F$3:$F$423)-2)/(DA_SAP!$F$3:$F$423=$A$191)*($A$191&lt;&gt;""),ROW()-193)+2)),"")</f>
        <v/>
      </c>
      <c r="D210" s="118" t="str">
        <f>IF($H$4="EFFACER","",IFERROR(INDEX(DA_SAP!$D:$D,(_xlfn.AGGREGATE(15,6,(ROW(DA_SAP!$F$3:$F$423)-2)/(DA_SAP!$F$3:$F$423=$A$191)*($A$191&lt;&gt;""),ROW()-193)+2)),""))</f>
        <v/>
      </c>
      <c r="E210" s="119" t="str">
        <f t="shared" si="6"/>
        <v/>
      </c>
    </row>
    <row r="211" spans="1:5" x14ac:dyDescent="0.25">
      <c r="A211" s="117" t="str">
        <f>IFERROR(INDEX(DA_SAP!$A:$A,(_xlfn.AGGREGATE(15,6,(ROW(DA_SAP!$F$3:$F$423)-2)/(DA_SAP!$F$3:$F$423=$A$191)*($A$191&lt;&gt;""),ROW()-193)+2)),"")</f>
        <v/>
      </c>
      <c r="B211" s="118" t="str">
        <f>IFERROR(INDEX(DA_SAP!$B:$B,(_xlfn.AGGREGATE(15,6,(ROW(DA_SAP!$F$3:$F$423)-2)/(DA_SAP!$F$3:$F$423=$A$191)*($A$191&lt;&gt;""),ROW()-193)+2)),"")</f>
        <v/>
      </c>
      <c r="C211" s="118" t="str">
        <f>IFERROR(INDEX(DA_SAP!$C:$C,(_xlfn.AGGREGATE(15,6,(ROW(DA_SAP!$F$3:$F$423)-2)/(DA_SAP!$F$3:$F$423=$A$191)*($A$191&lt;&gt;""),ROW()-193)+2)),"")</f>
        <v/>
      </c>
      <c r="D211" s="118" t="str">
        <f>IF($H$4="EFFACER","",IFERROR(INDEX(DA_SAP!$D:$D,(_xlfn.AGGREGATE(15,6,(ROW(DA_SAP!$F$3:$F$423)-2)/(DA_SAP!$F$3:$F$423=$A$191)*($A$191&lt;&gt;""),ROW()-193)+2)),""))</f>
        <v/>
      </c>
      <c r="E211" s="119" t="str">
        <f t="shared" si="6"/>
        <v/>
      </c>
    </row>
    <row r="212" spans="1:5" x14ac:dyDescent="0.25">
      <c r="A212" s="117" t="str">
        <f>IFERROR(INDEX(DA_SAP!$A:$A,(_xlfn.AGGREGATE(15,6,(ROW(DA_SAP!$F$3:$F$423)-2)/(DA_SAP!$F$3:$F$423=$A$191)*($A$191&lt;&gt;""),ROW()-193)+2)),"")</f>
        <v/>
      </c>
      <c r="B212" s="118" t="str">
        <f>IFERROR(INDEX(DA_SAP!$B:$B,(_xlfn.AGGREGATE(15,6,(ROW(DA_SAP!$F$3:$F$423)-2)/(DA_SAP!$F$3:$F$423=$A$191)*($A$191&lt;&gt;""),ROW()-193)+2)),"")</f>
        <v/>
      </c>
      <c r="C212" s="118" t="str">
        <f>IFERROR(INDEX(DA_SAP!$C:$C,(_xlfn.AGGREGATE(15,6,(ROW(DA_SAP!$F$3:$F$423)-2)/(DA_SAP!$F$3:$F$423=$A$191)*($A$191&lt;&gt;""),ROW()-193)+2)),"")</f>
        <v/>
      </c>
      <c r="D212" s="118" t="str">
        <f>IF($H$4="EFFACER","",IFERROR(INDEX(DA_SAP!$D:$D,(_xlfn.AGGREGATE(15,6,(ROW(DA_SAP!$F$3:$F$423)-2)/(DA_SAP!$F$3:$F$423=$A$191)*($A$191&lt;&gt;""),ROW()-193)+2)),""))</f>
        <v/>
      </c>
      <c r="E212" s="119" t="str">
        <f t="shared" si="6"/>
        <v/>
      </c>
    </row>
    <row r="213" spans="1:5" x14ac:dyDescent="0.25">
      <c r="A213" s="117" t="str">
        <f>IFERROR(INDEX(DA_SAP!$A:$A,(_xlfn.AGGREGATE(15,6,(ROW(DA_SAP!$F$3:$F$423)-2)/(DA_SAP!$F$3:$F$423=$A$191)*($A$191&lt;&gt;""),ROW()-193)+2)),"")</f>
        <v/>
      </c>
      <c r="B213" s="118" t="str">
        <f>IFERROR(INDEX(DA_SAP!$B:$B,(_xlfn.AGGREGATE(15,6,(ROW(DA_SAP!$F$3:$F$423)-2)/(DA_SAP!$F$3:$F$423=$A$191)*($A$191&lt;&gt;""),ROW()-193)+2)),"")</f>
        <v/>
      </c>
      <c r="C213" s="118" t="str">
        <f>IFERROR(INDEX(DA_SAP!$C:$C,(_xlfn.AGGREGATE(15,6,(ROW(DA_SAP!$F$3:$F$423)-2)/(DA_SAP!$F$3:$F$423=$A$191)*($A$191&lt;&gt;""),ROW()-193)+2)),"")</f>
        <v/>
      </c>
      <c r="D213" s="118" t="str">
        <f>IF($H$4="EFFACER","",IFERROR(INDEX(DA_SAP!$D:$D,(_xlfn.AGGREGATE(15,6,(ROW(DA_SAP!$F$3:$F$423)-2)/(DA_SAP!$F$3:$F$423=$A$191)*($A$191&lt;&gt;""),ROW()-193)+2)),""))</f>
        <v/>
      </c>
      <c r="E213" s="119" t="str">
        <f t="shared" si="6"/>
        <v/>
      </c>
    </row>
    <row r="214" spans="1:5" x14ac:dyDescent="0.25">
      <c r="A214" s="117" t="str">
        <f>IFERROR(INDEX(DA_SAP!$A:$A,(_xlfn.AGGREGATE(15,6,(ROW(DA_SAP!$F$3:$F$423)-2)/(DA_SAP!$F$3:$F$423=$A$191)*($A$191&lt;&gt;""),ROW()-193)+2)),"")</f>
        <v/>
      </c>
      <c r="B214" s="118" t="str">
        <f>IFERROR(INDEX(DA_SAP!$B:$B,(_xlfn.AGGREGATE(15,6,(ROW(DA_SAP!$F$3:$F$423)-2)/(DA_SAP!$F$3:$F$423=$A$191)*($A$191&lt;&gt;""),ROW()-193)+2)),"")</f>
        <v/>
      </c>
      <c r="C214" s="118" t="str">
        <f>IFERROR(INDEX(DA_SAP!$C:$C,(_xlfn.AGGREGATE(15,6,(ROW(DA_SAP!$F$3:$F$423)-2)/(DA_SAP!$F$3:$F$423=$A$191)*($A$191&lt;&gt;""),ROW()-193)+2)),"")</f>
        <v/>
      </c>
      <c r="D214" s="118" t="str">
        <f>IF($H$4="EFFACER","",IFERROR(INDEX(DA_SAP!$D:$D,(_xlfn.AGGREGATE(15,6,(ROW(DA_SAP!$F$3:$F$423)-2)/(DA_SAP!$F$3:$F$423=$A$191)*($A$191&lt;&gt;""),ROW()-193)+2)),""))</f>
        <v/>
      </c>
      <c r="E214" s="119" t="str">
        <f t="shared" si="6"/>
        <v/>
      </c>
    </row>
    <row r="215" spans="1:5" x14ac:dyDescent="0.25">
      <c r="A215" s="117" t="str">
        <f>IFERROR(INDEX(DA_SAP!$A:$A,(_xlfn.AGGREGATE(15,6,(ROW(DA_SAP!$F$3:$F$423)-2)/(DA_SAP!$F$3:$F$423=$A$191)*($A$191&lt;&gt;""),ROW()-193)+2)),"")</f>
        <v/>
      </c>
      <c r="B215" s="118" t="str">
        <f>IFERROR(INDEX(DA_SAP!$B:$B,(_xlfn.AGGREGATE(15,6,(ROW(DA_SAP!$F$3:$F$423)-2)/(DA_SAP!$F$3:$F$423=$A$191)*($A$191&lt;&gt;""),ROW()-193)+2)),"")</f>
        <v/>
      </c>
      <c r="C215" s="118" t="str">
        <f>IFERROR(INDEX(DA_SAP!$C:$C,(_xlfn.AGGREGATE(15,6,(ROW(DA_SAP!$F$3:$F$423)-2)/(DA_SAP!$F$3:$F$423=$A$191)*($A$191&lt;&gt;""),ROW()-193)+2)),"")</f>
        <v/>
      </c>
      <c r="D215" s="118" t="str">
        <f>IF($H$4="EFFACER","",IFERROR(INDEX(DA_SAP!$D:$D,(_xlfn.AGGREGATE(15,6,(ROW(DA_SAP!$F$3:$F$423)-2)/(DA_SAP!$F$3:$F$423=$A$191)*($A$191&lt;&gt;""),ROW()-193)+2)),""))</f>
        <v/>
      </c>
      <c r="E215" s="119" t="str">
        <f t="shared" si="6"/>
        <v/>
      </c>
    </row>
    <row r="216" spans="1:5" x14ac:dyDescent="0.25">
      <c r="A216" s="117" t="str">
        <f>IFERROR(INDEX(DA_SAP!$A:$A,(_xlfn.AGGREGATE(15,6,(ROW(DA_SAP!$F$3:$F$423)-2)/(DA_SAP!$F$3:$F$423=$A$191)*($A$191&lt;&gt;""),ROW()-193)+2)),"")</f>
        <v/>
      </c>
      <c r="B216" s="118" t="str">
        <f>IFERROR(INDEX(DA_SAP!$B:$B,(_xlfn.AGGREGATE(15,6,(ROW(DA_SAP!$F$3:$F$423)-2)/(DA_SAP!$F$3:$F$423=$A$191)*($A$191&lt;&gt;""),ROW()-193)+2)),"")</f>
        <v/>
      </c>
      <c r="C216" s="118" t="str">
        <f>IFERROR(INDEX(DA_SAP!$C:$C,(_xlfn.AGGREGATE(15,6,(ROW(DA_SAP!$F$3:$F$423)-2)/(DA_SAP!$F$3:$F$423=$A$191)*($A$191&lt;&gt;""),ROW()-193)+2)),"")</f>
        <v/>
      </c>
      <c r="D216" s="118" t="str">
        <f>IF($H$4="EFFACER","",IFERROR(INDEX(DA_SAP!$D:$D,(_xlfn.AGGREGATE(15,6,(ROW(DA_SAP!$F$3:$F$423)-2)/(DA_SAP!$F$3:$F$423=$A$191)*($A$191&lt;&gt;""),ROW()-193)+2)),""))</f>
        <v/>
      </c>
      <c r="E216" s="119" t="str">
        <f t="shared" si="6"/>
        <v/>
      </c>
    </row>
    <row r="217" spans="1:5" x14ac:dyDescent="0.25">
      <c r="A217" s="117" t="str">
        <f>IFERROR(INDEX(DA_SAP!$A:$A,(_xlfn.AGGREGATE(15,6,(ROW(DA_SAP!$F$3:$F$423)-2)/(DA_SAP!$F$3:$F$423=$A$191)*($A$191&lt;&gt;""),ROW()-193)+2)),"")</f>
        <v/>
      </c>
      <c r="B217" s="118" t="str">
        <f>IFERROR(INDEX(DA_SAP!$B:$B,(_xlfn.AGGREGATE(15,6,(ROW(DA_SAP!$F$3:$F$423)-2)/(DA_SAP!$F$3:$F$423=$A$191)*($A$191&lt;&gt;""),ROW()-193)+2)),"")</f>
        <v/>
      </c>
      <c r="C217" s="118" t="str">
        <f>IFERROR(INDEX(DA_SAP!$C:$C,(_xlfn.AGGREGATE(15,6,(ROW(DA_SAP!$F$3:$F$423)-2)/(DA_SAP!$F$3:$F$423=$A$191)*($A$191&lt;&gt;""),ROW()-193)+2)),"")</f>
        <v/>
      </c>
      <c r="D217" s="118" t="str">
        <f>IF($H$4="EFFACER","",IFERROR(INDEX(DA_SAP!$D:$D,(_xlfn.AGGREGATE(15,6,(ROW(DA_SAP!$F$3:$F$423)-2)/(DA_SAP!$F$3:$F$423=$A$191)*($A$191&lt;&gt;""),ROW()-193)+2)),""))</f>
        <v/>
      </c>
      <c r="E217" s="119" t="str">
        <f t="shared" si="6"/>
        <v/>
      </c>
    </row>
    <row r="218" spans="1:5" x14ac:dyDescent="0.25">
      <c r="A218" s="117" t="str">
        <f>IFERROR(INDEX(DA_SAP!$A:$A,(_xlfn.AGGREGATE(15,6,(ROW(DA_SAP!$F$3:$F$423)-2)/(DA_SAP!$F$3:$F$423=$A$191)*($A$191&lt;&gt;""),ROW()-193)+2)),"")</f>
        <v/>
      </c>
      <c r="B218" s="118" t="str">
        <f>IFERROR(INDEX(DA_SAP!$B:$B,(_xlfn.AGGREGATE(15,6,(ROW(DA_SAP!$F$3:$F$423)-2)/(DA_SAP!$F$3:$F$423=$A$191)*($A$191&lt;&gt;""),ROW()-193)+2)),"")</f>
        <v/>
      </c>
      <c r="C218" s="118" t="str">
        <f>IFERROR(INDEX(DA_SAP!$C:$C,(_xlfn.AGGREGATE(15,6,(ROW(DA_SAP!$F$3:$F$423)-2)/(DA_SAP!$F$3:$F$423=$A$191)*($A$191&lt;&gt;""),ROW()-193)+2)),"")</f>
        <v/>
      </c>
      <c r="D218" s="118" t="str">
        <f>IF($H$4="EFFACER","",IFERROR(INDEX(DA_SAP!$D:$D,(_xlfn.AGGREGATE(15,6,(ROW(DA_SAP!$F$3:$F$423)-2)/(DA_SAP!$F$3:$F$423=$A$191)*($A$191&lt;&gt;""),ROW()-193)+2)),""))</f>
        <v/>
      </c>
      <c r="E218" s="119" t="str">
        <f t="shared" si="6"/>
        <v/>
      </c>
    </row>
    <row r="219" spans="1:5" x14ac:dyDescent="0.25">
      <c r="A219" s="117" t="str">
        <f>IFERROR(INDEX(DA_SAP!$A:$A,(_xlfn.AGGREGATE(15,6,(ROW(DA_SAP!$F$3:$F$423)-2)/(DA_SAP!$F$3:$F$423=$A$191)*($A$191&lt;&gt;""),ROW()-193)+2)),"")</f>
        <v/>
      </c>
      <c r="B219" s="118" t="str">
        <f>IFERROR(INDEX(DA_SAP!$B:$B,(_xlfn.AGGREGATE(15,6,(ROW(DA_SAP!$F$3:$F$423)-2)/(DA_SAP!$F$3:$F$423=$A$191)*($A$191&lt;&gt;""),ROW()-193)+2)),"")</f>
        <v/>
      </c>
      <c r="C219" s="118" t="str">
        <f>IFERROR(INDEX(DA_SAP!$C:$C,(_xlfn.AGGREGATE(15,6,(ROW(DA_SAP!$F$3:$F$423)-2)/(DA_SAP!$F$3:$F$423=$A$191)*($A$191&lt;&gt;""),ROW()-193)+2)),"")</f>
        <v/>
      </c>
      <c r="D219" s="118" t="str">
        <f>IF($H$4="EFFACER","",IFERROR(INDEX(DA_SAP!$D:$D,(_xlfn.AGGREGATE(15,6,(ROW(DA_SAP!$F$3:$F$423)-2)/(DA_SAP!$F$3:$F$423=$A$191)*($A$191&lt;&gt;""),ROW()-193)+2)),""))</f>
        <v/>
      </c>
      <c r="E219" s="119" t="str">
        <f t="shared" si="6"/>
        <v/>
      </c>
    </row>
    <row r="220" spans="1:5" x14ac:dyDescent="0.25">
      <c r="A220" s="117" t="str">
        <f>IFERROR(INDEX(DA_SAP!$A:$A,(_xlfn.AGGREGATE(15,6,(ROW(DA_SAP!$F$3:$F$423)-2)/(DA_SAP!$F$3:$F$423=$A$191)*($A$191&lt;&gt;""),ROW()-193)+2)),"")</f>
        <v/>
      </c>
      <c r="B220" s="118" t="str">
        <f>IFERROR(INDEX(DA_SAP!$B:$B,(_xlfn.AGGREGATE(15,6,(ROW(DA_SAP!$F$3:$F$423)-2)/(DA_SAP!$F$3:$F$423=$A$191)*($A$191&lt;&gt;""),ROW()-193)+2)),"")</f>
        <v/>
      </c>
      <c r="C220" s="118" t="str">
        <f>IFERROR(INDEX(DA_SAP!$C:$C,(_xlfn.AGGREGATE(15,6,(ROW(DA_SAP!$F$3:$F$423)-2)/(DA_SAP!$F$3:$F$423=$A$191)*($A$191&lt;&gt;""),ROW()-193)+2)),"")</f>
        <v/>
      </c>
      <c r="D220" s="118" t="str">
        <f>IF($H$4="EFFACER","",IFERROR(INDEX(DA_SAP!$D:$D,(_xlfn.AGGREGATE(15,6,(ROW(DA_SAP!$F$3:$F$423)-2)/(DA_SAP!$F$3:$F$423=$A$191)*($A$191&lt;&gt;""),ROW()-193)+2)),""))</f>
        <v/>
      </c>
      <c r="E220" s="119" t="str">
        <f t="shared" si="6"/>
        <v/>
      </c>
    </row>
    <row r="221" spans="1:5" x14ac:dyDescent="0.25">
      <c r="A221" s="117" t="str">
        <f>IFERROR(INDEX(DA_SAP!$A:$A,(_xlfn.AGGREGATE(15,6,(ROW(DA_SAP!$F$3:$F$423)-2)/(DA_SAP!$F$3:$F$423=$A$191)*($A$191&lt;&gt;""),ROW()-193)+2)),"")</f>
        <v/>
      </c>
      <c r="B221" s="118" t="str">
        <f>IFERROR(INDEX(DA_SAP!$B:$B,(_xlfn.AGGREGATE(15,6,(ROW(DA_SAP!$F$3:$F$423)-2)/(DA_SAP!$F$3:$F$423=$A$191)*($A$191&lt;&gt;""),ROW()-193)+2)),"")</f>
        <v/>
      </c>
      <c r="C221" s="118" t="str">
        <f>IFERROR(INDEX(DA_SAP!$C:$C,(_xlfn.AGGREGATE(15,6,(ROW(DA_SAP!$F$3:$F$423)-2)/(DA_SAP!$F$3:$F$423=$A$191)*($A$191&lt;&gt;""),ROW()-193)+2)),"")</f>
        <v/>
      </c>
      <c r="D221" s="118" t="str">
        <f>IF($H$4="EFFACER","",IFERROR(INDEX(DA_SAP!$D:$D,(_xlfn.AGGREGATE(15,6,(ROW(DA_SAP!$F$3:$F$423)-2)/(DA_SAP!$F$3:$F$423=$A$191)*($A$191&lt;&gt;""),ROW()-193)+2)),""))</f>
        <v/>
      </c>
      <c r="E221" s="119" t="str">
        <f t="shared" si="6"/>
        <v/>
      </c>
    </row>
    <row r="222" spans="1:5" x14ac:dyDescent="0.25">
      <c r="A222" s="117" t="str">
        <f>IFERROR(INDEX(DA_SAP!$A:$A,(_xlfn.AGGREGATE(15,6,(ROW(DA_SAP!$F$3:$F$423)-2)/(DA_SAP!$F$3:$F$423=$A$191)*($A$191&lt;&gt;""),ROW()-193)+2)),"")</f>
        <v/>
      </c>
      <c r="B222" s="118" t="str">
        <f>IFERROR(INDEX(DA_SAP!$B:$B,(_xlfn.AGGREGATE(15,6,(ROW(DA_SAP!$F$3:$F$423)-2)/(DA_SAP!$F$3:$F$423=$A$191)*($A$191&lt;&gt;""),ROW()-193)+2)),"")</f>
        <v/>
      </c>
      <c r="C222" s="118" t="str">
        <f>IFERROR(INDEX(DA_SAP!$C:$C,(_xlfn.AGGREGATE(15,6,(ROW(DA_SAP!$F$3:$F$423)-2)/(DA_SAP!$F$3:$F$423=$A$191)*($A$191&lt;&gt;""),ROW()-193)+2)),"")</f>
        <v/>
      </c>
      <c r="D222" s="118" t="str">
        <f>IF($H$4="EFFACER","",IFERROR(INDEX(DA_SAP!$D:$D,(_xlfn.AGGREGATE(15,6,(ROW(DA_SAP!$F$3:$F$423)-2)/(DA_SAP!$F$3:$F$423=$A$191)*($A$191&lt;&gt;""),ROW()-193)+2)),""))</f>
        <v/>
      </c>
      <c r="E222" s="119" t="str">
        <f t="shared" si="6"/>
        <v/>
      </c>
    </row>
    <row r="223" spans="1:5" x14ac:dyDescent="0.25">
      <c r="A223" s="117" t="str">
        <f>IFERROR(INDEX(DA_SAP!$A:$A,(_xlfn.AGGREGATE(15,6,(ROW(DA_SAP!$F$3:$F$423)-2)/(DA_SAP!$F$3:$F$423=$A$191)*($A$191&lt;&gt;""),ROW()-193)+2)),"")</f>
        <v/>
      </c>
      <c r="B223" s="118" t="str">
        <f>IFERROR(INDEX(DA_SAP!$B:$B,(_xlfn.AGGREGATE(15,6,(ROW(DA_SAP!$F$3:$F$423)-2)/(DA_SAP!$F$3:$F$423=$A$191)*($A$191&lt;&gt;""),ROW()-193)+2)),"")</f>
        <v/>
      </c>
      <c r="C223" s="118" t="str">
        <f>IFERROR(INDEX(DA_SAP!$C:$C,(_xlfn.AGGREGATE(15,6,(ROW(DA_SAP!$F$3:$F$423)-2)/(DA_SAP!$F$3:$F$423=$A$191)*($A$191&lt;&gt;""),ROW()-193)+2)),"")</f>
        <v/>
      </c>
      <c r="D223" s="118" t="str">
        <f>IF($H$4="EFFACER","",IFERROR(INDEX(DA_SAP!$D:$D,(_xlfn.AGGREGATE(15,6,(ROW(DA_SAP!$F$3:$F$423)-2)/(DA_SAP!$F$3:$F$423=$A$191)*($A$191&lt;&gt;""),ROW()-193)+2)),""))</f>
        <v/>
      </c>
      <c r="E223" s="119" t="str">
        <f t="shared" si="6"/>
        <v/>
      </c>
    </row>
    <row r="224" spans="1:5" x14ac:dyDescent="0.25">
      <c r="A224" s="117" t="str">
        <f>IFERROR(INDEX(DA_SAP!$A:$A,(_xlfn.AGGREGATE(15,6,(ROW(DA_SAP!$F$3:$F$423)-2)/(DA_SAP!$F$3:$F$423=$A$191)*($A$191&lt;&gt;""),ROW()-193)+2)),"")</f>
        <v/>
      </c>
      <c r="B224" s="118" t="str">
        <f>IFERROR(INDEX(DA_SAP!$B:$B,(_xlfn.AGGREGATE(15,6,(ROW(DA_SAP!$F$3:$F$423)-2)/(DA_SAP!$F$3:$F$423=$A$191)*($A$191&lt;&gt;""),ROW()-193)+2)),"")</f>
        <v/>
      </c>
      <c r="C224" s="118" t="str">
        <f>IFERROR(INDEX(DA_SAP!$C:$C,(_xlfn.AGGREGATE(15,6,(ROW(DA_SAP!$F$3:$F$423)-2)/(DA_SAP!$F$3:$F$423=$A$191)*($A$191&lt;&gt;""),ROW()-193)+2)),"")</f>
        <v/>
      </c>
      <c r="D224" s="118" t="str">
        <f>IF($H$4="EFFACER","",IFERROR(INDEX(DA_SAP!$D:$D,(_xlfn.AGGREGATE(15,6,(ROW(DA_SAP!$F$3:$F$423)-2)/(DA_SAP!$F$3:$F$423=$A$191)*($A$191&lt;&gt;""),ROW()-193)+2)),""))</f>
        <v/>
      </c>
      <c r="E224" s="119" t="str">
        <f t="shared" si="6"/>
        <v/>
      </c>
    </row>
    <row r="225" spans="1:5" x14ac:dyDescent="0.25">
      <c r="A225" s="117" t="str">
        <f>IFERROR(INDEX(DA_SAP!$A:$A,(_xlfn.AGGREGATE(15,6,(ROW(DA_SAP!$F$3:$F$423)-2)/(DA_SAP!$F$3:$F$423=$A$191)*($A$191&lt;&gt;""),ROW()-193)+2)),"")</f>
        <v/>
      </c>
      <c r="B225" s="118" t="str">
        <f>IFERROR(INDEX(DA_SAP!$B:$B,(_xlfn.AGGREGATE(15,6,(ROW(DA_SAP!$F$3:$F$423)-2)/(DA_SAP!$F$3:$F$423=$A$191)*($A$191&lt;&gt;""),ROW()-193)+2)),"")</f>
        <v/>
      </c>
      <c r="C225" s="118" t="str">
        <f>IFERROR(INDEX(DA_SAP!$C:$C,(_xlfn.AGGREGATE(15,6,(ROW(DA_SAP!$F$3:$F$423)-2)/(DA_SAP!$F$3:$F$423=$A$191)*($A$191&lt;&gt;""),ROW()-193)+2)),"")</f>
        <v/>
      </c>
      <c r="D225" s="118" t="str">
        <f>IF($H$4="EFFACER","",IFERROR(INDEX(DA_SAP!$D:$D,(_xlfn.AGGREGATE(15,6,(ROW(DA_SAP!$F$3:$F$423)-2)/(DA_SAP!$F$3:$F$423=$A$191)*($A$191&lt;&gt;""),ROW()-193)+2)),""))</f>
        <v/>
      </c>
      <c r="E225" s="119" t="str">
        <f t="shared" si="6"/>
        <v/>
      </c>
    </row>
    <row r="226" spans="1:5" x14ac:dyDescent="0.25">
      <c r="A226" s="117" t="str">
        <f>IFERROR(INDEX(DA_SAP!$A:$A,(_xlfn.AGGREGATE(15,6,(ROW(DA_SAP!$F$3:$F$423)-2)/(DA_SAP!$F$3:$F$423=$A$191)*($A$191&lt;&gt;""),ROW()-193)+2)),"")</f>
        <v/>
      </c>
      <c r="B226" s="118" t="str">
        <f>IFERROR(INDEX(DA_SAP!$B:$B,(_xlfn.AGGREGATE(15,6,(ROW(DA_SAP!$F$3:$F$423)-2)/(DA_SAP!$F$3:$F$423=$A$191)*($A$191&lt;&gt;""),ROW()-193)+2)),"")</f>
        <v/>
      </c>
      <c r="C226" s="118" t="str">
        <f>IFERROR(INDEX(DA_SAP!$C:$C,(_xlfn.AGGREGATE(15,6,(ROW(DA_SAP!$F$3:$F$423)-2)/(DA_SAP!$F$3:$F$423=$A$191)*($A$191&lt;&gt;""),ROW()-193)+2)),"")</f>
        <v/>
      </c>
      <c r="D226" s="118" t="str">
        <f>IF($H$4="EFFACER","",IFERROR(INDEX(DA_SAP!$D:$D,(_xlfn.AGGREGATE(15,6,(ROW(DA_SAP!$F$3:$F$423)-2)/(DA_SAP!$F$3:$F$423=$A$191)*($A$191&lt;&gt;""),ROW()-193)+2)),""))</f>
        <v/>
      </c>
      <c r="E226" s="119" t="str">
        <f t="shared" ref="E226:E253" si="7">IF($A226="","",$H$1)</f>
        <v/>
      </c>
    </row>
    <row r="227" spans="1:5" x14ac:dyDescent="0.25">
      <c r="A227" s="117" t="str">
        <f>IFERROR(INDEX(DA_SAP!$A:$A,(_xlfn.AGGREGATE(15,6,(ROW(DA_SAP!$F$3:$F$423)-2)/(DA_SAP!$F$3:$F$423=$A$191)*($A$191&lt;&gt;""),ROW()-193)+2)),"")</f>
        <v/>
      </c>
      <c r="B227" s="118" t="str">
        <f>IFERROR(INDEX(DA_SAP!$B:$B,(_xlfn.AGGREGATE(15,6,(ROW(DA_SAP!$F$3:$F$423)-2)/(DA_SAP!$F$3:$F$423=$A$191)*($A$191&lt;&gt;""),ROW()-193)+2)),"")</f>
        <v/>
      </c>
      <c r="C227" s="118" t="str">
        <f>IFERROR(INDEX(DA_SAP!$C:$C,(_xlfn.AGGREGATE(15,6,(ROW(DA_SAP!$F$3:$F$423)-2)/(DA_SAP!$F$3:$F$423=$A$191)*($A$191&lt;&gt;""),ROW()-193)+2)),"")</f>
        <v/>
      </c>
      <c r="D227" s="118" t="str">
        <f>IF($H$4="EFFACER","",IFERROR(INDEX(DA_SAP!$D:$D,(_xlfn.AGGREGATE(15,6,(ROW(DA_SAP!$F$3:$F$423)-2)/(DA_SAP!$F$3:$F$423=$A$191)*($A$191&lt;&gt;""),ROW()-193)+2)),""))</f>
        <v/>
      </c>
      <c r="E227" s="119" t="str">
        <f t="shared" si="7"/>
        <v/>
      </c>
    </row>
    <row r="228" spans="1:5" x14ac:dyDescent="0.25">
      <c r="A228" s="117" t="str">
        <f>IFERROR(INDEX(DA_SAP!$A:$A,(_xlfn.AGGREGATE(15,6,(ROW(DA_SAP!$F$3:$F$423)-2)/(DA_SAP!$F$3:$F$423=$A$191)*($A$191&lt;&gt;""),ROW()-193)+2)),"")</f>
        <v/>
      </c>
      <c r="B228" s="118" t="str">
        <f>IFERROR(INDEX(DA_SAP!$B:$B,(_xlfn.AGGREGATE(15,6,(ROW(DA_SAP!$F$3:$F$423)-2)/(DA_SAP!$F$3:$F$423=$A$191)*($A$191&lt;&gt;""),ROW()-193)+2)),"")</f>
        <v/>
      </c>
      <c r="C228" s="118" t="str">
        <f>IFERROR(INDEX(DA_SAP!$C:$C,(_xlfn.AGGREGATE(15,6,(ROW(DA_SAP!$F$3:$F$423)-2)/(DA_SAP!$F$3:$F$423=$A$191)*($A$191&lt;&gt;""),ROW()-193)+2)),"")</f>
        <v/>
      </c>
      <c r="D228" s="118" t="str">
        <f>IF($H$4="EFFACER","",IFERROR(INDEX(DA_SAP!$D:$D,(_xlfn.AGGREGATE(15,6,(ROW(DA_SAP!$F$3:$F$423)-2)/(DA_SAP!$F$3:$F$423=$A$191)*($A$191&lt;&gt;""),ROW()-193)+2)),""))</f>
        <v/>
      </c>
      <c r="E228" s="119" t="str">
        <f t="shared" si="7"/>
        <v/>
      </c>
    </row>
    <row r="229" spans="1:5" x14ac:dyDescent="0.25">
      <c r="A229" s="117" t="str">
        <f>IFERROR(INDEX(DA_SAP!$A:$A,(_xlfn.AGGREGATE(15,6,(ROW(DA_SAP!$F$3:$F$423)-2)/(DA_SAP!$F$3:$F$423=$A$191)*($A$191&lt;&gt;""),ROW()-193)+2)),"")</f>
        <v/>
      </c>
      <c r="B229" s="118" t="str">
        <f>IFERROR(INDEX(DA_SAP!$B:$B,(_xlfn.AGGREGATE(15,6,(ROW(DA_SAP!$F$3:$F$423)-2)/(DA_SAP!$F$3:$F$423=$A$191)*($A$191&lt;&gt;""),ROW()-193)+2)),"")</f>
        <v/>
      </c>
      <c r="C229" s="118" t="str">
        <f>IFERROR(INDEX(DA_SAP!$C:$C,(_xlfn.AGGREGATE(15,6,(ROW(DA_SAP!$F$3:$F$423)-2)/(DA_SAP!$F$3:$F$423=$A$191)*($A$191&lt;&gt;""),ROW()-193)+2)),"")</f>
        <v/>
      </c>
      <c r="D229" s="118" t="str">
        <f>IF($H$4="EFFACER","",IFERROR(INDEX(DA_SAP!$D:$D,(_xlfn.AGGREGATE(15,6,(ROW(DA_SAP!$F$3:$F$423)-2)/(DA_SAP!$F$3:$F$423=$A$191)*($A$191&lt;&gt;""),ROW()-193)+2)),""))</f>
        <v/>
      </c>
      <c r="E229" s="119" t="str">
        <f t="shared" si="7"/>
        <v/>
      </c>
    </row>
    <row r="230" spans="1:5" x14ac:dyDescent="0.25">
      <c r="A230" s="117" t="str">
        <f>IFERROR(INDEX(DA_SAP!$A:$A,(_xlfn.AGGREGATE(15,6,(ROW(DA_SAP!$F$3:$F$423)-2)/(DA_SAP!$F$3:$F$423=$A$191)*($A$191&lt;&gt;""),ROW()-193)+2)),"")</f>
        <v/>
      </c>
      <c r="B230" s="118" t="str">
        <f>IFERROR(INDEX(DA_SAP!$B:$B,(_xlfn.AGGREGATE(15,6,(ROW(DA_SAP!$F$3:$F$423)-2)/(DA_SAP!$F$3:$F$423=$A$191)*($A$191&lt;&gt;""),ROW()-193)+2)),"")</f>
        <v/>
      </c>
      <c r="C230" s="118" t="str">
        <f>IFERROR(INDEX(DA_SAP!$C:$C,(_xlfn.AGGREGATE(15,6,(ROW(DA_SAP!$F$3:$F$423)-2)/(DA_SAP!$F$3:$F$423=$A$191)*($A$191&lt;&gt;""),ROW()-193)+2)),"")</f>
        <v/>
      </c>
      <c r="D230" s="118" t="str">
        <f>IF($H$4="EFFACER","",IFERROR(INDEX(DA_SAP!$D:$D,(_xlfn.AGGREGATE(15,6,(ROW(DA_SAP!$F$3:$F$423)-2)/(DA_SAP!$F$3:$F$423=$A$191)*($A$191&lt;&gt;""),ROW()-193)+2)),""))</f>
        <v/>
      </c>
      <c r="E230" s="119" t="str">
        <f t="shared" si="7"/>
        <v/>
      </c>
    </row>
    <row r="231" spans="1:5" x14ac:dyDescent="0.25">
      <c r="A231" s="117" t="str">
        <f>IFERROR(INDEX(DA_SAP!$A:$A,(_xlfn.AGGREGATE(15,6,(ROW(DA_SAP!$F$3:$F$423)-2)/(DA_SAP!$F$3:$F$423=$A$191)*($A$191&lt;&gt;""),ROW()-193)+2)),"")</f>
        <v/>
      </c>
      <c r="B231" s="118" t="str">
        <f>IFERROR(INDEX(DA_SAP!$B:$B,(_xlfn.AGGREGATE(15,6,(ROW(DA_SAP!$F$3:$F$423)-2)/(DA_SAP!$F$3:$F$423=$A$191)*($A$191&lt;&gt;""),ROW()-193)+2)),"")</f>
        <v/>
      </c>
      <c r="C231" s="118" t="str">
        <f>IFERROR(INDEX(DA_SAP!$C:$C,(_xlfn.AGGREGATE(15,6,(ROW(DA_SAP!$F$3:$F$423)-2)/(DA_SAP!$F$3:$F$423=$A$191)*($A$191&lt;&gt;""),ROW()-193)+2)),"")</f>
        <v/>
      </c>
      <c r="D231" s="118" t="str">
        <f>IF($H$4="EFFACER","",IFERROR(INDEX(DA_SAP!$D:$D,(_xlfn.AGGREGATE(15,6,(ROW(DA_SAP!$F$3:$F$423)-2)/(DA_SAP!$F$3:$F$423=$A$191)*($A$191&lt;&gt;""),ROW()-193)+2)),""))</f>
        <v/>
      </c>
      <c r="E231" s="119" t="str">
        <f t="shared" si="7"/>
        <v/>
      </c>
    </row>
    <row r="232" spans="1:5" x14ac:dyDescent="0.25">
      <c r="A232" s="117" t="str">
        <f>IFERROR(INDEX(DA_SAP!$A:$A,(_xlfn.AGGREGATE(15,6,(ROW(DA_SAP!$F$3:$F$423)-2)/(DA_SAP!$F$3:$F$423=$A$191)*($A$191&lt;&gt;""),ROW()-193)+2)),"")</f>
        <v/>
      </c>
      <c r="B232" s="118" t="str">
        <f>IFERROR(INDEX(DA_SAP!$B:$B,(_xlfn.AGGREGATE(15,6,(ROW(DA_SAP!$F$3:$F$423)-2)/(DA_SAP!$F$3:$F$423=$A$191)*($A$191&lt;&gt;""),ROW()-193)+2)),"")</f>
        <v/>
      </c>
      <c r="C232" s="118" t="str">
        <f>IFERROR(INDEX(DA_SAP!$C:$C,(_xlfn.AGGREGATE(15,6,(ROW(DA_SAP!$F$3:$F$423)-2)/(DA_SAP!$F$3:$F$423=$A$191)*($A$191&lt;&gt;""),ROW()-193)+2)),"")</f>
        <v/>
      </c>
      <c r="D232" s="118" t="str">
        <f>IF($H$4="EFFACER","",IFERROR(INDEX(DA_SAP!$D:$D,(_xlfn.AGGREGATE(15,6,(ROW(DA_SAP!$F$3:$F$423)-2)/(DA_SAP!$F$3:$F$423=$A$191)*($A$191&lt;&gt;""),ROW()-193)+2)),""))</f>
        <v/>
      </c>
      <c r="E232" s="119" t="str">
        <f t="shared" si="7"/>
        <v/>
      </c>
    </row>
    <row r="233" spans="1:5" x14ac:dyDescent="0.25">
      <c r="A233" s="117" t="str">
        <f>IFERROR(INDEX(DA_SAP!$A:$A,(_xlfn.AGGREGATE(15,6,(ROW(DA_SAP!$F$3:$F$423)-2)/(DA_SAP!$F$3:$F$423=$A$191)*($A$191&lt;&gt;""),ROW()-193)+2)),"")</f>
        <v/>
      </c>
      <c r="B233" s="118" t="str">
        <f>IFERROR(INDEX(DA_SAP!$B:$B,(_xlfn.AGGREGATE(15,6,(ROW(DA_SAP!$F$3:$F$423)-2)/(DA_SAP!$F$3:$F$423=$A$191)*($A$191&lt;&gt;""),ROW()-193)+2)),"")</f>
        <v/>
      </c>
      <c r="C233" s="118" t="str">
        <f>IFERROR(INDEX(DA_SAP!$C:$C,(_xlfn.AGGREGATE(15,6,(ROW(DA_SAP!$F$3:$F$423)-2)/(DA_SAP!$F$3:$F$423=$A$191)*($A$191&lt;&gt;""),ROW()-193)+2)),"")</f>
        <v/>
      </c>
      <c r="D233" s="118" t="str">
        <f>IF($H$4="EFFACER","",IFERROR(INDEX(DA_SAP!$D:$D,(_xlfn.AGGREGATE(15,6,(ROW(DA_SAP!$F$3:$F$423)-2)/(DA_SAP!$F$3:$F$423=$A$191)*($A$191&lt;&gt;""),ROW()-193)+2)),""))</f>
        <v/>
      </c>
      <c r="E233" s="119" t="str">
        <f t="shared" si="7"/>
        <v/>
      </c>
    </row>
    <row r="234" spans="1:5" x14ac:dyDescent="0.25">
      <c r="A234" s="117" t="str">
        <f>IFERROR(INDEX(DA_SAP!$A:$A,(_xlfn.AGGREGATE(15,6,(ROW(DA_SAP!$F$3:$F$423)-2)/(DA_SAP!$F$3:$F$423=$A$191)*($A$191&lt;&gt;""),ROW()-193)+2)),"")</f>
        <v/>
      </c>
      <c r="B234" s="118" t="str">
        <f>IFERROR(INDEX(DA_SAP!$B:$B,(_xlfn.AGGREGATE(15,6,(ROW(DA_SAP!$F$3:$F$423)-2)/(DA_SAP!$F$3:$F$423=$A$191)*($A$191&lt;&gt;""),ROW()-193)+2)),"")</f>
        <v/>
      </c>
      <c r="C234" s="118" t="str">
        <f>IFERROR(INDEX(DA_SAP!$C:$C,(_xlfn.AGGREGATE(15,6,(ROW(DA_SAP!$F$3:$F$423)-2)/(DA_SAP!$F$3:$F$423=$A$191)*($A$191&lt;&gt;""),ROW()-193)+2)),"")</f>
        <v/>
      </c>
      <c r="D234" s="118" t="str">
        <f>IF($H$4="EFFACER","",IFERROR(INDEX(DA_SAP!$D:$D,(_xlfn.AGGREGATE(15,6,(ROW(DA_SAP!$F$3:$F$423)-2)/(DA_SAP!$F$3:$F$423=$A$191)*($A$191&lt;&gt;""),ROW()-193)+2)),""))</f>
        <v/>
      </c>
      <c r="E234" s="119" t="str">
        <f t="shared" si="7"/>
        <v/>
      </c>
    </row>
    <row r="235" spans="1:5" x14ac:dyDescent="0.25">
      <c r="A235" s="117" t="str">
        <f>IFERROR(INDEX(DA_SAP!$A:$A,(_xlfn.AGGREGATE(15,6,(ROW(DA_SAP!$F$3:$F$423)-2)/(DA_SAP!$F$3:$F$423=$A$191)*($A$191&lt;&gt;""),ROW()-193)+2)),"")</f>
        <v/>
      </c>
      <c r="B235" s="118" t="str">
        <f>IFERROR(INDEX(DA_SAP!$B:$B,(_xlfn.AGGREGATE(15,6,(ROW(DA_SAP!$F$3:$F$423)-2)/(DA_SAP!$F$3:$F$423=$A$191)*($A$191&lt;&gt;""),ROW()-193)+2)),"")</f>
        <v/>
      </c>
      <c r="C235" s="118" t="str">
        <f>IFERROR(INDEX(DA_SAP!$C:$C,(_xlfn.AGGREGATE(15,6,(ROW(DA_SAP!$F$3:$F$423)-2)/(DA_SAP!$F$3:$F$423=$A$191)*($A$191&lt;&gt;""),ROW()-193)+2)),"")</f>
        <v/>
      </c>
      <c r="D235" s="118" t="str">
        <f>IF($H$4="EFFACER","",IFERROR(INDEX(DA_SAP!$D:$D,(_xlfn.AGGREGATE(15,6,(ROW(DA_SAP!$F$3:$F$423)-2)/(DA_SAP!$F$3:$F$423=$A$191)*($A$191&lt;&gt;""),ROW()-193)+2)),""))</f>
        <v/>
      </c>
      <c r="E235" s="119" t="str">
        <f t="shared" si="7"/>
        <v/>
      </c>
    </row>
    <row r="236" spans="1:5" x14ac:dyDescent="0.25">
      <c r="A236" s="117" t="str">
        <f>IFERROR(INDEX(DA_SAP!$A:$A,(_xlfn.AGGREGATE(15,6,(ROW(DA_SAP!$F$3:$F$423)-2)/(DA_SAP!$F$3:$F$423=$A$191)*($A$191&lt;&gt;""),ROW()-193)+2)),"")</f>
        <v/>
      </c>
      <c r="B236" s="118" t="str">
        <f>IFERROR(INDEX(DA_SAP!$B:$B,(_xlfn.AGGREGATE(15,6,(ROW(DA_SAP!$F$3:$F$423)-2)/(DA_SAP!$F$3:$F$423=$A$191)*($A$191&lt;&gt;""),ROW()-193)+2)),"")</f>
        <v/>
      </c>
      <c r="C236" s="118" t="str">
        <f>IFERROR(INDEX(DA_SAP!$C:$C,(_xlfn.AGGREGATE(15,6,(ROW(DA_SAP!$F$3:$F$423)-2)/(DA_SAP!$F$3:$F$423=$A$191)*($A$191&lt;&gt;""),ROW()-193)+2)),"")</f>
        <v/>
      </c>
      <c r="D236" s="118" t="str">
        <f>IF($H$4="EFFACER","",IFERROR(INDEX(DA_SAP!$D:$D,(_xlfn.AGGREGATE(15,6,(ROW(DA_SAP!$F$3:$F$423)-2)/(DA_SAP!$F$3:$F$423=$A$191)*($A$191&lt;&gt;""),ROW()-193)+2)),""))</f>
        <v/>
      </c>
      <c r="E236" s="119" t="str">
        <f t="shared" si="7"/>
        <v/>
      </c>
    </row>
    <row r="237" spans="1:5" x14ac:dyDescent="0.25">
      <c r="A237" s="117" t="str">
        <f>IFERROR(INDEX(DA_SAP!$A:$A,(_xlfn.AGGREGATE(15,6,(ROW(DA_SAP!$F$3:$F$423)-2)/(DA_SAP!$F$3:$F$423=$A$191)*($A$191&lt;&gt;""),ROW()-193)+2)),"")</f>
        <v/>
      </c>
      <c r="B237" s="118" t="str">
        <f>IFERROR(INDEX(DA_SAP!$B:$B,(_xlfn.AGGREGATE(15,6,(ROW(DA_SAP!$F$3:$F$423)-2)/(DA_SAP!$F$3:$F$423=$A$191)*($A$191&lt;&gt;""),ROW()-193)+2)),"")</f>
        <v/>
      </c>
      <c r="C237" s="118" t="str">
        <f>IFERROR(INDEX(DA_SAP!$C:$C,(_xlfn.AGGREGATE(15,6,(ROW(DA_SAP!$F$3:$F$423)-2)/(DA_SAP!$F$3:$F$423=$A$191)*($A$191&lt;&gt;""),ROW()-193)+2)),"")</f>
        <v/>
      </c>
      <c r="D237" s="118" t="str">
        <f>IF($H$4="EFFACER","",IFERROR(INDEX(DA_SAP!$D:$D,(_xlfn.AGGREGATE(15,6,(ROW(DA_SAP!$F$3:$F$423)-2)/(DA_SAP!$F$3:$F$423=$A$191)*($A$191&lt;&gt;""),ROW()-193)+2)),""))</f>
        <v/>
      </c>
      <c r="E237" s="119" t="str">
        <f t="shared" si="7"/>
        <v/>
      </c>
    </row>
    <row r="238" spans="1:5" x14ac:dyDescent="0.25">
      <c r="A238" s="117" t="str">
        <f>IFERROR(INDEX(DA_SAP!$A:$A,(_xlfn.AGGREGATE(15,6,(ROW(DA_SAP!$F$3:$F$423)-2)/(DA_SAP!$F$3:$F$423=$A$191)*($A$191&lt;&gt;""),ROW()-193)+2)),"")</f>
        <v/>
      </c>
      <c r="B238" s="118" t="str">
        <f>IFERROR(INDEX(DA_SAP!$B:$B,(_xlfn.AGGREGATE(15,6,(ROW(DA_SAP!$F$3:$F$423)-2)/(DA_SAP!$F$3:$F$423=$A$191)*($A$191&lt;&gt;""),ROW()-193)+2)),"")</f>
        <v/>
      </c>
      <c r="C238" s="118" t="str">
        <f>IFERROR(INDEX(DA_SAP!$C:$C,(_xlfn.AGGREGATE(15,6,(ROW(DA_SAP!$F$3:$F$423)-2)/(DA_SAP!$F$3:$F$423=$A$191)*($A$191&lt;&gt;""),ROW()-193)+2)),"")</f>
        <v/>
      </c>
      <c r="D238" s="118" t="str">
        <f>IF($H$4="EFFACER","",IFERROR(INDEX(DA_SAP!$D:$D,(_xlfn.AGGREGATE(15,6,(ROW(DA_SAP!$F$3:$F$423)-2)/(DA_SAP!$F$3:$F$423=$A$191)*($A$191&lt;&gt;""),ROW()-193)+2)),""))</f>
        <v/>
      </c>
      <c r="E238" s="119" t="str">
        <f t="shared" si="7"/>
        <v/>
      </c>
    </row>
    <row r="239" spans="1:5" x14ac:dyDescent="0.25">
      <c r="A239" s="117" t="str">
        <f>IFERROR(INDEX(DA_SAP!$A:$A,(_xlfn.AGGREGATE(15,6,(ROW(DA_SAP!$F$3:$F$423)-2)/(DA_SAP!$F$3:$F$423=$A$191)*($A$191&lt;&gt;""),ROW()-193)+2)),"")</f>
        <v/>
      </c>
      <c r="B239" s="118" t="str">
        <f>IFERROR(INDEX(DA_SAP!$B:$B,(_xlfn.AGGREGATE(15,6,(ROW(DA_SAP!$F$3:$F$423)-2)/(DA_SAP!$F$3:$F$423=$A$191)*($A$191&lt;&gt;""),ROW()-193)+2)),"")</f>
        <v/>
      </c>
      <c r="C239" s="118" t="str">
        <f>IFERROR(INDEX(DA_SAP!$C:$C,(_xlfn.AGGREGATE(15,6,(ROW(DA_SAP!$F$3:$F$423)-2)/(DA_SAP!$F$3:$F$423=$A$191)*($A$191&lt;&gt;""),ROW()-193)+2)),"")</f>
        <v/>
      </c>
      <c r="D239" s="118" t="str">
        <f>IF($H$4="EFFACER","",IFERROR(INDEX(DA_SAP!$D:$D,(_xlfn.AGGREGATE(15,6,(ROW(DA_SAP!$F$3:$F$423)-2)/(DA_SAP!$F$3:$F$423=$A$191)*($A$191&lt;&gt;""),ROW()-193)+2)),""))</f>
        <v/>
      </c>
      <c r="E239" s="119" t="str">
        <f t="shared" si="7"/>
        <v/>
      </c>
    </row>
    <row r="240" spans="1:5" x14ac:dyDescent="0.25">
      <c r="A240" s="117" t="str">
        <f>IFERROR(INDEX(DA_SAP!$A:$A,(_xlfn.AGGREGATE(15,6,(ROW(DA_SAP!$F$3:$F$423)-2)/(DA_SAP!$F$3:$F$423=$A$191)*($A$191&lt;&gt;""),ROW()-193)+2)),"")</f>
        <v/>
      </c>
      <c r="B240" s="118" t="str">
        <f>IFERROR(INDEX(DA_SAP!$B:$B,(_xlfn.AGGREGATE(15,6,(ROW(DA_SAP!$F$3:$F$423)-2)/(DA_SAP!$F$3:$F$423=$A$191)*($A$191&lt;&gt;""),ROW()-193)+2)),"")</f>
        <v/>
      </c>
      <c r="C240" s="118" t="str">
        <f>IFERROR(INDEX(DA_SAP!$C:$C,(_xlfn.AGGREGATE(15,6,(ROW(DA_SAP!$F$3:$F$423)-2)/(DA_SAP!$F$3:$F$423=$A$191)*($A$191&lt;&gt;""),ROW()-193)+2)),"")</f>
        <v/>
      </c>
      <c r="D240" s="118" t="str">
        <f>IF($H$4="EFFACER","",IFERROR(INDEX(DA_SAP!$D:$D,(_xlfn.AGGREGATE(15,6,(ROW(DA_SAP!$F$3:$F$423)-2)/(DA_SAP!$F$3:$F$423=$A$191)*($A$191&lt;&gt;""),ROW()-193)+2)),""))</f>
        <v/>
      </c>
      <c r="E240" s="119" t="str">
        <f t="shared" si="7"/>
        <v/>
      </c>
    </row>
    <row r="241" spans="1:5" x14ac:dyDescent="0.25">
      <c r="A241" s="117" t="str">
        <f>IFERROR(INDEX(DA_SAP!$A:$A,(_xlfn.AGGREGATE(15,6,(ROW(DA_SAP!$F$3:$F$423)-2)/(DA_SAP!$F$3:$F$423=$A$191)*($A$191&lt;&gt;""),ROW()-193)+2)),"")</f>
        <v/>
      </c>
      <c r="B241" s="118" t="str">
        <f>IFERROR(INDEX(DA_SAP!$B:$B,(_xlfn.AGGREGATE(15,6,(ROW(DA_SAP!$F$3:$F$423)-2)/(DA_SAP!$F$3:$F$423=$A$191)*($A$191&lt;&gt;""),ROW()-193)+2)),"")</f>
        <v/>
      </c>
      <c r="C241" s="118" t="str">
        <f>IFERROR(INDEX(DA_SAP!$C:$C,(_xlfn.AGGREGATE(15,6,(ROW(DA_SAP!$F$3:$F$423)-2)/(DA_SAP!$F$3:$F$423=$A$191)*($A$191&lt;&gt;""),ROW()-193)+2)),"")</f>
        <v/>
      </c>
      <c r="D241" s="118" t="str">
        <f>IF($H$4="EFFACER","",IFERROR(INDEX(DA_SAP!$D:$D,(_xlfn.AGGREGATE(15,6,(ROW(DA_SAP!$F$3:$F$423)-2)/(DA_SAP!$F$3:$F$423=$A$191)*($A$191&lt;&gt;""),ROW()-193)+2)),""))</f>
        <v/>
      </c>
      <c r="E241" s="119" t="str">
        <f t="shared" si="7"/>
        <v/>
      </c>
    </row>
    <row r="242" spans="1:5" x14ac:dyDescent="0.25">
      <c r="A242" s="117" t="str">
        <f>IFERROR(INDEX(DA_SAP!$A:$A,(_xlfn.AGGREGATE(15,6,(ROW(DA_SAP!$F$3:$F$423)-2)/(DA_SAP!$F$3:$F$423=$A$191)*($A$191&lt;&gt;""),ROW()-193)+2)),"")</f>
        <v/>
      </c>
      <c r="B242" s="118" t="str">
        <f>IFERROR(INDEX(DA_SAP!$B:$B,(_xlfn.AGGREGATE(15,6,(ROW(DA_SAP!$F$3:$F$423)-2)/(DA_SAP!$F$3:$F$423=$A$191)*($A$191&lt;&gt;""),ROW()-193)+2)),"")</f>
        <v/>
      </c>
      <c r="C242" s="118" t="str">
        <f>IFERROR(INDEX(DA_SAP!$C:$C,(_xlfn.AGGREGATE(15,6,(ROW(DA_SAP!$F$3:$F$423)-2)/(DA_SAP!$F$3:$F$423=$A$191)*($A$191&lt;&gt;""),ROW()-193)+2)),"")</f>
        <v/>
      </c>
      <c r="D242" s="118" t="str">
        <f>IF($H$4="EFFACER","",IFERROR(INDEX(DA_SAP!$D:$D,(_xlfn.AGGREGATE(15,6,(ROW(DA_SAP!$F$3:$F$423)-2)/(DA_SAP!$F$3:$F$423=$A$191)*($A$191&lt;&gt;""),ROW()-193)+2)),""))</f>
        <v/>
      </c>
      <c r="E242" s="119" t="str">
        <f t="shared" si="7"/>
        <v/>
      </c>
    </row>
    <row r="243" spans="1:5" x14ac:dyDescent="0.25">
      <c r="A243" s="117" t="str">
        <f>IFERROR(INDEX(DA_SAP!$A:$A,(_xlfn.AGGREGATE(15,6,(ROW(DA_SAP!$F$3:$F$423)-2)/(DA_SAP!$F$3:$F$423=$A$191)*($A$191&lt;&gt;""),ROW()-193)+2)),"")</f>
        <v/>
      </c>
      <c r="B243" s="118" t="str">
        <f>IFERROR(INDEX(DA_SAP!$B:$B,(_xlfn.AGGREGATE(15,6,(ROW(DA_SAP!$F$3:$F$423)-2)/(DA_SAP!$F$3:$F$423=$A$191)*($A$191&lt;&gt;""),ROW()-193)+2)),"")</f>
        <v/>
      </c>
      <c r="C243" s="118" t="str">
        <f>IFERROR(INDEX(DA_SAP!$C:$C,(_xlfn.AGGREGATE(15,6,(ROW(DA_SAP!$F$3:$F$423)-2)/(DA_SAP!$F$3:$F$423=$A$191)*($A$191&lt;&gt;""),ROW()-193)+2)),"")</f>
        <v/>
      </c>
      <c r="D243" s="118" t="str">
        <f>IF($H$4="EFFACER","",IFERROR(INDEX(DA_SAP!$D:$D,(_xlfn.AGGREGATE(15,6,(ROW(DA_SAP!$F$3:$F$423)-2)/(DA_SAP!$F$3:$F$423=$A$191)*($A$191&lt;&gt;""),ROW()-193)+2)),""))</f>
        <v/>
      </c>
      <c r="E243" s="119" t="str">
        <f t="shared" si="7"/>
        <v/>
      </c>
    </row>
    <row r="244" spans="1:5" x14ac:dyDescent="0.25">
      <c r="A244" s="117" t="str">
        <f>IFERROR(INDEX(DA_SAP!$A:$A,(_xlfn.AGGREGATE(15,6,(ROW(DA_SAP!$F$3:$F$423)-2)/(DA_SAP!$F$3:$F$423=$A$191)*($A$191&lt;&gt;""),ROW()-193)+2)),"")</f>
        <v/>
      </c>
      <c r="B244" s="118" t="str">
        <f>IFERROR(INDEX(DA_SAP!$B:$B,(_xlfn.AGGREGATE(15,6,(ROW(DA_SAP!$F$3:$F$423)-2)/(DA_SAP!$F$3:$F$423=$A$191)*($A$191&lt;&gt;""),ROW()-193)+2)),"")</f>
        <v/>
      </c>
      <c r="C244" s="118" t="str">
        <f>IFERROR(INDEX(DA_SAP!$C:$C,(_xlfn.AGGREGATE(15,6,(ROW(DA_SAP!$F$3:$F$423)-2)/(DA_SAP!$F$3:$F$423=$A$191)*($A$191&lt;&gt;""),ROW()-193)+2)),"")</f>
        <v/>
      </c>
      <c r="D244" s="118" t="str">
        <f>IF($H$4="EFFACER","",IFERROR(INDEX(DA_SAP!$D:$D,(_xlfn.AGGREGATE(15,6,(ROW(DA_SAP!$F$3:$F$423)-2)/(DA_SAP!$F$3:$F$423=$A$191)*($A$191&lt;&gt;""),ROW()-193)+2)),""))</f>
        <v/>
      </c>
      <c r="E244" s="119" t="str">
        <f t="shared" si="7"/>
        <v/>
      </c>
    </row>
    <row r="245" spans="1:5" x14ac:dyDescent="0.25">
      <c r="A245" s="117" t="str">
        <f>IFERROR(INDEX(DA_SAP!$A:$A,(_xlfn.AGGREGATE(15,6,(ROW(DA_SAP!$F$3:$F$423)-2)/(DA_SAP!$F$3:$F$423=$A$191)*($A$191&lt;&gt;""),ROW()-193)+2)),"")</f>
        <v/>
      </c>
      <c r="B245" s="118" t="str">
        <f>IFERROR(INDEX(DA_SAP!$B:$B,(_xlfn.AGGREGATE(15,6,(ROW(DA_SAP!$F$3:$F$423)-2)/(DA_SAP!$F$3:$F$423=$A$191)*($A$191&lt;&gt;""),ROW()-193)+2)),"")</f>
        <v/>
      </c>
      <c r="C245" s="118" t="str">
        <f>IFERROR(INDEX(DA_SAP!$C:$C,(_xlfn.AGGREGATE(15,6,(ROW(DA_SAP!$F$3:$F$423)-2)/(DA_SAP!$F$3:$F$423=$A$191)*($A$191&lt;&gt;""),ROW()-193)+2)),"")</f>
        <v/>
      </c>
      <c r="D245" s="118" t="str">
        <f>IF($H$4="EFFACER","",IFERROR(INDEX(DA_SAP!$D:$D,(_xlfn.AGGREGATE(15,6,(ROW(DA_SAP!$F$3:$F$423)-2)/(DA_SAP!$F$3:$F$423=$A$191)*($A$191&lt;&gt;""),ROW()-193)+2)),""))</f>
        <v/>
      </c>
      <c r="E245" s="119" t="str">
        <f t="shared" si="7"/>
        <v/>
      </c>
    </row>
    <row r="246" spans="1:5" x14ac:dyDescent="0.25">
      <c r="A246" s="117" t="str">
        <f>IFERROR(INDEX(DA_SAP!$A:$A,(_xlfn.AGGREGATE(15,6,(ROW(DA_SAP!$F$3:$F$423)-2)/(DA_SAP!$F$3:$F$423=$A$191)*($A$191&lt;&gt;""),ROW()-193)+2)),"")</f>
        <v/>
      </c>
      <c r="B246" s="118" t="str">
        <f>IFERROR(INDEX(DA_SAP!$B:$B,(_xlfn.AGGREGATE(15,6,(ROW(DA_SAP!$F$3:$F$423)-2)/(DA_SAP!$F$3:$F$423=$A$191)*($A$191&lt;&gt;""),ROW()-193)+2)),"")</f>
        <v/>
      </c>
      <c r="C246" s="118" t="str">
        <f>IFERROR(INDEX(DA_SAP!$C:$C,(_xlfn.AGGREGATE(15,6,(ROW(DA_SAP!$F$3:$F$423)-2)/(DA_SAP!$F$3:$F$423=$A$191)*($A$191&lt;&gt;""),ROW()-193)+2)),"")</f>
        <v/>
      </c>
      <c r="D246" s="118" t="str">
        <f>IF($H$4="EFFACER","",IFERROR(INDEX(DA_SAP!$D:$D,(_xlfn.AGGREGATE(15,6,(ROW(DA_SAP!$F$3:$F$423)-2)/(DA_SAP!$F$3:$F$423=$A$191)*($A$191&lt;&gt;""),ROW()-193)+2)),""))</f>
        <v/>
      </c>
      <c r="E246" s="119" t="str">
        <f t="shared" si="7"/>
        <v/>
      </c>
    </row>
    <row r="247" spans="1:5" x14ac:dyDescent="0.25">
      <c r="A247" s="117" t="str">
        <f>IFERROR(INDEX(DA_SAP!$A:$A,(_xlfn.AGGREGATE(15,6,(ROW(DA_SAP!$F$3:$F$423)-2)/(DA_SAP!$F$3:$F$423=$A$191)*($A$191&lt;&gt;""),ROW()-193)+2)),"")</f>
        <v/>
      </c>
      <c r="B247" s="118" t="str">
        <f>IFERROR(INDEX(DA_SAP!$B:$B,(_xlfn.AGGREGATE(15,6,(ROW(DA_SAP!$F$3:$F$423)-2)/(DA_SAP!$F$3:$F$423=$A$191)*($A$191&lt;&gt;""),ROW()-193)+2)),"")</f>
        <v/>
      </c>
      <c r="C247" s="118" t="str">
        <f>IFERROR(INDEX(DA_SAP!$C:$C,(_xlfn.AGGREGATE(15,6,(ROW(DA_SAP!$F$3:$F$423)-2)/(DA_SAP!$F$3:$F$423=$A$191)*($A$191&lt;&gt;""),ROW()-193)+2)),"")</f>
        <v/>
      </c>
      <c r="D247" s="118" t="str">
        <f>IF($H$4="EFFACER","",IFERROR(INDEX(DA_SAP!$D:$D,(_xlfn.AGGREGATE(15,6,(ROW(DA_SAP!$F$3:$F$423)-2)/(DA_SAP!$F$3:$F$423=$A$191)*($A$191&lt;&gt;""),ROW()-193)+2)),""))</f>
        <v/>
      </c>
      <c r="E247" s="119" t="str">
        <f t="shared" si="7"/>
        <v/>
      </c>
    </row>
    <row r="248" spans="1:5" x14ac:dyDescent="0.25">
      <c r="A248" s="117" t="str">
        <f>IFERROR(INDEX(DA_SAP!$A:$A,(_xlfn.AGGREGATE(15,6,(ROW(DA_SAP!$F$3:$F$423)-2)/(DA_SAP!$F$3:$F$423=$A$191)*($A$191&lt;&gt;""),ROW()-193)+2)),"")</f>
        <v/>
      </c>
      <c r="B248" s="118" t="str">
        <f>IFERROR(INDEX(DA_SAP!$B:$B,(_xlfn.AGGREGATE(15,6,(ROW(DA_SAP!$F$3:$F$423)-2)/(DA_SAP!$F$3:$F$423=$A$191)*($A$191&lt;&gt;""),ROW()-193)+2)),"")</f>
        <v/>
      </c>
      <c r="C248" s="118" t="str">
        <f>IFERROR(INDEX(DA_SAP!$C:$C,(_xlfn.AGGREGATE(15,6,(ROW(DA_SAP!$F$3:$F$423)-2)/(DA_SAP!$F$3:$F$423=$A$191)*($A$191&lt;&gt;""),ROW()-193)+2)),"")</f>
        <v/>
      </c>
      <c r="D248" s="118" t="str">
        <f>IF($H$4="EFFACER","",IFERROR(INDEX(DA_SAP!$D:$D,(_xlfn.AGGREGATE(15,6,(ROW(DA_SAP!$F$3:$F$423)-2)/(DA_SAP!$F$3:$F$423=$A$191)*($A$191&lt;&gt;""),ROW()-193)+2)),""))</f>
        <v/>
      </c>
      <c r="E248" s="119" t="str">
        <f t="shared" si="7"/>
        <v/>
      </c>
    </row>
    <row r="249" spans="1:5" x14ac:dyDescent="0.25">
      <c r="A249" s="117" t="str">
        <f>IFERROR(INDEX(DA_SAP!$A:$A,(_xlfn.AGGREGATE(15,6,(ROW(DA_SAP!$F$3:$F$423)-2)/(DA_SAP!$F$3:$F$423=$A$191)*($A$191&lt;&gt;""),ROW()-193)+2)),"")</f>
        <v/>
      </c>
      <c r="B249" s="118" t="str">
        <f>IFERROR(INDEX(DA_SAP!$B:$B,(_xlfn.AGGREGATE(15,6,(ROW(DA_SAP!$F$3:$F$423)-2)/(DA_SAP!$F$3:$F$423=$A$191)*($A$191&lt;&gt;""),ROW()-193)+2)),"")</f>
        <v/>
      </c>
      <c r="C249" s="118" t="str">
        <f>IFERROR(INDEX(DA_SAP!$C:$C,(_xlfn.AGGREGATE(15,6,(ROW(DA_SAP!$F$3:$F$423)-2)/(DA_SAP!$F$3:$F$423=$A$191)*($A$191&lt;&gt;""),ROW()-193)+2)),"")</f>
        <v/>
      </c>
      <c r="D249" s="118" t="str">
        <f>IF($H$4="EFFACER","",IFERROR(INDEX(DA_SAP!$D:$D,(_xlfn.AGGREGATE(15,6,(ROW(DA_SAP!$F$3:$F$423)-2)/(DA_SAP!$F$3:$F$423=$A$191)*($A$191&lt;&gt;""),ROW()-193)+2)),""))</f>
        <v/>
      </c>
      <c r="E249" s="119" t="str">
        <f t="shared" si="7"/>
        <v/>
      </c>
    </row>
    <row r="250" spans="1:5" x14ac:dyDescent="0.25">
      <c r="A250" s="117" t="str">
        <f>IFERROR(INDEX(DA_SAP!$A:$A,(_xlfn.AGGREGATE(15,6,(ROW(DA_SAP!$F$3:$F$423)-2)/(DA_SAP!$F$3:$F$423=$A$191)*($A$191&lt;&gt;""),ROW()-193)+2)),"")</f>
        <v/>
      </c>
      <c r="B250" s="118" t="str">
        <f>IFERROR(INDEX(DA_SAP!$B:$B,(_xlfn.AGGREGATE(15,6,(ROW(DA_SAP!$F$3:$F$423)-2)/(DA_SAP!$F$3:$F$423=$A$191)*($A$191&lt;&gt;""),ROW()-193)+2)),"")</f>
        <v/>
      </c>
      <c r="C250" s="118" t="str">
        <f>IFERROR(INDEX(DA_SAP!$C:$C,(_xlfn.AGGREGATE(15,6,(ROW(DA_SAP!$F$3:$F$423)-2)/(DA_SAP!$F$3:$F$423=$A$191)*($A$191&lt;&gt;""),ROW()-193)+2)),"")</f>
        <v/>
      </c>
      <c r="D250" s="118" t="str">
        <f>IF($H$4="EFFACER","",IFERROR(INDEX(DA_SAP!$D:$D,(_xlfn.AGGREGATE(15,6,(ROW(DA_SAP!$F$3:$F$423)-2)/(DA_SAP!$F$3:$F$423=$A$191)*($A$191&lt;&gt;""),ROW()-193)+2)),""))</f>
        <v/>
      </c>
      <c r="E250" s="119" t="str">
        <f t="shared" si="7"/>
        <v/>
      </c>
    </row>
    <row r="251" spans="1:5" x14ac:dyDescent="0.25">
      <c r="A251" s="117" t="str">
        <f>IFERROR(INDEX(DA_SAP!$A:$A,(_xlfn.AGGREGATE(15,6,(ROW(DA_SAP!$F$3:$F$423)-2)/(DA_SAP!$F$3:$F$423=$A$191)*($A$191&lt;&gt;""),ROW()-193)+2)),"")</f>
        <v/>
      </c>
      <c r="B251" s="118" t="str">
        <f>IFERROR(INDEX(DA_SAP!$B:$B,(_xlfn.AGGREGATE(15,6,(ROW(DA_SAP!$F$3:$F$423)-2)/(DA_SAP!$F$3:$F$423=$A$191)*($A$191&lt;&gt;""),ROW()-193)+2)),"")</f>
        <v/>
      </c>
      <c r="C251" s="118" t="str">
        <f>IFERROR(INDEX(DA_SAP!$C:$C,(_xlfn.AGGREGATE(15,6,(ROW(DA_SAP!$F$3:$F$423)-2)/(DA_SAP!$F$3:$F$423=$A$191)*($A$191&lt;&gt;""),ROW()-193)+2)),"")</f>
        <v/>
      </c>
      <c r="D251" s="118" t="str">
        <f>IF($H$4="EFFACER","",IFERROR(INDEX(DA_SAP!$D:$D,(_xlfn.AGGREGATE(15,6,(ROW(DA_SAP!$F$3:$F$423)-2)/(DA_SAP!$F$3:$F$423=$A$191)*($A$191&lt;&gt;""),ROW()-193)+2)),""))</f>
        <v/>
      </c>
      <c r="E251" s="119" t="str">
        <f t="shared" si="7"/>
        <v/>
      </c>
    </row>
    <row r="252" spans="1:5" ht="15.75" customHeight="1" x14ac:dyDescent="0.25">
      <c r="A252" s="122" t="str">
        <f>IFERROR(INDEX(DA_SAP!$A:$A,(_xlfn.AGGREGATE(15,6,(ROW(DA_SAP!$F$3:$F$423)-2)/(DA_SAP!$F$3:$F$423=$A$191)*($A$191&lt;&gt;""),ROW()-193)+2)),"")</f>
        <v/>
      </c>
      <c r="B252" s="123" t="str">
        <f>IFERROR(INDEX(DA_SAP!$B:$B,(_xlfn.AGGREGATE(15,6,(ROW(DA_SAP!$F$3:$F$423)-2)/(DA_SAP!$F$3:$F$423=$A$191)*($A$191&lt;&gt;""),ROW()-193)+2)),"")</f>
        <v/>
      </c>
      <c r="C252" s="123" t="str">
        <f>IFERROR(INDEX(DA_SAP!$C:$C,(_xlfn.AGGREGATE(15,6,(ROW(DA_SAP!$F$3:$F$423)-2)/(DA_SAP!$F$3:$F$423=$A$191)*($A$191&lt;&gt;""),ROW()-193)+2)),"")</f>
        <v/>
      </c>
      <c r="D252" s="123" t="str">
        <f>IF($H$4="EFFACER","",IFERROR(INDEX(DA_SAP!$D:$D,(_xlfn.AGGREGATE(15,6,(ROW(DA_SAP!$F$3:$F$423)-2)/(DA_SAP!$F$3:$F$423=$A$191)*($A$191&lt;&gt;""),ROW()-193)+2)),""))</f>
        <v/>
      </c>
      <c r="E252" s="124" t="str">
        <f t="shared" si="7"/>
        <v/>
      </c>
    </row>
    <row r="253" spans="1:5" ht="15.75" customHeight="1" x14ac:dyDescent="0.25">
      <c r="A253" s="125"/>
      <c r="B253" s="125"/>
      <c r="C253" s="125"/>
      <c r="D253" s="125"/>
      <c r="E253" s="125" t="str">
        <f t="shared" si="7"/>
        <v/>
      </c>
    </row>
    <row r="254" spans="1:5" ht="15.75" customHeight="1" x14ac:dyDescent="0.3">
      <c r="A254" s="111" t="str">
        <f>IFERROR(INDEX(Catalogue!$K:$K,_xlfn.AGGREGATE(15,6,(ROW(Catalogue!$L$4:$L$454))/(Catalogue!$L$4:$L$454=1),5)),"")</f>
        <v>MATINCENDIE</v>
      </c>
      <c r="B254" s="112"/>
      <c r="C254" s="112"/>
      <c r="D254" s="112"/>
      <c r="E254" s="113"/>
    </row>
    <row r="255" spans="1:5" x14ac:dyDescent="0.25">
      <c r="A255" s="114" t="s">
        <v>1026</v>
      </c>
      <c r="B255" s="115" t="s">
        <v>1027</v>
      </c>
      <c r="C255" s="115" t="s">
        <v>1152</v>
      </c>
      <c r="D255" s="115" t="s">
        <v>1029</v>
      </c>
      <c r="E255" s="116" t="s">
        <v>1153</v>
      </c>
    </row>
    <row r="256" spans="1:5" x14ac:dyDescent="0.25">
      <c r="A256" s="117" t="str">
        <f>IFERROR(INDEX(DA_SAP!$A:$A,(_xlfn.AGGREGATE(15,6,(ROW(DA_SAP!$F$3:$F$423)-2)/(DA_SAP!$F$3:$F$423=$A$254)*($A$254&lt;&gt;""),ROW()-256)+2)),"")</f>
        <v/>
      </c>
      <c r="B256" s="118" t="str">
        <f>IFERROR(INDEX(DA_SAP!$B:$B,(_xlfn.AGGREGATE(15,6,(ROW(DA_SAP!$F$3:$F$423)-2)/(DA_SAP!$F$3:$F$423=$A$254)*($A$254&lt;&gt;""),ROW()-256)+2)),"")</f>
        <v/>
      </c>
      <c r="C256" s="118" t="str">
        <f>IFERROR(INDEX(DA_SAP!$C:$C,(_xlfn.AGGREGATE(15,6,(ROW(DA_SAP!$F$3:$F$423)-2)/(DA_SAP!$F$3:$F$423=$A$254)*($A$254&lt;&gt;""),ROW()-256)+2)),"")</f>
        <v/>
      </c>
      <c r="D256" s="118" t="str">
        <f>IF($H$4="EFFACER","",IFERROR(INDEX(DA_SAP!$D:$D,(_xlfn.AGGREGATE(15,6,(ROW(DA_SAP!$F$3:$F$423)-2)/(DA_SAP!$F$3:$F$423=$A$254)*($A$254&lt;&gt;""),ROW()-256)+2)),""))</f>
        <v/>
      </c>
      <c r="E256" s="119" t="str">
        <f>IFERROR(INDEX(DA_SAP!$E:$E,(_xlfn.AGGREGATE(15,6,(ROW(DA_SAP!$F$3:$F$423)-2)/(DA_SAP!$F$3:$F$423=$A$254)*($A$254&lt;&gt;""),ROW()-256)+2)),"")</f>
        <v/>
      </c>
    </row>
    <row r="257" spans="1:5" x14ac:dyDescent="0.25">
      <c r="A257" s="117" t="str">
        <f>IFERROR(INDEX(DA_SAP!$A:$A,(_xlfn.AGGREGATE(15,6,(ROW(DA_SAP!$F$3:$F$423)-2)/(DA_SAP!$F$3:$F$423=$A$254)*($A$254&lt;&gt;""),ROW()-256)+2)),"")</f>
        <v/>
      </c>
      <c r="B257" s="118" t="str">
        <f>IFERROR(INDEX(DA_SAP!$B:$B,(_xlfn.AGGREGATE(15,6,(ROW(DA_SAP!$F$3:$F$423)-2)/(DA_SAP!$F$3:$F$423=$A$254)*($A$254&lt;&gt;""),ROW()-256)+2)),"")</f>
        <v/>
      </c>
      <c r="C257" s="118" t="str">
        <f>IFERROR(INDEX(DA_SAP!$C:$C,(_xlfn.AGGREGATE(15,6,(ROW(DA_SAP!$F$3:$F$423)-2)/(DA_SAP!$F$3:$F$423=$A$254)*($A$254&lt;&gt;""),ROW()-256)+2)),"")</f>
        <v/>
      </c>
      <c r="D257" s="118" t="str">
        <f>IF($H$4="EFFACER","",IFERROR(INDEX(DA_SAP!$D:$D,(_xlfn.AGGREGATE(15,6,(ROW(DA_SAP!$F$3:$F$423)-2)/(DA_SAP!$F$3:$F$423=$A$254)*($A$254&lt;&gt;""),ROW()-256)+2)),""))</f>
        <v/>
      </c>
      <c r="E257" s="119" t="str">
        <f t="shared" ref="E257:E288" si="8">IF($A257="","",$H$1)</f>
        <v/>
      </c>
    </row>
    <row r="258" spans="1:5" x14ac:dyDescent="0.25">
      <c r="A258" s="117" t="str">
        <f>IFERROR(INDEX(DA_SAP!$A:$A,(_xlfn.AGGREGATE(15,6,(ROW(DA_SAP!$F$3:$F$423)-2)/(DA_SAP!$F$3:$F$423=$A$254)*($A$254&lt;&gt;""),ROW()-256)+2)),"")</f>
        <v/>
      </c>
      <c r="B258" s="118" t="str">
        <f>IFERROR(INDEX(DA_SAP!$B:$B,(_xlfn.AGGREGATE(15,6,(ROW(DA_SAP!$F$3:$F$423)-2)/(DA_SAP!$F$3:$F$423=$A$254)*($A$254&lt;&gt;""),ROW()-256)+2)),"")</f>
        <v/>
      </c>
      <c r="C258" s="118" t="str">
        <f>IFERROR(INDEX(DA_SAP!$C:$C,(_xlfn.AGGREGATE(15,6,(ROW(DA_SAP!$F$3:$F$423)-2)/(DA_SAP!$F$3:$F$423=$A$254)*($A$254&lt;&gt;""),ROW()-256)+2)),"")</f>
        <v/>
      </c>
      <c r="D258" s="118" t="str">
        <f>IF($H$4="EFFACER","",IFERROR(INDEX(DA_SAP!$D:$D,(_xlfn.AGGREGATE(15,6,(ROW(DA_SAP!$F$3:$F$423)-2)/(DA_SAP!$F$3:$F$423=$A$254)*($A$254&lt;&gt;""),ROW()-256)+2)),""))</f>
        <v/>
      </c>
      <c r="E258" s="119" t="str">
        <f t="shared" si="8"/>
        <v/>
      </c>
    </row>
    <row r="259" spans="1:5" x14ac:dyDescent="0.25">
      <c r="A259" s="117" t="str">
        <f>IFERROR(INDEX(DA_SAP!$A:$A,(_xlfn.AGGREGATE(15,6,(ROW(DA_SAP!$F$3:$F$423)-2)/(DA_SAP!$F$3:$F$423=$A$254)*($A$254&lt;&gt;""),ROW()-256)+2)),"")</f>
        <v/>
      </c>
      <c r="B259" s="118" t="str">
        <f>IFERROR(INDEX(DA_SAP!$B:$B,(_xlfn.AGGREGATE(15,6,(ROW(DA_SAP!$F$3:$F$423)-2)/(DA_SAP!$F$3:$F$423=$A$254)*($A$254&lt;&gt;""),ROW()-256)+2)),"")</f>
        <v/>
      </c>
      <c r="C259" s="118" t="str">
        <f>IFERROR(INDEX(DA_SAP!$C:$C,(_xlfn.AGGREGATE(15,6,(ROW(DA_SAP!$F$3:$F$423)-2)/(DA_SAP!$F$3:$F$423=$A$254)*($A$254&lt;&gt;""),ROW()-256)+2)),"")</f>
        <v/>
      </c>
      <c r="D259" s="118" t="str">
        <f>IF($H$4="EFFACER","",IFERROR(INDEX(DA_SAP!$D:$D,(_xlfn.AGGREGATE(15,6,(ROW(DA_SAP!$F$3:$F$423)-2)/(DA_SAP!$F$3:$F$423=$A$254)*($A$254&lt;&gt;""),ROW()-256)+2)),""))</f>
        <v/>
      </c>
      <c r="E259" s="119" t="str">
        <f t="shared" si="8"/>
        <v/>
      </c>
    </row>
    <row r="260" spans="1:5" x14ac:dyDescent="0.25">
      <c r="A260" s="117" t="str">
        <f>IFERROR(INDEX(DA_SAP!$A:$A,(_xlfn.AGGREGATE(15,6,(ROW(DA_SAP!$F$3:$F$423)-2)/(DA_SAP!$F$3:$F$423=$A$254)*($A$254&lt;&gt;""),ROW()-256)+2)),"")</f>
        <v/>
      </c>
      <c r="B260" s="118" t="str">
        <f>IFERROR(INDEX(DA_SAP!$B:$B,(_xlfn.AGGREGATE(15,6,(ROW(DA_SAP!$F$3:$F$423)-2)/(DA_SAP!$F$3:$F$423=$A$254)*($A$254&lt;&gt;""),ROW()-256)+2)),"")</f>
        <v/>
      </c>
      <c r="C260" s="118" t="str">
        <f>IFERROR(INDEX(DA_SAP!$C:$C,(_xlfn.AGGREGATE(15,6,(ROW(DA_SAP!$F$3:$F$423)-2)/(DA_SAP!$F$3:$F$423=$A$254)*($A$254&lt;&gt;""),ROW()-256)+2)),"")</f>
        <v/>
      </c>
      <c r="D260" s="118" t="str">
        <f>IF($H$4="EFFACER","",IFERROR(INDEX(DA_SAP!$D:$D,(_xlfn.AGGREGATE(15,6,(ROW(DA_SAP!$F$3:$F$423)-2)/(DA_SAP!$F$3:$F$423=$A$254)*($A$254&lt;&gt;""),ROW()-256)+2)),""))</f>
        <v/>
      </c>
      <c r="E260" s="119" t="str">
        <f t="shared" si="8"/>
        <v/>
      </c>
    </row>
    <row r="261" spans="1:5" x14ac:dyDescent="0.25">
      <c r="A261" s="117" t="str">
        <f>IFERROR(INDEX(DA_SAP!$A:$A,(_xlfn.AGGREGATE(15,6,(ROW(DA_SAP!$F$3:$F$423)-2)/(DA_SAP!$F$3:$F$423=$A$254)*($A$254&lt;&gt;""),ROW()-256)+2)),"")</f>
        <v/>
      </c>
      <c r="B261" s="118" t="str">
        <f>IFERROR(INDEX(DA_SAP!$B:$B,(_xlfn.AGGREGATE(15,6,(ROW(DA_SAP!$F$3:$F$423)-2)/(DA_SAP!$F$3:$F$423=$A$254)*($A$254&lt;&gt;""),ROW()-256)+2)),"")</f>
        <v/>
      </c>
      <c r="C261" s="118" t="str">
        <f>IFERROR(INDEX(DA_SAP!$C:$C,(_xlfn.AGGREGATE(15,6,(ROW(DA_SAP!$F$3:$F$423)-2)/(DA_SAP!$F$3:$F$423=$A$254)*($A$254&lt;&gt;""),ROW()-256)+2)),"")</f>
        <v/>
      </c>
      <c r="D261" s="118" t="str">
        <f>IF($H$4="EFFACER","",IFERROR(INDEX(DA_SAP!$D:$D,(_xlfn.AGGREGATE(15,6,(ROW(DA_SAP!$F$3:$F$423)-2)/(DA_SAP!$F$3:$F$423=$A$254)*($A$254&lt;&gt;""),ROW()-256)+2)),""))</f>
        <v/>
      </c>
      <c r="E261" s="119" t="str">
        <f t="shared" si="8"/>
        <v/>
      </c>
    </row>
    <row r="262" spans="1:5" x14ac:dyDescent="0.25">
      <c r="A262" s="117" t="str">
        <f>IFERROR(INDEX(DA_SAP!$A:$A,(_xlfn.AGGREGATE(15,6,(ROW(DA_SAP!$F$3:$F$423)-2)/(DA_SAP!$F$3:$F$423=$A$254)*($A$254&lt;&gt;""),ROW()-256)+2)),"")</f>
        <v/>
      </c>
      <c r="B262" s="118" t="str">
        <f>IFERROR(INDEX(DA_SAP!$B:$B,(_xlfn.AGGREGATE(15,6,(ROW(DA_SAP!$F$3:$F$423)-2)/(DA_SAP!$F$3:$F$423=$A$254)*($A$254&lt;&gt;""),ROW()-256)+2)),"")</f>
        <v/>
      </c>
      <c r="C262" s="118" t="str">
        <f>IFERROR(INDEX(DA_SAP!$C:$C,(_xlfn.AGGREGATE(15,6,(ROW(DA_SAP!$F$3:$F$423)-2)/(DA_SAP!$F$3:$F$423=$A$254)*($A$254&lt;&gt;""),ROW()-256)+2)),"")</f>
        <v/>
      </c>
      <c r="D262" s="118" t="str">
        <f>IF($H$4="EFFACER","",IFERROR(INDEX(DA_SAP!$D:$D,(_xlfn.AGGREGATE(15,6,(ROW(DA_SAP!$F$3:$F$423)-2)/(DA_SAP!$F$3:$F$423=$A$254)*($A$254&lt;&gt;""),ROW()-256)+2)),""))</f>
        <v/>
      </c>
      <c r="E262" s="119" t="str">
        <f t="shared" si="8"/>
        <v/>
      </c>
    </row>
    <row r="263" spans="1:5" x14ac:dyDescent="0.25">
      <c r="A263" s="117" t="str">
        <f>IFERROR(INDEX(DA_SAP!$A:$A,(_xlfn.AGGREGATE(15,6,(ROW(DA_SAP!$F$3:$F$423)-2)/(DA_SAP!$F$3:$F$423=$A$254)*($A$254&lt;&gt;""),ROW()-256)+2)),"")</f>
        <v/>
      </c>
      <c r="B263" s="118" t="str">
        <f>IFERROR(INDEX(DA_SAP!$B:$B,(_xlfn.AGGREGATE(15,6,(ROW(DA_SAP!$F$3:$F$423)-2)/(DA_SAP!$F$3:$F$423=$A$254)*($A$254&lt;&gt;""),ROW()-256)+2)),"")</f>
        <v/>
      </c>
      <c r="C263" s="118" t="str">
        <f>IFERROR(INDEX(DA_SAP!$C:$C,(_xlfn.AGGREGATE(15,6,(ROW(DA_SAP!$F$3:$F$423)-2)/(DA_SAP!$F$3:$F$423=$A$254)*($A$254&lt;&gt;""),ROW()-256)+2)),"")</f>
        <v/>
      </c>
      <c r="D263" s="118" t="str">
        <f>IF($H$4="EFFACER","",IFERROR(INDEX(DA_SAP!$D:$D,(_xlfn.AGGREGATE(15,6,(ROW(DA_SAP!$F$3:$F$423)-2)/(DA_SAP!$F$3:$F$423=$A$254)*($A$254&lt;&gt;""),ROW()-256)+2)),""))</f>
        <v/>
      </c>
      <c r="E263" s="119" t="str">
        <f t="shared" si="8"/>
        <v/>
      </c>
    </row>
    <row r="264" spans="1:5" x14ac:dyDescent="0.25">
      <c r="A264" s="117" t="str">
        <f>IFERROR(INDEX(DA_SAP!$A:$A,(_xlfn.AGGREGATE(15,6,(ROW(DA_SAP!$F$3:$F$423)-2)/(DA_SAP!$F$3:$F$423=$A$254)*($A$254&lt;&gt;""),ROW()-256)+2)),"")</f>
        <v/>
      </c>
      <c r="B264" s="118" t="str">
        <f>IFERROR(INDEX(DA_SAP!$B:$B,(_xlfn.AGGREGATE(15,6,(ROW(DA_SAP!$F$3:$F$423)-2)/(DA_SAP!$F$3:$F$423=$A$254)*($A$254&lt;&gt;""),ROW()-256)+2)),"")</f>
        <v/>
      </c>
      <c r="C264" s="118" t="str">
        <f>IFERROR(INDEX(DA_SAP!$C:$C,(_xlfn.AGGREGATE(15,6,(ROW(DA_SAP!$F$3:$F$423)-2)/(DA_SAP!$F$3:$F$423=$A$254)*($A$254&lt;&gt;""),ROW()-256)+2)),"")</f>
        <v/>
      </c>
      <c r="D264" s="118" t="str">
        <f>IF($H$4="EFFACER","",IFERROR(INDEX(DA_SAP!$D:$D,(_xlfn.AGGREGATE(15,6,(ROW(DA_SAP!$F$3:$F$423)-2)/(DA_SAP!$F$3:$F$423=$A$254)*($A$254&lt;&gt;""),ROW()-256)+2)),""))</f>
        <v/>
      </c>
      <c r="E264" s="119" t="str">
        <f t="shared" si="8"/>
        <v/>
      </c>
    </row>
    <row r="265" spans="1:5" x14ac:dyDescent="0.25">
      <c r="A265" s="117" t="str">
        <f>IFERROR(INDEX(DA_SAP!$A:$A,(_xlfn.AGGREGATE(15,6,(ROW(DA_SAP!$F$3:$F$423)-2)/(DA_SAP!$F$3:$F$423=$A$254)*($A$254&lt;&gt;""),ROW()-256)+2)),"")</f>
        <v/>
      </c>
      <c r="B265" s="118" t="str">
        <f>IFERROR(INDEX(DA_SAP!$B:$B,(_xlfn.AGGREGATE(15,6,(ROW(DA_SAP!$F$3:$F$423)-2)/(DA_SAP!$F$3:$F$423=$A$254)*($A$254&lt;&gt;""),ROW()-256)+2)),"")</f>
        <v/>
      </c>
      <c r="C265" s="118" t="str">
        <f>IFERROR(INDEX(DA_SAP!$C:$C,(_xlfn.AGGREGATE(15,6,(ROW(DA_SAP!$F$3:$F$423)-2)/(DA_SAP!$F$3:$F$423=$A$254)*($A$254&lt;&gt;""),ROW()-256)+2)),"")</f>
        <v/>
      </c>
      <c r="D265" s="118" t="str">
        <f>IF($H$4="EFFACER","",IFERROR(INDEX(DA_SAP!$D:$D,(_xlfn.AGGREGATE(15,6,(ROW(DA_SAP!$F$3:$F$423)-2)/(DA_SAP!$F$3:$F$423=$A$254)*($A$254&lt;&gt;""),ROW()-256)+2)),""))</f>
        <v/>
      </c>
      <c r="E265" s="119" t="str">
        <f t="shared" si="8"/>
        <v/>
      </c>
    </row>
    <row r="266" spans="1:5" x14ac:dyDescent="0.25">
      <c r="A266" s="117" t="str">
        <f>IFERROR(INDEX(DA_SAP!$A:$A,(_xlfn.AGGREGATE(15,6,(ROW(DA_SAP!$F$3:$F$423)-2)/(DA_SAP!$F$3:$F$423=$A$254)*($A$254&lt;&gt;""),ROW()-256)+2)),"")</f>
        <v/>
      </c>
      <c r="B266" s="118" t="str">
        <f>IFERROR(INDEX(DA_SAP!$B:$B,(_xlfn.AGGREGATE(15,6,(ROW(DA_SAP!$F$3:$F$423)-2)/(DA_SAP!$F$3:$F$423=$A$254)*($A$254&lt;&gt;""),ROW()-256)+2)),"")</f>
        <v/>
      </c>
      <c r="C266" s="118" t="str">
        <f>IFERROR(INDEX(DA_SAP!$C:$C,(_xlfn.AGGREGATE(15,6,(ROW(DA_SAP!$F$3:$F$423)-2)/(DA_SAP!$F$3:$F$423=$A$254)*($A$254&lt;&gt;""),ROW()-256)+2)),"")</f>
        <v/>
      </c>
      <c r="D266" s="118" t="str">
        <f>IF($H$4="EFFACER","",IFERROR(INDEX(DA_SAP!$D:$D,(_xlfn.AGGREGATE(15,6,(ROW(DA_SAP!$F$3:$F$423)-2)/(DA_SAP!$F$3:$F$423=$A$254)*($A$254&lt;&gt;""),ROW()-256)+2)),""))</f>
        <v/>
      </c>
      <c r="E266" s="119" t="str">
        <f t="shared" si="8"/>
        <v/>
      </c>
    </row>
    <row r="267" spans="1:5" x14ac:dyDescent="0.25">
      <c r="A267" s="117" t="str">
        <f>IFERROR(INDEX(DA_SAP!$A:$A,(_xlfn.AGGREGATE(15,6,(ROW(DA_SAP!$F$3:$F$423)-2)/(DA_SAP!$F$3:$F$423=$A$254)*($A$254&lt;&gt;""),ROW()-256)+2)),"")</f>
        <v/>
      </c>
      <c r="B267" s="118" t="str">
        <f>IFERROR(INDEX(DA_SAP!$B:$B,(_xlfn.AGGREGATE(15,6,(ROW(DA_SAP!$F$3:$F$423)-2)/(DA_SAP!$F$3:$F$423=$A$254)*($A$254&lt;&gt;""),ROW()-256)+2)),"")</f>
        <v/>
      </c>
      <c r="C267" s="118" t="str">
        <f>IFERROR(INDEX(DA_SAP!$C:$C,(_xlfn.AGGREGATE(15,6,(ROW(DA_SAP!$F$3:$F$423)-2)/(DA_SAP!$F$3:$F$423=$A$254)*($A$254&lt;&gt;""),ROW()-256)+2)),"")</f>
        <v/>
      </c>
      <c r="D267" s="118" t="str">
        <f>IF($H$4="EFFACER","",IFERROR(INDEX(DA_SAP!$D:$D,(_xlfn.AGGREGATE(15,6,(ROW(DA_SAP!$F$3:$F$423)-2)/(DA_SAP!$F$3:$F$423=$A$254)*($A$254&lt;&gt;""),ROW()-256)+2)),""))</f>
        <v/>
      </c>
      <c r="E267" s="119" t="str">
        <f t="shared" si="8"/>
        <v/>
      </c>
    </row>
    <row r="268" spans="1:5" x14ac:dyDescent="0.25">
      <c r="A268" s="117" t="str">
        <f>IFERROR(INDEX(DA_SAP!$A:$A,(_xlfn.AGGREGATE(15,6,(ROW(DA_SAP!$F$3:$F$423)-2)/(DA_SAP!$F$3:$F$423=$A$254)*($A$254&lt;&gt;""),ROW()-256)+2)),"")</f>
        <v/>
      </c>
      <c r="B268" s="118" t="str">
        <f>IFERROR(INDEX(DA_SAP!$B:$B,(_xlfn.AGGREGATE(15,6,(ROW(DA_SAP!$F$3:$F$423)-2)/(DA_SAP!$F$3:$F$423=$A$254)*($A$254&lt;&gt;""),ROW()-256)+2)),"")</f>
        <v/>
      </c>
      <c r="C268" s="118" t="str">
        <f>IFERROR(INDEX(DA_SAP!$C:$C,(_xlfn.AGGREGATE(15,6,(ROW(DA_SAP!$F$3:$F$423)-2)/(DA_SAP!$F$3:$F$423=$A$254)*($A$254&lt;&gt;""),ROW()-256)+2)),"")</f>
        <v/>
      </c>
      <c r="D268" s="118" t="str">
        <f>IF($H$4="EFFACER","",IFERROR(INDEX(DA_SAP!$D:$D,(_xlfn.AGGREGATE(15,6,(ROW(DA_SAP!$F$3:$F$423)-2)/(DA_SAP!$F$3:$F$423=$A$254)*($A$254&lt;&gt;""),ROW()-256)+2)),""))</f>
        <v/>
      </c>
      <c r="E268" s="119" t="str">
        <f t="shared" si="8"/>
        <v/>
      </c>
    </row>
    <row r="269" spans="1:5" x14ac:dyDescent="0.25">
      <c r="A269" s="117" t="str">
        <f>IFERROR(INDEX(DA_SAP!$A:$A,(_xlfn.AGGREGATE(15,6,(ROW(DA_SAP!$F$3:$F$423)-2)/(DA_SAP!$F$3:$F$423=$A$254)*($A$254&lt;&gt;""),ROW()-256)+2)),"")</f>
        <v/>
      </c>
      <c r="B269" s="118" t="str">
        <f>IFERROR(INDEX(DA_SAP!$B:$B,(_xlfn.AGGREGATE(15,6,(ROW(DA_SAP!$F$3:$F$423)-2)/(DA_SAP!$F$3:$F$423=$A$254)*($A$254&lt;&gt;""),ROW()-256)+2)),"")</f>
        <v/>
      </c>
      <c r="C269" s="118" t="str">
        <f>IFERROR(INDEX(DA_SAP!$C:$C,(_xlfn.AGGREGATE(15,6,(ROW(DA_SAP!$F$3:$F$423)-2)/(DA_SAP!$F$3:$F$423=$A$254)*($A$254&lt;&gt;""),ROW()-256)+2)),"")</f>
        <v/>
      </c>
      <c r="D269" s="118" t="str">
        <f>IF($H$4="EFFACER","",IFERROR(INDEX(DA_SAP!$D:$D,(_xlfn.AGGREGATE(15,6,(ROW(DA_SAP!$F$3:$F$423)-2)/(DA_SAP!$F$3:$F$423=$A$254)*($A$254&lt;&gt;""),ROW()-256)+2)),""))</f>
        <v/>
      </c>
      <c r="E269" s="119" t="str">
        <f t="shared" si="8"/>
        <v/>
      </c>
    </row>
    <row r="270" spans="1:5" x14ac:dyDescent="0.25">
      <c r="A270" s="117" t="str">
        <f>IFERROR(INDEX(DA_SAP!$A:$A,(_xlfn.AGGREGATE(15,6,(ROW(DA_SAP!$F$3:$F$423)-2)/(DA_SAP!$F$3:$F$423=$A$254)*($A$254&lt;&gt;""),ROW()-256)+2)),"")</f>
        <v/>
      </c>
      <c r="B270" s="118" t="str">
        <f>IFERROR(INDEX(DA_SAP!$B:$B,(_xlfn.AGGREGATE(15,6,(ROW(DA_SAP!$F$3:$F$423)-2)/(DA_SAP!$F$3:$F$423=$A$254)*($A$254&lt;&gt;""),ROW()-256)+2)),"")</f>
        <v/>
      </c>
      <c r="C270" s="118" t="str">
        <f>IFERROR(INDEX(DA_SAP!$C:$C,(_xlfn.AGGREGATE(15,6,(ROW(DA_SAP!$F$3:$F$423)-2)/(DA_SAP!$F$3:$F$423=$A$254)*($A$254&lt;&gt;""),ROW()-256)+2)),"")</f>
        <v/>
      </c>
      <c r="D270" s="118" t="str">
        <f>IF($H$4="EFFACER","",IFERROR(INDEX(DA_SAP!$D:$D,(_xlfn.AGGREGATE(15,6,(ROW(DA_SAP!$F$3:$F$423)-2)/(DA_SAP!$F$3:$F$423=$A$254)*($A$254&lt;&gt;""),ROW()-256)+2)),""))</f>
        <v/>
      </c>
      <c r="E270" s="119" t="str">
        <f t="shared" si="8"/>
        <v/>
      </c>
    </row>
    <row r="271" spans="1:5" x14ac:dyDescent="0.25">
      <c r="A271" s="117" t="str">
        <f>IFERROR(INDEX(DA_SAP!$A:$A,(_xlfn.AGGREGATE(15,6,(ROW(DA_SAP!$F$3:$F$423)-2)/(DA_SAP!$F$3:$F$423=$A$254)*($A$254&lt;&gt;""),ROW()-256)+2)),"")</f>
        <v/>
      </c>
      <c r="B271" s="118" t="str">
        <f>IFERROR(INDEX(DA_SAP!$B:$B,(_xlfn.AGGREGATE(15,6,(ROW(DA_SAP!$F$3:$F$423)-2)/(DA_SAP!$F$3:$F$423=$A$254)*($A$254&lt;&gt;""),ROW()-256)+2)),"")</f>
        <v/>
      </c>
      <c r="C271" s="118" t="str">
        <f>IFERROR(INDEX(DA_SAP!$C:$C,(_xlfn.AGGREGATE(15,6,(ROW(DA_SAP!$F$3:$F$423)-2)/(DA_SAP!$F$3:$F$423=$A$254)*($A$254&lt;&gt;""),ROW()-256)+2)),"")</f>
        <v/>
      </c>
      <c r="D271" s="118" t="str">
        <f>IF($H$4="EFFACER","",IFERROR(INDEX(DA_SAP!$D:$D,(_xlfn.AGGREGATE(15,6,(ROW(DA_SAP!$F$3:$F$423)-2)/(DA_SAP!$F$3:$F$423=$A$254)*($A$254&lt;&gt;""),ROW()-256)+2)),""))</f>
        <v/>
      </c>
      <c r="E271" s="119" t="str">
        <f t="shared" si="8"/>
        <v/>
      </c>
    </row>
    <row r="272" spans="1:5" x14ac:dyDescent="0.25">
      <c r="A272" s="117" t="str">
        <f>IFERROR(INDEX(DA_SAP!$A:$A,(_xlfn.AGGREGATE(15,6,(ROW(DA_SAP!$F$3:$F$423)-2)/(DA_SAP!$F$3:$F$423=$A$254)*($A$254&lt;&gt;""),ROW()-256)+2)),"")</f>
        <v/>
      </c>
      <c r="B272" s="118" t="str">
        <f>IFERROR(INDEX(DA_SAP!$B:$B,(_xlfn.AGGREGATE(15,6,(ROW(DA_SAP!$F$3:$F$423)-2)/(DA_SAP!$F$3:$F$423=$A$254)*($A$254&lt;&gt;""),ROW()-256)+2)),"")</f>
        <v/>
      </c>
      <c r="C272" s="118" t="str">
        <f>IFERROR(INDEX(DA_SAP!$C:$C,(_xlfn.AGGREGATE(15,6,(ROW(DA_SAP!$F$3:$F$423)-2)/(DA_SAP!$F$3:$F$423=$A$254)*($A$254&lt;&gt;""),ROW()-256)+2)),"")</f>
        <v/>
      </c>
      <c r="D272" s="118" t="str">
        <f>IF($H$4="EFFACER","",IFERROR(INDEX(DA_SAP!$D:$D,(_xlfn.AGGREGATE(15,6,(ROW(DA_SAP!$F$3:$F$423)-2)/(DA_SAP!$F$3:$F$423=$A$254)*($A$254&lt;&gt;""),ROW()-256)+2)),""))</f>
        <v/>
      </c>
      <c r="E272" s="119" t="str">
        <f t="shared" si="8"/>
        <v/>
      </c>
    </row>
    <row r="273" spans="1:5" x14ac:dyDescent="0.25">
      <c r="A273" s="117" t="str">
        <f>IFERROR(INDEX(DA_SAP!$A:$A,(_xlfn.AGGREGATE(15,6,(ROW(DA_SAP!$F$3:$F$423)-2)/(DA_SAP!$F$3:$F$423=$A$254)*($A$254&lt;&gt;""),ROW()-256)+2)),"")</f>
        <v/>
      </c>
      <c r="B273" s="118" t="str">
        <f>IFERROR(INDEX(DA_SAP!$B:$B,(_xlfn.AGGREGATE(15,6,(ROW(DA_SAP!$F$3:$F$423)-2)/(DA_SAP!$F$3:$F$423=$A$254)*($A$254&lt;&gt;""),ROW()-256)+2)),"")</f>
        <v/>
      </c>
      <c r="C273" s="118" t="str">
        <f>IFERROR(INDEX(DA_SAP!$C:$C,(_xlfn.AGGREGATE(15,6,(ROW(DA_SAP!$F$3:$F$423)-2)/(DA_SAP!$F$3:$F$423=$A$254)*($A$254&lt;&gt;""),ROW()-256)+2)),"")</f>
        <v/>
      </c>
      <c r="D273" s="118" t="str">
        <f>IF($H$4="EFFACER","",IFERROR(INDEX(DA_SAP!$D:$D,(_xlfn.AGGREGATE(15,6,(ROW(DA_SAP!$F$3:$F$423)-2)/(DA_SAP!$F$3:$F$423=$A$254)*($A$254&lt;&gt;""),ROW()-256)+2)),""))</f>
        <v/>
      </c>
      <c r="E273" s="119" t="str">
        <f t="shared" si="8"/>
        <v/>
      </c>
    </row>
    <row r="274" spans="1:5" x14ac:dyDescent="0.25">
      <c r="A274" s="117" t="str">
        <f>IFERROR(INDEX(DA_SAP!$A:$A,(_xlfn.AGGREGATE(15,6,(ROW(DA_SAP!$F$3:$F$423)-2)/(DA_SAP!$F$3:$F$423=$A$254)*($A$254&lt;&gt;""),ROW()-256)+2)),"")</f>
        <v/>
      </c>
      <c r="B274" s="118" t="str">
        <f>IFERROR(INDEX(DA_SAP!$B:$B,(_xlfn.AGGREGATE(15,6,(ROW(DA_SAP!$F$3:$F$423)-2)/(DA_SAP!$F$3:$F$423=$A$254)*($A$254&lt;&gt;""),ROW()-256)+2)),"")</f>
        <v/>
      </c>
      <c r="C274" s="118" t="str">
        <f>IFERROR(INDEX(DA_SAP!$C:$C,(_xlfn.AGGREGATE(15,6,(ROW(DA_SAP!$F$3:$F$423)-2)/(DA_SAP!$F$3:$F$423=$A$254)*($A$254&lt;&gt;""),ROW()-256)+2)),"")</f>
        <v/>
      </c>
      <c r="D274" s="118" t="str">
        <f>IF($H$4="EFFACER","",IFERROR(INDEX(DA_SAP!$D:$D,(_xlfn.AGGREGATE(15,6,(ROW(DA_SAP!$F$3:$F$423)-2)/(DA_SAP!$F$3:$F$423=$A$254)*($A$254&lt;&gt;""),ROW()-256)+2)),""))</f>
        <v/>
      </c>
      <c r="E274" s="119" t="str">
        <f t="shared" si="8"/>
        <v/>
      </c>
    </row>
    <row r="275" spans="1:5" x14ac:dyDescent="0.25">
      <c r="A275" s="117" t="str">
        <f>IFERROR(INDEX(DA_SAP!$A:$A,(_xlfn.AGGREGATE(15,6,(ROW(DA_SAP!$F$3:$F$423)-2)/(DA_SAP!$F$3:$F$423=$A$254)*($A$254&lt;&gt;""),ROW()-256)+2)),"")</f>
        <v/>
      </c>
      <c r="B275" s="118" t="str">
        <f>IFERROR(INDEX(DA_SAP!$B:$B,(_xlfn.AGGREGATE(15,6,(ROW(DA_SAP!$F$3:$F$423)-2)/(DA_SAP!$F$3:$F$423=$A$254)*($A$254&lt;&gt;""),ROW()-256)+2)),"")</f>
        <v/>
      </c>
      <c r="C275" s="118" t="str">
        <f>IFERROR(INDEX(DA_SAP!$C:$C,(_xlfn.AGGREGATE(15,6,(ROW(DA_SAP!$F$3:$F$423)-2)/(DA_SAP!$F$3:$F$423=$A$254)*($A$254&lt;&gt;""),ROW()-256)+2)),"")</f>
        <v/>
      </c>
      <c r="D275" s="118" t="str">
        <f>IF($H$4="EFFACER","",IFERROR(INDEX(DA_SAP!$D:$D,(_xlfn.AGGREGATE(15,6,(ROW(DA_SAP!$F$3:$F$423)-2)/(DA_SAP!$F$3:$F$423=$A$254)*($A$254&lt;&gt;""),ROW()-256)+2)),""))</f>
        <v/>
      </c>
      <c r="E275" s="119" t="str">
        <f t="shared" si="8"/>
        <v/>
      </c>
    </row>
    <row r="276" spans="1:5" x14ac:dyDescent="0.25">
      <c r="A276" s="117" t="str">
        <f>IFERROR(INDEX(DA_SAP!$A:$A,(_xlfn.AGGREGATE(15,6,(ROW(DA_SAP!$F$3:$F$423)-2)/(DA_SAP!$F$3:$F$423=$A$254)*($A$254&lt;&gt;""),ROW()-256)+2)),"")</f>
        <v/>
      </c>
      <c r="B276" s="118" t="str">
        <f>IFERROR(INDEX(DA_SAP!$B:$B,(_xlfn.AGGREGATE(15,6,(ROW(DA_SAP!$F$3:$F$423)-2)/(DA_SAP!$F$3:$F$423=$A$254)*($A$254&lt;&gt;""),ROW()-256)+2)),"")</f>
        <v/>
      </c>
      <c r="C276" s="118" t="str">
        <f>IFERROR(INDEX(DA_SAP!$C:$C,(_xlfn.AGGREGATE(15,6,(ROW(DA_SAP!$F$3:$F$423)-2)/(DA_SAP!$F$3:$F$423=$A$254)*($A$254&lt;&gt;""),ROW()-256)+2)),"")</f>
        <v/>
      </c>
      <c r="D276" s="118" t="str">
        <f>IF($H$4="EFFACER","",IFERROR(INDEX(DA_SAP!$D:$D,(_xlfn.AGGREGATE(15,6,(ROW(DA_SAP!$F$3:$F$423)-2)/(DA_SAP!$F$3:$F$423=$A$254)*($A$254&lt;&gt;""),ROW()-256)+2)),""))</f>
        <v/>
      </c>
      <c r="E276" s="119" t="str">
        <f t="shared" si="8"/>
        <v/>
      </c>
    </row>
    <row r="277" spans="1:5" x14ac:dyDescent="0.25">
      <c r="A277" s="117" t="str">
        <f>IFERROR(INDEX(DA_SAP!$A:$A,(_xlfn.AGGREGATE(15,6,(ROW(DA_SAP!$F$3:$F$423)-2)/(DA_SAP!$F$3:$F$423=$A$254)*($A$254&lt;&gt;""),ROW()-256)+2)),"")</f>
        <v/>
      </c>
      <c r="B277" s="118" t="str">
        <f>IFERROR(INDEX(DA_SAP!$B:$B,(_xlfn.AGGREGATE(15,6,(ROW(DA_SAP!$F$3:$F$423)-2)/(DA_SAP!$F$3:$F$423=$A$254)*($A$254&lt;&gt;""),ROW()-256)+2)),"")</f>
        <v/>
      </c>
      <c r="C277" s="118" t="str">
        <f>IFERROR(INDEX(DA_SAP!$C:$C,(_xlfn.AGGREGATE(15,6,(ROW(DA_SAP!$F$3:$F$423)-2)/(DA_SAP!$F$3:$F$423=$A$254)*($A$254&lt;&gt;""),ROW()-256)+2)),"")</f>
        <v/>
      </c>
      <c r="D277" s="118" t="str">
        <f>IF($H$4="EFFACER","",IFERROR(INDEX(DA_SAP!$D:$D,(_xlfn.AGGREGATE(15,6,(ROW(DA_SAP!$F$3:$F$423)-2)/(DA_SAP!$F$3:$F$423=$A$254)*($A$254&lt;&gt;""),ROW()-256)+2)),""))</f>
        <v/>
      </c>
      <c r="E277" s="119" t="str">
        <f t="shared" si="8"/>
        <v/>
      </c>
    </row>
    <row r="278" spans="1:5" x14ac:dyDescent="0.25">
      <c r="A278" s="117" t="str">
        <f>IFERROR(INDEX(DA_SAP!$A:$A,(_xlfn.AGGREGATE(15,6,(ROW(DA_SAP!$F$3:$F$423)-2)/(DA_SAP!$F$3:$F$423=$A$254)*($A$254&lt;&gt;""),ROW()-256)+2)),"")</f>
        <v/>
      </c>
      <c r="B278" s="118" t="str">
        <f>IFERROR(INDEX(DA_SAP!$B:$B,(_xlfn.AGGREGATE(15,6,(ROW(DA_SAP!$F$3:$F$423)-2)/(DA_SAP!$F$3:$F$423=$A$254)*($A$254&lt;&gt;""),ROW()-256)+2)),"")</f>
        <v/>
      </c>
      <c r="C278" s="118" t="str">
        <f>IFERROR(INDEX(DA_SAP!$C:$C,(_xlfn.AGGREGATE(15,6,(ROW(DA_SAP!$F$3:$F$423)-2)/(DA_SAP!$F$3:$F$423=$A$254)*($A$254&lt;&gt;""),ROW()-256)+2)),"")</f>
        <v/>
      </c>
      <c r="D278" s="118" t="str">
        <f>IF($H$4="EFFACER","",IFERROR(INDEX(DA_SAP!$D:$D,(_xlfn.AGGREGATE(15,6,(ROW(DA_SAP!$F$3:$F$423)-2)/(DA_SAP!$F$3:$F$423=$A$254)*($A$254&lt;&gt;""),ROW()-256)+2)),""))</f>
        <v/>
      </c>
      <c r="E278" s="119" t="str">
        <f t="shared" si="8"/>
        <v/>
      </c>
    </row>
    <row r="279" spans="1:5" x14ac:dyDescent="0.25">
      <c r="A279" s="117" t="str">
        <f>IFERROR(INDEX(DA_SAP!$A:$A,(_xlfn.AGGREGATE(15,6,(ROW(DA_SAP!$F$3:$F$423)-2)/(DA_SAP!$F$3:$F$423=$A$254)*($A$254&lt;&gt;""),ROW()-256)+2)),"")</f>
        <v/>
      </c>
      <c r="B279" s="118" t="str">
        <f>IFERROR(INDEX(DA_SAP!$B:$B,(_xlfn.AGGREGATE(15,6,(ROW(DA_SAP!$F$3:$F$423)-2)/(DA_SAP!$F$3:$F$423=$A$254)*($A$254&lt;&gt;""),ROW()-256)+2)),"")</f>
        <v/>
      </c>
      <c r="C279" s="118" t="str">
        <f>IFERROR(INDEX(DA_SAP!$C:$C,(_xlfn.AGGREGATE(15,6,(ROW(DA_SAP!$F$3:$F$423)-2)/(DA_SAP!$F$3:$F$423=$A$254)*($A$254&lt;&gt;""),ROW()-256)+2)),"")</f>
        <v/>
      </c>
      <c r="D279" s="118" t="str">
        <f>IF($H$4="EFFACER","",IFERROR(INDEX(DA_SAP!$D:$D,(_xlfn.AGGREGATE(15,6,(ROW(DA_SAP!$F$3:$F$423)-2)/(DA_SAP!$F$3:$F$423=$A$254)*($A$254&lt;&gt;""),ROW()-256)+2)),""))</f>
        <v/>
      </c>
      <c r="E279" s="119" t="str">
        <f t="shared" si="8"/>
        <v/>
      </c>
    </row>
    <row r="280" spans="1:5" x14ac:dyDescent="0.25">
      <c r="A280" s="117" t="str">
        <f>IFERROR(INDEX(DA_SAP!$A:$A,(_xlfn.AGGREGATE(15,6,(ROW(DA_SAP!$F$3:$F$423)-2)/(DA_SAP!$F$3:$F$423=$A$254)*($A$254&lt;&gt;""),ROW()-256)+2)),"")</f>
        <v/>
      </c>
      <c r="B280" s="118" t="str">
        <f>IFERROR(INDEX(DA_SAP!$B:$B,(_xlfn.AGGREGATE(15,6,(ROW(DA_SAP!$F$3:$F$423)-2)/(DA_SAP!$F$3:$F$423=$A$254)*($A$254&lt;&gt;""),ROW()-256)+2)),"")</f>
        <v/>
      </c>
      <c r="C280" s="118" t="str">
        <f>IFERROR(INDEX(DA_SAP!$C:$C,(_xlfn.AGGREGATE(15,6,(ROW(DA_SAP!$F$3:$F$423)-2)/(DA_SAP!$F$3:$F$423=$A$254)*($A$254&lt;&gt;""),ROW()-256)+2)),"")</f>
        <v/>
      </c>
      <c r="D280" s="118" t="str">
        <f>IF($H$4="EFFACER","",IFERROR(INDEX(DA_SAP!$D:$D,(_xlfn.AGGREGATE(15,6,(ROW(DA_SAP!$F$3:$F$423)-2)/(DA_SAP!$F$3:$F$423=$A$254)*($A$254&lt;&gt;""),ROW()-256)+2)),""))</f>
        <v/>
      </c>
      <c r="E280" s="119" t="str">
        <f t="shared" si="8"/>
        <v/>
      </c>
    </row>
    <row r="281" spans="1:5" x14ac:dyDescent="0.25">
      <c r="A281" s="117" t="str">
        <f>IFERROR(INDEX(DA_SAP!$A:$A,(_xlfn.AGGREGATE(15,6,(ROW(DA_SAP!$F$3:$F$423)-2)/(DA_SAP!$F$3:$F$423=$A$254)*($A$254&lt;&gt;""),ROW()-256)+2)),"")</f>
        <v/>
      </c>
      <c r="B281" s="118" t="str">
        <f>IFERROR(INDEX(DA_SAP!$B:$B,(_xlfn.AGGREGATE(15,6,(ROW(DA_SAP!$F$3:$F$423)-2)/(DA_SAP!$F$3:$F$423=$A$254)*($A$254&lt;&gt;""),ROW()-256)+2)),"")</f>
        <v/>
      </c>
      <c r="C281" s="118" t="str">
        <f>IFERROR(INDEX(DA_SAP!$C:$C,(_xlfn.AGGREGATE(15,6,(ROW(DA_SAP!$F$3:$F$423)-2)/(DA_SAP!$F$3:$F$423=$A$254)*($A$254&lt;&gt;""),ROW()-256)+2)),"")</f>
        <v/>
      </c>
      <c r="D281" s="118" t="str">
        <f>IF($H$4="EFFACER","",IFERROR(INDEX(DA_SAP!$D:$D,(_xlfn.AGGREGATE(15,6,(ROW(DA_SAP!$F$3:$F$423)-2)/(DA_SAP!$F$3:$F$423=$A$254)*($A$254&lt;&gt;""),ROW()-256)+2)),""))</f>
        <v/>
      </c>
      <c r="E281" s="119" t="str">
        <f t="shared" si="8"/>
        <v/>
      </c>
    </row>
    <row r="282" spans="1:5" x14ac:dyDescent="0.25">
      <c r="A282" s="117" t="str">
        <f>IFERROR(INDEX(DA_SAP!$A:$A,(_xlfn.AGGREGATE(15,6,(ROW(DA_SAP!$F$3:$F$423)-2)/(DA_SAP!$F$3:$F$423=$A$254)*($A$254&lt;&gt;""),ROW()-256)+2)),"")</f>
        <v/>
      </c>
      <c r="B282" s="118" t="str">
        <f>IFERROR(INDEX(DA_SAP!$B:$B,(_xlfn.AGGREGATE(15,6,(ROW(DA_SAP!$F$3:$F$423)-2)/(DA_SAP!$F$3:$F$423=$A$254)*($A$254&lt;&gt;""),ROW()-256)+2)),"")</f>
        <v/>
      </c>
      <c r="C282" s="118" t="str">
        <f>IFERROR(INDEX(DA_SAP!$C:$C,(_xlfn.AGGREGATE(15,6,(ROW(DA_SAP!$F$3:$F$423)-2)/(DA_SAP!$F$3:$F$423=$A$254)*($A$254&lt;&gt;""),ROW()-256)+2)),"")</f>
        <v/>
      </c>
      <c r="D282" s="118" t="str">
        <f>IF($H$4="EFFACER","",IFERROR(INDEX(DA_SAP!$D:$D,(_xlfn.AGGREGATE(15,6,(ROW(DA_SAP!$F$3:$F$423)-2)/(DA_SAP!$F$3:$F$423=$A$254)*($A$254&lt;&gt;""),ROW()-256)+2)),""))</f>
        <v/>
      </c>
      <c r="E282" s="119" t="str">
        <f t="shared" si="8"/>
        <v/>
      </c>
    </row>
    <row r="283" spans="1:5" x14ac:dyDescent="0.25">
      <c r="A283" s="117" t="str">
        <f>IFERROR(INDEX(DA_SAP!$A:$A,(_xlfn.AGGREGATE(15,6,(ROW(DA_SAP!$F$3:$F$423)-2)/(DA_SAP!$F$3:$F$423=$A$254)*($A$254&lt;&gt;""),ROW()-256)+2)),"")</f>
        <v/>
      </c>
      <c r="B283" s="118" t="str">
        <f>IFERROR(INDEX(DA_SAP!$B:$B,(_xlfn.AGGREGATE(15,6,(ROW(DA_SAP!$F$3:$F$423)-2)/(DA_SAP!$F$3:$F$423=$A$254)*($A$254&lt;&gt;""),ROW()-256)+2)),"")</f>
        <v/>
      </c>
      <c r="C283" s="118" t="str">
        <f>IFERROR(INDEX(DA_SAP!$C:$C,(_xlfn.AGGREGATE(15,6,(ROW(DA_SAP!$F$3:$F$423)-2)/(DA_SAP!$F$3:$F$423=$A$254)*($A$254&lt;&gt;""),ROW()-256)+2)),"")</f>
        <v/>
      </c>
      <c r="D283" s="118" t="str">
        <f>IF($H$4="EFFACER","",IFERROR(INDEX(DA_SAP!$D:$D,(_xlfn.AGGREGATE(15,6,(ROW(DA_SAP!$F$3:$F$423)-2)/(DA_SAP!$F$3:$F$423=$A$254)*($A$254&lt;&gt;""),ROW()-256)+2)),""))</f>
        <v/>
      </c>
      <c r="E283" s="119" t="str">
        <f t="shared" si="8"/>
        <v/>
      </c>
    </row>
    <row r="284" spans="1:5" x14ac:dyDescent="0.25">
      <c r="A284" s="117" t="str">
        <f>IFERROR(INDEX(DA_SAP!$A:$A,(_xlfn.AGGREGATE(15,6,(ROW(DA_SAP!$F$3:$F$423)-2)/(DA_SAP!$F$3:$F$423=$A$254)*($A$254&lt;&gt;""),ROW()-256)+2)),"")</f>
        <v/>
      </c>
      <c r="B284" s="118" t="str">
        <f>IFERROR(INDEX(DA_SAP!$B:$B,(_xlfn.AGGREGATE(15,6,(ROW(DA_SAP!$F$3:$F$423)-2)/(DA_SAP!$F$3:$F$423=$A$254)*($A$254&lt;&gt;""),ROW()-256)+2)),"")</f>
        <v/>
      </c>
      <c r="C284" s="118" t="str">
        <f>IFERROR(INDEX(DA_SAP!$C:$C,(_xlfn.AGGREGATE(15,6,(ROW(DA_SAP!$F$3:$F$423)-2)/(DA_SAP!$F$3:$F$423=$A$254)*($A$254&lt;&gt;""),ROW()-256)+2)),"")</f>
        <v/>
      </c>
      <c r="D284" s="118" t="str">
        <f>IF($H$4="EFFACER","",IFERROR(INDEX(DA_SAP!$D:$D,(_xlfn.AGGREGATE(15,6,(ROW(DA_SAP!$F$3:$F$423)-2)/(DA_SAP!$F$3:$F$423=$A$254)*($A$254&lt;&gt;""),ROW()-256)+2)),""))</f>
        <v/>
      </c>
      <c r="E284" s="119" t="str">
        <f t="shared" si="8"/>
        <v/>
      </c>
    </row>
    <row r="285" spans="1:5" x14ac:dyDescent="0.25">
      <c r="A285" s="117" t="str">
        <f>IFERROR(INDEX(DA_SAP!$A:$A,(_xlfn.AGGREGATE(15,6,(ROW(DA_SAP!$F$3:$F$423)-2)/(DA_SAP!$F$3:$F$423=$A$254)*($A$254&lt;&gt;""),ROW()-256)+2)),"")</f>
        <v/>
      </c>
      <c r="B285" s="118" t="str">
        <f>IFERROR(INDEX(DA_SAP!$B:$B,(_xlfn.AGGREGATE(15,6,(ROW(DA_SAP!$F$3:$F$423)-2)/(DA_SAP!$F$3:$F$423=$A$254)*($A$254&lt;&gt;""),ROW()-256)+2)),"")</f>
        <v/>
      </c>
      <c r="C285" s="118" t="str">
        <f>IFERROR(INDEX(DA_SAP!$C:$C,(_xlfn.AGGREGATE(15,6,(ROW(DA_SAP!$F$3:$F$423)-2)/(DA_SAP!$F$3:$F$423=$A$254)*($A$254&lt;&gt;""),ROW()-256)+2)),"")</f>
        <v/>
      </c>
      <c r="D285" s="118" t="str">
        <f>IF($H$4="EFFACER","",IFERROR(INDEX(DA_SAP!$D:$D,(_xlfn.AGGREGATE(15,6,(ROW(DA_SAP!$F$3:$F$423)-2)/(DA_SAP!$F$3:$F$423=$A$254)*($A$254&lt;&gt;""),ROW()-256)+2)),""))</f>
        <v/>
      </c>
      <c r="E285" s="119" t="str">
        <f t="shared" si="8"/>
        <v/>
      </c>
    </row>
    <row r="286" spans="1:5" x14ac:dyDescent="0.25">
      <c r="A286" s="117" t="str">
        <f>IFERROR(INDEX(DA_SAP!$A:$A,(_xlfn.AGGREGATE(15,6,(ROW(DA_SAP!$F$3:$F$423)-2)/(DA_SAP!$F$3:$F$423=$A$254)*($A$254&lt;&gt;""),ROW()-256)+2)),"")</f>
        <v/>
      </c>
      <c r="B286" s="118" t="str">
        <f>IFERROR(INDEX(DA_SAP!$B:$B,(_xlfn.AGGREGATE(15,6,(ROW(DA_SAP!$F$3:$F$423)-2)/(DA_SAP!$F$3:$F$423=$A$254)*($A$254&lt;&gt;""),ROW()-256)+2)),"")</f>
        <v/>
      </c>
      <c r="C286" s="118" t="str">
        <f>IFERROR(INDEX(DA_SAP!$C:$C,(_xlfn.AGGREGATE(15,6,(ROW(DA_SAP!$F$3:$F$423)-2)/(DA_SAP!$F$3:$F$423=$A$254)*($A$254&lt;&gt;""),ROW()-256)+2)),"")</f>
        <v/>
      </c>
      <c r="D286" s="118" t="str">
        <f>IF($H$4="EFFACER","",IFERROR(INDEX(DA_SAP!$D:$D,(_xlfn.AGGREGATE(15,6,(ROW(DA_SAP!$F$3:$F$423)-2)/(DA_SAP!$F$3:$F$423=$A$254)*($A$254&lt;&gt;""),ROW()-256)+2)),""))</f>
        <v/>
      </c>
      <c r="E286" s="119" t="str">
        <f t="shared" si="8"/>
        <v/>
      </c>
    </row>
    <row r="287" spans="1:5" x14ac:dyDescent="0.25">
      <c r="A287" s="117" t="str">
        <f>IFERROR(INDEX(DA_SAP!$A:$A,(_xlfn.AGGREGATE(15,6,(ROW(DA_SAP!$F$3:$F$423)-2)/(DA_SAP!$F$3:$F$423=$A$254)*($A$254&lt;&gt;""),ROW()-256)+2)),"")</f>
        <v/>
      </c>
      <c r="B287" s="118" t="str">
        <f>IFERROR(INDEX(DA_SAP!$B:$B,(_xlfn.AGGREGATE(15,6,(ROW(DA_SAP!$F$3:$F$423)-2)/(DA_SAP!$F$3:$F$423=$A$254)*($A$254&lt;&gt;""),ROW()-256)+2)),"")</f>
        <v/>
      </c>
      <c r="C287" s="118" t="str">
        <f>IFERROR(INDEX(DA_SAP!$C:$C,(_xlfn.AGGREGATE(15,6,(ROW(DA_SAP!$F$3:$F$423)-2)/(DA_SAP!$F$3:$F$423=$A$254)*($A$254&lt;&gt;""),ROW()-256)+2)),"")</f>
        <v/>
      </c>
      <c r="D287" s="118" t="str">
        <f>IF($H$4="EFFACER","",IFERROR(INDEX(DA_SAP!$D:$D,(_xlfn.AGGREGATE(15,6,(ROW(DA_SAP!$F$3:$F$423)-2)/(DA_SAP!$F$3:$F$423=$A$254)*($A$254&lt;&gt;""),ROW()-256)+2)),""))</f>
        <v/>
      </c>
      <c r="E287" s="119" t="str">
        <f t="shared" si="8"/>
        <v/>
      </c>
    </row>
    <row r="288" spans="1:5" x14ac:dyDescent="0.25">
      <c r="A288" s="117" t="str">
        <f>IFERROR(INDEX(DA_SAP!$A:$A,(_xlfn.AGGREGATE(15,6,(ROW(DA_SAP!$F$3:$F$423)-2)/(DA_SAP!$F$3:$F$423=$A$254)*($A$254&lt;&gt;""),ROW()-256)+2)),"")</f>
        <v/>
      </c>
      <c r="B288" s="118" t="str">
        <f>IFERROR(INDEX(DA_SAP!$B:$B,(_xlfn.AGGREGATE(15,6,(ROW(DA_SAP!$F$3:$F$423)-2)/(DA_SAP!$F$3:$F$423=$A$254)*($A$254&lt;&gt;""),ROW()-256)+2)),"")</f>
        <v/>
      </c>
      <c r="C288" s="118" t="str">
        <f>IFERROR(INDEX(DA_SAP!$C:$C,(_xlfn.AGGREGATE(15,6,(ROW(DA_SAP!$F$3:$F$423)-2)/(DA_SAP!$F$3:$F$423=$A$254)*($A$254&lt;&gt;""),ROW()-256)+2)),"")</f>
        <v/>
      </c>
      <c r="D288" s="118" t="str">
        <f>IF($H$4="EFFACER","",IFERROR(INDEX(DA_SAP!$D:$D,(_xlfn.AGGREGATE(15,6,(ROW(DA_SAP!$F$3:$F$423)-2)/(DA_SAP!$F$3:$F$423=$A$254)*($A$254&lt;&gt;""),ROW()-256)+2)),""))</f>
        <v/>
      </c>
      <c r="E288" s="119" t="str">
        <f t="shared" si="8"/>
        <v/>
      </c>
    </row>
    <row r="289" spans="1:5" x14ac:dyDescent="0.25">
      <c r="A289" s="117" t="str">
        <f>IFERROR(INDEX(DA_SAP!$A:$A,(_xlfn.AGGREGATE(15,6,(ROW(DA_SAP!$F$3:$F$423)-2)/(DA_SAP!$F$3:$F$423=$A$254)*($A$254&lt;&gt;""),ROW()-256)+2)),"")</f>
        <v/>
      </c>
      <c r="B289" s="118" t="str">
        <f>IFERROR(INDEX(DA_SAP!$B:$B,(_xlfn.AGGREGATE(15,6,(ROW(DA_SAP!$F$3:$F$423)-2)/(DA_SAP!$F$3:$F$423=$A$254)*($A$254&lt;&gt;""),ROW()-256)+2)),"")</f>
        <v/>
      </c>
      <c r="C289" s="118" t="str">
        <f>IFERROR(INDEX(DA_SAP!$C:$C,(_xlfn.AGGREGATE(15,6,(ROW(DA_SAP!$F$3:$F$423)-2)/(DA_SAP!$F$3:$F$423=$A$254)*($A$254&lt;&gt;""),ROW()-256)+2)),"")</f>
        <v/>
      </c>
      <c r="D289" s="118" t="str">
        <f>IF($H$4="EFFACER","",IFERROR(INDEX(DA_SAP!$D:$D,(_xlfn.AGGREGATE(15,6,(ROW(DA_SAP!$F$3:$F$423)-2)/(DA_SAP!$F$3:$F$423=$A$254)*($A$254&lt;&gt;""),ROW()-256)+2)),""))</f>
        <v/>
      </c>
      <c r="E289" s="119" t="str">
        <f t="shared" ref="E289:E316" si="9">IF($A289="","",$H$1)</f>
        <v/>
      </c>
    </row>
    <row r="290" spans="1:5" x14ac:dyDescent="0.25">
      <c r="A290" s="117" t="str">
        <f>IFERROR(INDEX(DA_SAP!$A:$A,(_xlfn.AGGREGATE(15,6,(ROW(DA_SAP!$F$3:$F$423)-2)/(DA_SAP!$F$3:$F$423=$A$254)*($A$254&lt;&gt;""),ROW()-256)+2)),"")</f>
        <v/>
      </c>
      <c r="B290" s="118" t="str">
        <f>IFERROR(INDEX(DA_SAP!$B:$B,(_xlfn.AGGREGATE(15,6,(ROW(DA_SAP!$F$3:$F$423)-2)/(DA_SAP!$F$3:$F$423=$A$254)*($A$254&lt;&gt;""),ROW()-256)+2)),"")</f>
        <v/>
      </c>
      <c r="C290" s="118" t="str">
        <f>IFERROR(INDEX(DA_SAP!$C:$C,(_xlfn.AGGREGATE(15,6,(ROW(DA_SAP!$F$3:$F$423)-2)/(DA_SAP!$F$3:$F$423=$A$254)*($A$254&lt;&gt;""),ROW()-256)+2)),"")</f>
        <v/>
      </c>
      <c r="D290" s="118" t="str">
        <f>IF($H$4="EFFACER","",IFERROR(INDEX(DA_SAP!$D:$D,(_xlfn.AGGREGATE(15,6,(ROW(DA_SAP!$F$3:$F$423)-2)/(DA_SAP!$F$3:$F$423=$A$254)*($A$254&lt;&gt;""),ROW()-256)+2)),""))</f>
        <v/>
      </c>
      <c r="E290" s="119" t="str">
        <f t="shared" si="9"/>
        <v/>
      </c>
    </row>
    <row r="291" spans="1:5" x14ac:dyDescent="0.25">
      <c r="A291" s="117" t="str">
        <f>IFERROR(INDEX(DA_SAP!$A:$A,(_xlfn.AGGREGATE(15,6,(ROW(DA_SAP!$F$3:$F$423)-2)/(DA_SAP!$F$3:$F$423=$A$254)*($A$254&lt;&gt;""),ROW()-256)+2)),"")</f>
        <v/>
      </c>
      <c r="B291" s="118" t="str">
        <f>IFERROR(INDEX(DA_SAP!$B:$B,(_xlfn.AGGREGATE(15,6,(ROW(DA_SAP!$F$3:$F$423)-2)/(DA_SAP!$F$3:$F$423=$A$254)*($A$254&lt;&gt;""),ROW()-256)+2)),"")</f>
        <v/>
      </c>
      <c r="C291" s="118" t="str">
        <f>IFERROR(INDEX(DA_SAP!$C:$C,(_xlfn.AGGREGATE(15,6,(ROW(DA_SAP!$F$3:$F$423)-2)/(DA_SAP!$F$3:$F$423=$A$254)*($A$254&lt;&gt;""),ROW()-256)+2)),"")</f>
        <v/>
      </c>
      <c r="D291" s="118" t="str">
        <f>IF($H$4="EFFACER","",IFERROR(INDEX(DA_SAP!$D:$D,(_xlfn.AGGREGATE(15,6,(ROW(DA_SAP!$F$3:$F$423)-2)/(DA_SAP!$F$3:$F$423=$A$254)*($A$254&lt;&gt;""),ROW()-256)+2)),""))</f>
        <v/>
      </c>
      <c r="E291" s="119" t="str">
        <f t="shared" si="9"/>
        <v/>
      </c>
    </row>
    <row r="292" spans="1:5" x14ac:dyDescent="0.25">
      <c r="A292" s="117" t="str">
        <f>IFERROR(INDEX(DA_SAP!$A:$A,(_xlfn.AGGREGATE(15,6,(ROW(DA_SAP!$F$3:$F$423)-2)/(DA_SAP!$F$3:$F$423=$A$254)*($A$254&lt;&gt;""),ROW()-256)+2)),"")</f>
        <v/>
      </c>
      <c r="B292" s="118" t="str">
        <f>IFERROR(INDEX(DA_SAP!$B:$B,(_xlfn.AGGREGATE(15,6,(ROW(DA_SAP!$F$3:$F$423)-2)/(DA_SAP!$F$3:$F$423=$A$254)*($A$254&lt;&gt;""),ROW()-256)+2)),"")</f>
        <v/>
      </c>
      <c r="C292" s="118" t="str">
        <f>IFERROR(INDEX(DA_SAP!$C:$C,(_xlfn.AGGREGATE(15,6,(ROW(DA_SAP!$F$3:$F$423)-2)/(DA_SAP!$F$3:$F$423=$A$254)*($A$254&lt;&gt;""),ROW()-256)+2)),"")</f>
        <v/>
      </c>
      <c r="D292" s="118" t="str">
        <f>IF($H$4="EFFACER","",IFERROR(INDEX(DA_SAP!$D:$D,(_xlfn.AGGREGATE(15,6,(ROW(DA_SAP!$F$3:$F$423)-2)/(DA_SAP!$F$3:$F$423=$A$254)*($A$254&lt;&gt;""),ROW()-256)+2)),""))</f>
        <v/>
      </c>
      <c r="E292" s="119" t="str">
        <f t="shared" si="9"/>
        <v/>
      </c>
    </row>
    <row r="293" spans="1:5" x14ac:dyDescent="0.25">
      <c r="A293" s="117" t="str">
        <f>IFERROR(INDEX(DA_SAP!$A:$A,(_xlfn.AGGREGATE(15,6,(ROW(DA_SAP!$F$3:$F$423)-2)/(DA_SAP!$F$3:$F$423=$A$254)*($A$254&lt;&gt;""),ROW()-256)+2)),"")</f>
        <v/>
      </c>
      <c r="B293" s="118" t="str">
        <f>IFERROR(INDEX(DA_SAP!$B:$B,(_xlfn.AGGREGATE(15,6,(ROW(DA_SAP!$F$3:$F$423)-2)/(DA_SAP!$F$3:$F$423=$A$254)*($A$254&lt;&gt;""),ROW()-256)+2)),"")</f>
        <v/>
      </c>
      <c r="C293" s="118" t="str">
        <f>IFERROR(INDEX(DA_SAP!$C:$C,(_xlfn.AGGREGATE(15,6,(ROW(DA_SAP!$F$3:$F$423)-2)/(DA_SAP!$F$3:$F$423=$A$254)*($A$254&lt;&gt;""),ROW()-256)+2)),"")</f>
        <v/>
      </c>
      <c r="D293" s="118" t="str">
        <f>IF($H$4="EFFACER","",IFERROR(INDEX(DA_SAP!$D:$D,(_xlfn.AGGREGATE(15,6,(ROW(DA_SAP!$F$3:$F$423)-2)/(DA_SAP!$F$3:$F$423=$A$254)*($A$254&lt;&gt;""),ROW()-256)+2)),""))</f>
        <v/>
      </c>
      <c r="E293" s="119" t="str">
        <f t="shared" si="9"/>
        <v/>
      </c>
    </row>
    <row r="294" spans="1:5" x14ac:dyDescent="0.25">
      <c r="A294" s="117" t="str">
        <f>IFERROR(INDEX(DA_SAP!$A:$A,(_xlfn.AGGREGATE(15,6,(ROW(DA_SAP!$F$3:$F$423)-2)/(DA_SAP!$F$3:$F$423=$A$254)*($A$254&lt;&gt;""),ROW()-256)+2)),"")</f>
        <v/>
      </c>
      <c r="B294" s="118" t="str">
        <f>IFERROR(INDEX(DA_SAP!$B:$B,(_xlfn.AGGREGATE(15,6,(ROW(DA_SAP!$F$3:$F$423)-2)/(DA_SAP!$F$3:$F$423=$A$254)*($A$254&lt;&gt;""),ROW()-256)+2)),"")</f>
        <v/>
      </c>
      <c r="C294" s="118" t="str">
        <f>IFERROR(INDEX(DA_SAP!$C:$C,(_xlfn.AGGREGATE(15,6,(ROW(DA_SAP!$F$3:$F$423)-2)/(DA_SAP!$F$3:$F$423=$A$254)*($A$254&lt;&gt;""),ROW()-256)+2)),"")</f>
        <v/>
      </c>
      <c r="D294" s="118" t="str">
        <f>IF($H$4="EFFACER","",IFERROR(INDEX(DA_SAP!$D:$D,(_xlfn.AGGREGATE(15,6,(ROW(DA_SAP!$F$3:$F$423)-2)/(DA_SAP!$F$3:$F$423=$A$254)*($A$254&lt;&gt;""),ROW()-256)+2)),""))</f>
        <v/>
      </c>
      <c r="E294" s="119" t="str">
        <f t="shared" si="9"/>
        <v/>
      </c>
    </row>
    <row r="295" spans="1:5" x14ac:dyDescent="0.25">
      <c r="A295" s="117" t="str">
        <f>IFERROR(INDEX(DA_SAP!$A:$A,(_xlfn.AGGREGATE(15,6,(ROW(DA_SAP!$F$3:$F$423)-2)/(DA_SAP!$F$3:$F$423=$A$254)*($A$254&lt;&gt;""),ROW()-256)+2)),"")</f>
        <v/>
      </c>
      <c r="B295" s="118" t="str">
        <f>IFERROR(INDEX(DA_SAP!$B:$B,(_xlfn.AGGREGATE(15,6,(ROW(DA_SAP!$F$3:$F$423)-2)/(DA_SAP!$F$3:$F$423=$A$254)*($A$254&lt;&gt;""),ROW()-256)+2)),"")</f>
        <v/>
      </c>
      <c r="C295" s="118" t="str">
        <f>IFERROR(INDEX(DA_SAP!$C:$C,(_xlfn.AGGREGATE(15,6,(ROW(DA_SAP!$F$3:$F$423)-2)/(DA_SAP!$F$3:$F$423=$A$254)*($A$254&lt;&gt;""),ROW()-256)+2)),"")</f>
        <v/>
      </c>
      <c r="D295" s="118" t="str">
        <f>IF($H$4="EFFACER","",IFERROR(INDEX(DA_SAP!$D:$D,(_xlfn.AGGREGATE(15,6,(ROW(DA_SAP!$F$3:$F$423)-2)/(DA_SAP!$F$3:$F$423=$A$254)*($A$254&lt;&gt;""),ROW()-256)+2)),""))</f>
        <v/>
      </c>
      <c r="E295" s="119" t="str">
        <f t="shared" si="9"/>
        <v/>
      </c>
    </row>
    <row r="296" spans="1:5" x14ac:dyDescent="0.25">
      <c r="A296" s="117" t="str">
        <f>IFERROR(INDEX(DA_SAP!$A:$A,(_xlfn.AGGREGATE(15,6,(ROW(DA_SAP!$F$3:$F$423)-2)/(DA_SAP!$F$3:$F$423=$A$254)*($A$254&lt;&gt;""),ROW()-256)+2)),"")</f>
        <v/>
      </c>
      <c r="B296" s="118" t="str">
        <f>IFERROR(INDEX(DA_SAP!$B:$B,(_xlfn.AGGREGATE(15,6,(ROW(DA_SAP!$F$3:$F$423)-2)/(DA_SAP!$F$3:$F$423=$A$254)*($A$254&lt;&gt;""),ROW()-256)+2)),"")</f>
        <v/>
      </c>
      <c r="C296" s="118" t="str">
        <f>IFERROR(INDEX(DA_SAP!$C:$C,(_xlfn.AGGREGATE(15,6,(ROW(DA_SAP!$F$3:$F$423)-2)/(DA_SAP!$F$3:$F$423=$A$254)*($A$254&lt;&gt;""),ROW()-256)+2)),"")</f>
        <v/>
      </c>
      <c r="D296" s="118" t="str">
        <f>IF($H$4="EFFACER","",IFERROR(INDEX(DA_SAP!$D:$D,(_xlfn.AGGREGATE(15,6,(ROW(DA_SAP!$F$3:$F$423)-2)/(DA_SAP!$F$3:$F$423=$A$254)*($A$254&lt;&gt;""),ROW()-256)+2)),""))</f>
        <v/>
      </c>
      <c r="E296" s="119" t="str">
        <f t="shared" si="9"/>
        <v/>
      </c>
    </row>
    <row r="297" spans="1:5" x14ac:dyDescent="0.25">
      <c r="A297" s="117" t="str">
        <f>IFERROR(INDEX(DA_SAP!$A:$A,(_xlfn.AGGREGATE(15,6,(ROW(DA_SAP!$F$3:$F$423)-2)/(DA_SAP!$F$3:$F$423=$A$254)*($A$254&lt;&gt;""),ROW()-256)+2)),"")</f>
        <v/>
      </c>
      <c r="B297" s="118" t="str">
        <f>IFERROR(INDEX(DA_SAP!$B:$B,(_xlfn.AGGREGATE(15,6,(ROW(DA_SAP!$F$3:$F$423)-2)/(DA_SAP!$F$3:$F$423=$A$254)*($A$254&lt;&gt;""),ROW()-256)+2)),"")</f>
        <v/>
      </c>
      <c r="C297" s="118" t="str">
        <f>IFERROR(INDEX(DA_SAP!$C:$C,(_xlfn.AGGREGATE(15,6,(ROW(DA_SAP!$F$3:$F$423)-2)/(DA_SAP!$F$3:$F$423=$A$254)*($A$254&lt;&gt;""),ROW()-256)+2)),"")</f>
        <v/>
      </c>
      <c r="D297" s="118" t="str">
        <f>IF($H$4="EFFACER","",IFERROR(INDEX(DA_SAP!$D:$D,(_xlfn.AGGREGATE(15,6,(ROW(DA_SAP!$F$3:$F$423)-2)/(DA_SAP!$F$3:$F$423=$A$254)*($A$254&lt;&gt;""),ROW()-256)+2)),""))</f>
        <v/>
      </c>
      <c r="E297" s="119" t="str">
        <f t="shared" si="9"/>
        <v/>
      </c>
    </row>
    <row r="298" spans="1:5" x14ac:dyDescent="0.25">
      <c r="A298" s="117" t="str">
        <f>IFERROR(INDEX(DA_SAP!$A:$A,(_xlfn.AGGREGATE(15,6,(ROW(DA_SAP!$F$3:$F$423)-2)/(DA_SAP!$F$3:$F$423=$A$254)*($A$254&lt;&gt;""),ROW()-256)+2)),"")</f>
        <v/>
      </c>
      <c r="B298" s="118" t="str">
        <f>IFERROR(INDEX(DA_SAP!$B:$B,(_xlfn.AGGREGATE(15,6,(ROW(DA_SAP!$F$3:$F$423)-2)/(DA_SAP!$F$3:$F$423=$A$254)*($A$254&lt;&gt;""),ROW()-256)+2)),"")</f>
        <v/>
      </c>
      <c r="C298" s="118" t="str">
        <f>IFERROR(INDEX(DA_SAP!$C:$C,(_xlfn.AGGREGATE(15,6,(ROW(DA_SAP!$F$3:$F$423)-2)/(DA_SAP!$F$3:$F$423=$A$254)*($A$254&lt;&gt;""),ROW()-256)+2)),"")</f>
        <v/>
      </c>
      <c r="D298" s="118" t="str">
        <f>IF($H$4="EFFACER","",IFERROR(INDEX(DA_SAP!$D:$D,(_xlfn.AGGREGATE(15,6,(ROW(DA_SAP!$F$3:$F$423)-2)/(DA_SAP!$F$3:$F$423=$A$254)*($A$254&lt;&gt;""),ROW()-256)+2)),""))</f>
        <v/>
      </c>
      <c r="E298" s="119" t="str">
        <f t="shared" si="9"/>
        <v/>
      </c>
    </row>
    <row r="299" spans="1:5" x14ac:dyDescent="0.25">
      <c r="A299" s="117" t="str">
        <f>IFERROR(INDEX(DA_SAP!$A:$A,(_xlfn.AGGREGATE(15,6,(ROW(DA_SAP!$F$3:$F$423)-2)/(DA_SAP!$F$3:$F$423=$A$254)*($A$254&lt;&gt;""),ROW()-256)+2)),"")</f>
        <v/>
      </c>
      <c r="B299" s="118" t="str">
        <f>IFERROR(INDEX(DA_SAP!$B:$B,(_xlfn.AGGREGATE(15,6,(ROW(DA_SAP!$F$3:$F$423)-2)/(DA_SAP!$F$3:$F$423=$A$254)*($A$254&lt;&gt;""),ROW()-256)+2)),"")</f>
        <v/>
      </c>
      <c r="C299" s="118" t="str">
        <f>IFERROR(INDEX(DA_SAP!$C:$C,(_xlfn.AGGREGATE(15,6,(ROW(DA_SAP!$F$3:$F$423)-2)/(DA_SAP!$F$3:$F$423=$A$254)*($A$254&lt;&gt;""),ROW()-256)+2)),"")</f>
        <v/>
      </c>
      <c r="D299" s="118" t="str">
        <f>IF($H$4="EFFACER","",IFERROR(INDEX(DA_SAP!$D:$D,(_xlfn.AGGREGATE(15,6,(ROW(DA_SAP!$F$3:$F$423)-2)/(DA_SAP!$F$3:$F$423=$A$254)*($A$254&lt;&gt;""),ROW()-256)+2)),""))</f>
        <v/>
      </c>
      <c r="E299" s="119" t="str">
        <f t="shared" si="9"/>
        <v/>
      </c>
    </row>
    <row r="300" spans="1:5" x14ac:dyDescent="0.25">
      <c r="A300" s="117" t="str">
        <f>IFERROR(INDEX(DA_SAP!$A:$A,(_xlfn.AGGREGATE(15,6,(ROW(DA_SAP!$F$3:$F$423)-2)/(DA_SAP!$F$3:$F$423=$A$254)*($A$254&lt;&gt;""),ROW()-256)+2)),"")</f>
        <v/>
      </c>
      <c r="B300" s="118" t="str">
        <f>IFERROR(INDEX(DA_SAP!$B:$B,(_xlfn.AGGREGATE(15,6,(ROW(DA_SAP!$F$3:$F$423)-2)/(DA_SAP!$F$3:$F$423=$A$254)*($A$254&lt;&gt;""),ROW()-256)+2)),"")</f>
        <v/>
      </c>
      <c r="C300" s="118" t="str">
        <f>IFERROR(INDEX(DA_SAP!$C:$C,(_xlfn.AGGREGATE(15,6,(ROW(DA_SAP!$F$3:$F$423)-2)/(DA_SAP!$F$3:$F$423=$A$254)*($A$254&lt;&gt;""),ROW()-256)+2)),"")</f>
        <v/>
      </c>
      <c r="D300" s="118" t="str">
        <f>IF($H$4="EFFACER","",IFERROR(INDEX(DA_SAP!$D:$D,(_xlfn.AGGREGATE(15,6,(ROW(DA_SAP!$F$3:$F$423)-2)/(DA_SAP!$F$3:$F$423=$A$254)*($A$254&lt;&gt;""),ROW()-256)+2)),""))</f>
        <v/>
      </c>
      <c r="E300" s="119" t="str">
        <f t="shared" si="9"/>
        <v/>
      </c>
    </row>
    <row r="301" spans="1:5" x14ac:dyDescent="0.25">
      <c r="A301" s="117" t="str">
        <f>IFERROR(INDEX(DA_SAP!$A:$A,(_xlfn.AGGREGATE(15,6,(ROW(DA_SAP!$F$3:$F$423)-2)/(DA_SAP!$F$3:$F$423=$A$254)*($A$254&lt;&gt;""),ROW()-256)+2)),"")</f>
        <v/>
      </c>
      <c r="B301" s="118" t="str">
        <f>IFERROR(INDEX(DA_SAP!$B:$B,(_xlfn.AGGREGATE(15,6,(ROW(DA_SAP!$F$3:$F$423)-2)/(DA_SAP!$F$3:$F$423=$A$254)*($A$254&lt;&gt;""),ROW()-256)+2)),"")</f>
        <v/>
      </c>
      <c r="C301" s="118" t="str">
        <f>IFERROR(INDEX(DA_SAP!$C:$C,(_xlfn.AGGREGATE(15,6,(ROW(DA_SAP!$F$3:$F$423)-2)/(DA_SAP!$F$3:$F$423=$A$254)*($A$254&lt;&gt;""),ROW()-256)+2)),"")</f>
        <v/>
      </c>
      <c r="D301" s="118" t="str">
        <f>IF($H$4="EFFACER","",IFERROR(INDEX(DA_SAP!$D:$D,(_xlfn.AGGREGATE(15,6,(ROW(DA_SAP!$F$3:$F$423)-2)/(DA_SAP!$F$3:$F$423=$A$254)*($A$254&lt;&gt;""),ROW()-256)+2)),""))</f>
        <v/>
      </c>
      <c r="E301" s="119" t="str">
        <f t="shared" si="9"/>
        <v/>
      </c>
    </row>
    <row r="302" spans="1:5" x14ac:dyDescent="0.25">
      <c r="A302" s="117" t="str">
        <f>IFERROR(INDEX(DA_SAP!$A:$A,(_xlfn.AGGREGATE(15,6,(ROW(DA_SAP!$F$3:$F$423)-2)/(DA_SAP!$F$3:$F$423=$A$254)*($A$254&lt;&gt;""),ROW()-256)+2)),"")</f>
        <v/>
      </c>
      <c r="B302" s="118" t="str">
        <f>IFERROR(INDEX(DA_SAP!$B:$B,(_xlfn.AGGREGATE(15,6,(ROW(DA_SAP!$F$3:$F$423)-2)/(DA_SAP!$F$3:$F$423=$A$254)*($A$254&lt;&gt;""),ROW()-256)+2)),"")</f>
        <v/>
      </c>
      <c r="C302" s="118" t="str">
        <f>IFERROR(INDEX(DA_SAP!$C:$C,(_xlfn.AGGREGATE(15,6,(ROW(DA_SAP!$F$3:$F$423)-2)/(DA_SAP!$F$3:$F$423=$A$254)*($A$254&lt;&gt;""),ROW()-256)+2)),"")</f>
        <v/>
      </c>
      <c r="D302" s="118" t="str">
        <f>IF($H$4="EFFACER","",IFERROR(INDEX(DA_SAP!$D:$D,(_xlfn.AGGREGATE(15,6,(ROW(DA_SAP!$F$3:$F$423)-2)/(DA_SAP!$F$3:$F$423=$A$254)*($A$254&lt;&gt;""),ROW()-256)+2)),""))</f>
        <v/>
      </c>
      <c r="E302" s="119" t="str">
        <f t="shared" si="9"/>
        <v/>
      </c>
    </row>
    <row r="303" spans="1:5" x14ac:dyDescent="0.25">
      <c r="A303" s="117" t="str">
        <f>IFERROR(INDEX(DA_SAP!$A:$A,(_xlfn.AGGREGATE(15,6,(ROW(DA_SAP!$F$3:$F$423)-2)/(DA_SAP!$F$3:$F$423=$A$254)*($A$254&lt;&gt;""),ROW()-256)+2)),"")</f>
        <v/>
      </c>
      <c r="B303" s="118" t="str">
        <f>IFERROR(INDEX(DA_SAP!$B:$B,(_xlfn.AGGREGATE(15,6,(ROW(DA_SAP!$F$3:$F$423)-2)/(DA_SAP!$F$3:$F$423=$A$254)*($A$254&lt;&gt;""),ROW()-256)+2)),"")</f>
        <v/>
      </c>
      <c r="C303" s="118" t="str">
        <f>IFERROR(INDEX(DA_SAP!$C:$C,(_xlfn.AGGREGATE(15,6,(ROW(DA_SAP!$F$3:$F$423)-2)/(DA_SAP!$F$3:$F$423=$A$254)*($A$254&lt;&gt;""),ROW()-256)+2)),"")</f>
        <v/>
      </c>
      <c r="D303" s="118" t="str">
        <f>IF($H$4="EFFACER","",IFERROR(INDEX(DA_SAP!$D:$D,(_xlfn.AGGREGATE(15,6,(ROW(DA_SAP!$F$3:$F$423)-2)/(DA_SAP!$F$3:$F$423=$A$254)*($A$254&lt;&gt;""),ROW()-256)+2)),""))</f>
        <v/>
      </c>
      <c r="E303" s="119" t="str">
        <f t="shared" si="9"/>
        <v/>
      </c>
    </row>
    <row r="304" spans="1:5" x14ac:dyDescent="0.25">
      <c r="A304" s="117" t="str">
        <f>IFERROR(INDEX(DA_SAP!$A:$A,(_xlfn.AGGREGATE(15,6,(ROW(DA_SAP!$F$3:$F$423)-2)/(DA_SAP!$F$3:$F$423=$A$254)*($A$254&lt;&gt;""),ROW()-256)+2)),"")</f>
        <v/>
      </c>
      <c r="B304" s="118" t="str">
        <f>IFERROR(INDEX(DA_SAP!$B:$B,(_xlfn.AGGREGATE(15,6,(ROW(DA_SAP!$F$3:$F$423)-2)/(DA_SAP!$F$3:$F$423=$A$254)*($A$254&lt;&gt;""),ROW()-256)+2)),"")</f>
        <v/>
      </c>
      <c r="C304" s="118" t="str">
        <f>IFERROR(INDEX(DA_SAP!$C:$C,(_xlfn.AGGREGATE(15,6,(ROW(DA_SAP!$F$3:$F$423)-2)/(DA_SAP!$F$3:$F$423=$A$254)*($A$254&lt;&gt;""),ROW()-256)+2)),"")</f>
        <v/>
      </c>
      <c r="D304" s="118" t="str">
        <f>IF($H$4="EFFACER","",IFERROR(INDEX(DA_SAP!$D:$D,(_xlfn.AGGREGATE(15,6,(ROW(DA_SAP!$F$3:$F$423)-2)/(DA_SAP!$F$3:$F$423=$A$254)*($A$254&lt;&gt;""),ROW()-256)+2)),""))</f>
        <v/>
      </c>
      <c r="E304" s="119" t="str">
        <f t="shared" si="9"/>
        <v/>
      </c>
    </row>
    <row r="305" spans="1:5" x14ac:dyDescent="0.25">
      <c r="A305" s="117" t="str">
        <f>IFERROR(INDEX(DA_SAP!$A:$A,(_xlfn.AGGREGATE(15,6,(ROW(DA_SAP!$F$3:$F$423)-2)/(DA_SAP!$F$3:$F$423=$A$254)*($A$254&lt;&gt;""),ROW()-256)+2)),"")</f>
        <v/>
      </c>
      <c r="B305" s="118" t="str">
        <f>IFERROR(INDEX(DA_SAP!$B:$B,(_xlfn.AGGREGATE(15,6,(ROW(DA_SAP!$F$3:$F$423)-2)/(DA_SAP!$F$3:$F$423=$A$254)*($A$254&lt;&gt;""),ROW()-256)+2)),"")</f>
        <v/>
      </c>
      <c r="C305" s="118" t="str">
        <f>IFERROR(INDEX(DA_SAP!$C:$C,(_xlfn.AGGREGATE(15,6,(ROW(DA_SAP!$F$3:$F$423)-2)/(DA_SAP!$F$3:$F$423=$A$254)*($A$254&lt;&gt;""),ROW()-256)+2)),"")</f>
        <v/>
      </c>
      <c r="D305" s="118" t="str">
        <f>IF($H$4="EFFACER","",IFERROR(INDEX(DA_SAP!$D:$D,(_xlfn.AGGREGATE(15,6,(ROW(DA_SAP!$F$3:$F$423)-2)/(DA_SAP!$F$3:$F$423=$A$254)*($A$254&lt;&gt;""),ROW()-256)+2)),""))</f>
        <v/>
      </c>
      <c r="E305" s="119" t="str">
        <f t="shared" si="9"/>
        <v/>
      </c>
    </row>
    <row r="306" spans="1:5" x14ac:dyDescent="0.25">
      <c r="A306" s="117" t="str">
        <f>IFERROR(INDEX(DA_SAP!$A:$A,(_xlfn.AGGREGATE(15,6,(ROW(DA_SAP!$F$3:$F$423)-2)/(DA_SAP!$F$3:$F$423=$A$254)*($A$254&lt;&gt;""),ROW()-256)+2)),"")</f>
        <v/>
      </c>
      <c r="B306" s="118" t="str">
        <f>IFERROR(INDEX(DA_SAP!$B:$B,(_xlfn.AGGREGATE(15,6,(ROW(DA_SAP!$F$3:$F$423)-2)/(DA_SAP!$F$3:$F$423=$A$254)*($A$254&lt;&gt;""),ROW()-256)+2)),"")</f>
        <v/>
      </c>
      <c r="C306" s="118" t="str">
        <f>IFERROR(INDEX(DA_SAP!$C:$C,(_xlfn.AGGREGATE(15,6,(ROW(DA_SAP!$F$3:$F$423)-2)/(DA_SAP!$F$3:$F$423=$A$254)*($A$254&lt;&gt;""),ROW()-256)+2)),"")</f>
        <v/>
      </c>
      <c r="D306" s="118" t="str">
        <f>IF($H$4="EFFACER","",IFERROR(INDEX(DA_SAP!$D:$D,(_xlfn.AGGREGATE(15,6,(ROW(DA_SAP!$F$3:$F$423)-2)/(DA_SAP!$F$3:$F$423=$A$254)*($A$254&lt;&gt;""),ROW()-256)+2)),""))</f>
        <v/>
      </c>
      <c r="E306" s="119" t="str">
        <f t="shared" si="9"/>
        <v/>
      </c>
    </row>
    <row r="307" spans="1:5" x14ac:dyDescent="0.25">
      <c r="A307" s="117" t="str">
        <f>IFERROR(INDEX(DA_SAP!$A:$A,(_xlfn.AGGREGATE(15,6,(ROW(DA_SAP!$F$3:$F$423)-2)/(DA_SAP!$F$3:$F$423=$A$254)*($A$254&lt;&gt;""),ROW()-256)+2)),"")</f>
        <v/>
      </c>
      <c r="B307" s="118" t="str">
        <f>IFERROR(INDEX(DA_SAP!$B:$B,(_xlfn.AGGREGATE(15,6,(ROW(DA_SAP!$F$3:$F$423)-2)/(DA_SAP!$F$3:$F$423=$A$254)*($A$254&lt;&gt;""),ROW()-256)+2)),"")</f>
        <v/>
      </c>
      <c r="C307" s="118" t="str">
        <f>IFERROR(INDEX(DA_SAP!$C:$C,(_xlfn.AGGREGATE(15,6,(ROW(DA_SAP!$F$3:$F$423)-2)/(DA_SAP!$F$3:$F$423=$A$254)*($A$254&lt;&gt;""),ROW()-256)+2)),"")</f>
        <v/>
      </c>
      <c r="D307" s="118" t="str">
        <f>IF($H$4="EFFACER","",IFERROR(INDEX(DA_SAP!$D:$D,(_xlfn.AGGREGATE(15,6,(ROW(DA_SAP!$F$3:$F$423)-2)/(DA_SAP!$F$3:$F$423=$A$254)*($A$254&lt;&gt;""),ROW()-256)+2)),""))</f>
        <v/>
      </c>
      <c r="E307" s="119" t="str">
        <f t="shared" si="9"/>
        <v/>
      </c>
    </row>
    <row r="308" spans="1:5" x14ac:dyDescent="0.25">
      <c r="A308" s="117" t="str">
        <f>IFERROR(INDEX(DA_SAP!$A:$A,(_xlfn.AGGREGATE(15,6,(ROW(DA_SAP!$F$3:$F$423)-2)/(DA_SAP!$F$3:$F$423=$A$254)*($A$254&lt;&gt;""),ROW()-256)+2)),"")</f>
        <v/>
      </c>
      <c r="B308" s="118" t="str">
        <f>IFERROR(INDEX(DA_SAP!$B:$B,(_xlfn.AGGREGATE(15,6,(ROW(DA_SAP!$F$3:$F$423)-2)/(DA_SAP!$F$3:$F$423=$A$254)*($A$254&lt;&gt;""),ROW()-256)+2)),"")</f>
        <v/>
      </c>
      <c r="C308" s="118" t="str">
        <f>IFERROR(INDEX(DA_SAP!$C:$C,(_xlfn.AGGREGATE(15,6,(ROW(DA_SAP!$F$3:$F$423)-2)/(DA_SAP!$F$3:$F$423=$A$254)*($A$254&lt;&gt;""),ROW()-256)+2)),"")</f>
        <v/>
      </c>
      <c r="D308" s="118" t="str">
        <f>IF($H$4="EFFACER","",IFERROR(INDEX(DA_SAP!$D:$D,(_xlfn.AGGREGATE(15,6,(ROW(DA_SAP!$F$3:$F$423)-2)/(DA_SAP!$F$3:$F$423=$A$254)*($A$254&lt;&gt;""),ROW()-256)+2)),""))</f>
        <v/>
      </c>
      <c r="E308" s="119" t="str">
        <f t="shared" si="9"/>
        <v/>
      </c>
    </row>
    <row r="309" spans="1:5" x14ac:dyDescent="0.25">
      <c r="A309" s="117" t="str">
        <f>IFERROR(INDEX(DA_SAP!$A:$A,(_xlfn.AGGREGATE(15,6,(ROW(DA_SAP!$F$3:$F$423)-2)/(DA_SAP!$F$3:$F$423=$A$254)*($A$254&lt;&gt;""),ROW()-256)+2)),"")</f>
        <v/>
      </c>
      <c r="B309" s="118" t="str">
        <f>IFERROR(INDEX(DA_SAP!$B:$B,(_xlfn.AGGREGATE(15,6,(ROW(DA_SAP!$F$3:$F$423)-2)/(DA_SAP!$F$3:$F$423=$A$254)*($A$254&lt;&gt;""),ROW()-256)+2)),"")</f>
        <v/>
      </c>
      <c r="C309" s="118" t="str">
        <f>IFERROR(INDEX(DA_SAP!$C:$C,(_xlfn.AGGREGATE(15,6,(ROW(DA_SAP!$F$3:$F$423)-2)/(DA_SAP!$F$3:$F$423=$A$254)*($A$254&lt;&gt;""),ROW()-256)+2)),"")</f>
        <v/>
      </c>
      <c r="D309" s="118" t="str">
        <f>IF($H$4="EFFACER","",IFERROR(INDEX(DA_SAP!$D:$D,(_xlfn.AGGREGATE(15,6,(ROW(DA_SAP!$F$3:$F$423)-2)/(DA_SAP!$F$3:$F$423=$A$254)*($A$254&lt;&gt;""),ROW()-256)+2)),""))</f>
        <v/>
      </c>
      <c r="E309" s="119" t="str">
        <f t="shared" si="9"/>
        <v/>
      </c>
    </row>
    <row r="310" spans="1:5" x14ac:dyDescent="0.25">
      <c r="A310" s="117" t="str">
        <f>IFERROR(INDEX(DA_SAP!$A:$A,(_xlfn.AGGREGATE(15,6,(ROW(DA_SAP!$F$3:$F$423)-2)/(DA_SAP!$F$3:$F$423=$A$254)*($A$254&lt;&gt;""),ROW()-256)+2)),"")</f>
        <v/>
      </c>
      <c r="B310" s="118" t="str">
        <f>IFERROR(INDEX(DA_SAP!$B:$B,(_xlfn.AGGREGATE(15,6,(ROW(DA_SAP!$F$3:$F$423)-2)/(DA_SAP!$F$3:$F$423=$A$254)*($A$254&lt;&gt;""),ROW()-256)+2)),"")</f>
        <v/>
      </c>
      <c r="C310" s="118" t="str">
        <f>IFERROR(INDEX(DA_SAP!$C:$C,(_xlfn.AGGREGATE(15,6,(ROW(DA_SAP!$F$3:$F$423)-2)/(DA_SAP!$F$3:$F$423=$A$254)*($A$254&lt;&gt;""),ROW()-256)+2)),"")</f>
        <v/>
      </c>
      <c r="D310" s="118" t="str">
        <f>IF($H$4="EFFACER","",IFERROR(INDEX(DA_SAP!$D:$D,(_xlfn.AGGREGATE(15,6,(ROW(DA_SAP!$F$3:$F$423)-2)/(DA_SAP!$F$3:$F$423=$A$254)*($A$254&lt;&gt;""),ROW()-256)+2)),""))</f>
        <v/>
      </c>
      <c r="E310" s="119" t="str">
        <f t="shared" si="9"/>
        <v/>
      </c>
    </row>
    <row r="311" spans="1:5" x14ac:dyDescent="0.25">
      <c r="A311" s="117" t="str">
        <f>IFERROR(INDEX(DA_SAP!$A:$A,(_xlfn.AGGREGATE(15,6,(ROW(DA_SAP!$F$3:$F$423)-2)/(DA_SAP!$F$3:$F$423=$A$254)*($A$254&lt;&gt;""),ROW()-256)+2)),"")</f>
        <v/>
      </c>
      <c r="B311" s="118" t="str">
        <f>IFERROR(INDEX(DA_SAP!$B:$B,(_xlfn.AGGREGATE(15,6,(ROW(DA_SAP!$F$3:$F$423)-2)/(DA_SAP!$F$3:$F$423=$A$254)*($A$254&lt;&gt;""),ROW()-256)+2)),"")</f>
        <v/>
      </c>
      <c r="C311" s="118" t="str">
        <f>IFERROR(INDEX(DA_SAP!$C:$C,(_xlfn.AGGREGATE(15,6,(ROW(DA_SAP!$F$3:$F$423)-2)/(DA_SAP!$F$3:$F$423=$A$254)*($A$254&lt;&gt;""),ROW()-256)+2)),"")</f>
        <v/>
      </c>
      <c r="D311" s="118" t="str">
        <f>IF($H$4="EFFACER","",IFERROR(INDEX(DA_SAP!$D:$D,(_xlfn.AGGREGATE(15,6,(ROW(DA_SAP!$F$3:$F$423)-2)/(DA_SAP!$F$3:$F$423=$A$254)*($A$254&lt;&gt;""),ROW()-256)+2)),""))</f>
        <v/>
      </c>
      <c r="E311" s="119" t="str">
        <f t="shared" si="9"/>
        <v/>
      </c>
    </row>
    <row r="312" spans="1:5" x14ac:dyDescent="0.25">
      <c r="A312" s="117" t="str">
        <f>IFERROR(INDEX(DA_SAP!$A:$A,(_xlfn.AGGREGATE(15,6,(ROW(DA_SAP!$F$3:$F$423)-2)/(DA_SAP!$F$3:$F$423=$A$254)*($A$254&lt;&gt;""),ROW()-256)+2)),"")</f>
        <v/>
      </c>
      <c r="B312" s="118" t="str">
        <f>IFERROR(INDEX(DA_SAP!$B:$B,(_xlfn.AGGREGATE(15,6,(ROW(DA_SAP!$F$3:$F$423)-2)/(DA_SAP!$F$3:$F$423=$A$254)*($A$254&lt;&gt;""),ROW()-256)+2)),"")</f>
        <v/>
      </c>
      <c r="C312" s="118" t="str">
        <f>IFERROR(INDEX(DA_SAP!$C:$C,(_xlfn.AGGREGATE(15,6,(ROW(DA_SAP!$F$3:$F$423)-2)/(DA_SAP!$F$3:$F$423=$A$254)*($A$254&lt;&gt;""),ROW()-256)+2)),"")</f>
        <v/>
      </c>
      <c r="D312" s="118" t="str">
        <f>IF($H$4="EFFACER","",IFERROR(INDEX(DA_SAP!$D:$D,(_xlfn.AGGREGATE(15,6,(ROW(DA_SAP!$F$3:$F$423)-2)/(DA_SAP!$F$3:$F$423=$A$254)*($A$254&lt;&gt;""),ROW()-256)+2)),""))</f>
        <v/>
      </c>
      <c r="E312" s="119" t="str">
        <f t="shared" si="9"/>
        <v/>
      </c>
    </row>
    <row r="313" spans="1:5" x14ac:dyDescent="0.25">
      <c r="A313" s="117" t="str">
        <f>IFERROR(INDEX(DA_SAP!$A:$A,(_xlfn.AGGREGATE(15,6,(ROW(DA_SAP!$F$3:$F$423)-2)/(DA_SAP!$F$3:$F$423=$A$254)*($A$254&lt;&gt;""),ROW()-256)+2)),"")</f>
        <v/>
      </c>
      <c r="B313" s="118" t="str">
        <f>IFERROR(INDEX(DA_SAP!$B:$B,(_xlfn.AGGREGATE(15,6,(ROW(DA_SAP!$F$3:$F$423)-2)/(DA_SAP!$F$3:$F$423=$A$254)*($A$254&lt;&gt;""),ROW()-256)+2)),"")</f>
        <v/>
      </c>
      <c r="C313" s="118" t="str">
        <f>IFERROR(INDEX(DA_SAP!$C:$C,(_xlfn.AGGREGATE(15,6,(ROW(DA_SAP!$F$3:$F$423)-2)/(DA_SAP!$F$3:$F$423=$A$254)*($A$254&lt;&gt;""),ROW()-256)+2)),"")</f>
        <v/>
      </c>
      <c r="D313" s="118" t="str">
        <f>IF($H$4="EFFACER","",IFERROR(INDEX(DA_SAP!$D:$D,(_xlfn.AGGREGATE(15,6,(ROW(DA_SAP!$F$3:$F$423)-2)/(DA_SAP!$F$3:$F$423=$A$254)*($A$254&lt;&gt;""),ROW()-256)+2)),""))</f>
        <v/>
      </c>
      <c r="E313" s="119" t="str">
        <f t="shared" si="9"/>
        <v/>
      </c>
    </row>
    <row r="314" spans="1:5" x14ac:dyDescent="0.25">
      <c r="A314" s="117" t="str">
        <f>IFERROR(INDEX(DA_SAP!$A:$A,(_xlfn.AGGREGATE(15,6,(ROW(DA_SAP!$F$3:$F$423)-2)/(DA_SAP!$F$3:$F$423=$A$254)*($A$254&lt;&gt;""),ROW()-256)+2)),"")</f>
        <v/>
      </c>
      <c r="B314" s="118" t="str">
        <f>IFERROR(INDEX(DA_SAP!$B:$B,(_xlfn.AGGREGATE(15,6,(ROW(DA_SAP!$F$3:$F$423)-2)/(DA_SAP!$F$3:$F$423=$A$254)*($A$254&lt;&gt;""),ROW()-256)+2)),"")</f>
        <v/>
      </c>
      <c r="C314" s="118" t="str">
        <f>IFERROR(INDEX(DA_SAP!$C:$C,(_xlfn.AGGREGATE(15,6,(ROW(DA_SAP!$F$3:$F$423)-2)/(DA_SAP!$F$3:$F$423=$A$254)*($A$254&lt;&gt;""),ROW()-256)+2)),"")</f>
        <v/>
      </c>
      <c r="D314" s="118" t="str">
        <f>IF($H$4="EFFACER","",IFERROR(INDEX(DA_SAP!$D:$D,(_xlfn.AGGREGATE(15,6,(ROW(DA_SAP!$F$3:$F$423)-2)/(DA_SAP!$F$3:$F$423=$A$254)*($A$254&lt;&gt;""),ROW()-256)+2)),""))</f>
        <v/>
      </c>
      <c r="E314" s="119" t="str">
        <f t="shared" si="9"/>
        <v/>
      </c>
    </row>
    <row r="315" spans="1:5" ht="15.75" customHeight="1" x14ac:dyDescent="0.25">
      <c r="A315" s="122" t="str">
        <f>IFERROR(INDEX(DA_SAP!$A:$A,(_xlfn.AGGREGATE(15,6,(ROW(DA_SAP!$F$3:$F$423)-2)/(DA_SAP!$F$3:$F$423=$A$254)*($A$254&lt;&gt;""),ROW()-256)+2)),"")</f>
        <v/>
      </c>
      <c r="B315" s="123" t="str">
        <f>IFERROR(INDEX(DA_SAP!$B:$B,(_xlfn.AGGREGATE(15,6,(ROW(DA_SAP!$F$3:$F$423)-2)/(DA_SAP!$F$3:$F$423=$A$254)*($A$254&lt;&gt;""),ROW()-256)+2)),"")</f>
        <v/>
      </c>
      <c r="C315" s="123" t="str">
        <f>IFERROR(INDEX(DA_SAP!$C:$C,(_xlfn.AGGREGATE(15,6,(ROW(DA_SAP!$F$3:$F$423)-2)/(DA_SAP!$F$3:$F$423=$A$254)*($A$254&lt;&gt;""),ROW()-256)+2)),"")</f>
        <v/>
      </c>
      <c r="D315" s="123" t="str">
        <f>IF($H$4="EFFACER","",IFERROR(INDEX(DA_SAP!$D:$D,(_xlfn.AGGREGATE(15,6,(ROW(DA_SAP!$F$3:$F$423)-2)/(DA_SAP!$F$3:$F$423=$A$254)*($A$254&lt;&gt;""),ROW()-256)+2)),""))</f>
        <v/>
      </c>
      <c r="E315" s="124" t="str">
        <f t="shared" si="9"/>
        <v/>
      </c>
    </row>
    <row r="316" spans="1:5" x14ac:dyDescent="0.25">
      <c r="A316" s="125"/>
      <c r="B316" s="125"/>
      <c r="C316" s="125"/>
      <c r="D316" s="125"/>
      <c r="E316" s="125" t="str">
        <f t="shared" si="9"/>
        <v/>
      </c>
    </row>
    <row r="317" spans="1:5" ht="15.75" customHeight="1" x14ac:dyDescent="0.25">
      <c r="A317" s="125" t="str">
        <f>IFERROR(INDEX(Catalogue!$K:$K,_xlfn.AGGREGATE(15,6,(ROW(Catalogue!$L$4:$L$454))/(Catalogue!$L$4:$L$454=1),6)),"")</f>
        <v/>
      </c>
      <c r="B317" s="125"/>
      <c r="C317" s="125"/>
      <c r="D317" s="125"/>
      <c r="E317" s="125"/>
    </row>
    <row r="318" spans="1:5" x14ac:dyDescent="0.25">
      <c r="A318" s="125" t="s">
        <v>1026</v>
      </c>
      <c r="B318" s="125" t="s">
        <v>1027</v>
      </c>
      <c r="C318" s="125" t="s">
        <v>1152</v>
      </c>
      <c r="D318" s="125" t="s">
        <v>1029</v>
      </c>
      <c r="E318" s="125" t="s">
        <v>1153</v>
      </c>
    </row>
    <row r="319" spans="1:5" x14ac:dyDescent="0.25">
      <c r="A319" s="125" t="str">
        <f>IFERROR(INDEX(DA_SAP!$A:$A,(_xlfn.AGGREGATE(15,6,(ROW(DA_SAP!$F$3:$F$423)-2)/(DA_SAP!$F$3:$F$423=$A$317)*($A$317&lt;&gt;""),ROW()-319)+2)),"")</f>
        <v/>
      </c>
      <c r="B319" s="125" t="str">
        <f>IFERROR(INDEX(DA_SAP!$B:$B,(_xlfn.AGGREGATE(15,6,(ROW(DA_SAP!$F$3:$F$423)-2)/(DA_SAP!$F$3:$F$423=$A$317)*($A$317&lt;&gt;""),ROW()-319)+2)),"")</f>
        <v/>
      </c>
      <c r="C319" s="125" t="str">
        <f>IFERROR(INDEX(DA_SAP!$C:$C,(_xlfn.AGGREGATE(15,6,(ROW(DA_SAP!$F$3:$F$423)-2)/(DA_SAP!$F$3:$F$423=$A$317)*($A$317&lt;&gt;""),ROW()-319)+2)),"")</f>
        <v/>
      </c>
      <c r="D319" s="125" t="str">
        <f>IFERROR(INDEX(DA_SAP!$D:$D,(_xlfn.AGGREGATE(15,6,(ROW(DA_SAP!$F$3:$F$423)-2)/(DA_SAP!$F$3:$F$423=$A$317)*($A$317&lt;&gt;""),ROW()-319)+2)),"")</f>
        <v/>
      </c>
      <c r="E319" s="125" t="str">
        <f>IFERROR(INDEX(DA_SAP!$E:$E,(_xlfn.AGGREGATE(15,6,(ROW(DA_SAP!$F$3:$F$423)-2)/(DA_SAP!$F$3:$F$423=$A$317)*($A$317&lt;&gt;""),ROW()-319)+2)),"")</f>
        <v/>
      </c>
    </row>
    <row r="320" spans="1:5" x14ac:dyDescent="0.25">
      <c r="A320" s="125" t="str">
        <f>IFERROR(INDEX(DA_SAP!$A:$A,(_xlfn.AGGREGATE(15,6,(ROW(DA_SAP!$F$3:$F$423)-2)/(DA_SAP!$F$3:$F$423=$A$317)*($A$317&lt;&gt;""),ROW()-319)+2)),"")</f>
        <v>Code article</v>
      </c>
      <c r="B320" s="125" t="str">
        <f>IFERROR(INDEX(DA_SAP!$B:$B,(_xlfn.AGGREGATE(15,6,(ROW(DA_SAP!$F$3:$F$423)-2)/(DA_SAP!$F$3:$F$423=$A$317)*($A$317&lt;&gt;""),ROW()-319)+2)),"")</f>
        <v>Désignation</v>
      </c>
      <c r="C320" s="125" t="str">
        <f>IFERROR(INDEX(DA_SAP!$C:$C,(_xlfn.AGGREGATE(15,6,(ROW(DA_SAP!$F$3:$F$423)-2)/(DA_SAP!$F$3:$F$423=$A$317)*($A$317&lt;&gt;""),ROW()-319)+2)),"")</f>
        <v>Quantité totale</v>
      </c>
      <c r="D320" s="125" t="str">
        <f>IFERROR(INDEX(DA_SAP!$D:$D,(_xlfn.AGGREGATE(15,6,(ROW(DA_SAP!$F$3:$F$423)-2)/(DA_SAP!$F$3:$F$423=$A$317)*($A$317&lt;&gt;""),ROW()-319)+2)),"")</f>
        <v>Unité</v>
      </c>
      <c r="E320" s="125" t="str">
        <f>IFERROR(INDEX(DA_SAP!$E:$E,(_xlfn.AGGREGATE(15,6,(ROW(DA_SAP!$F$3:$F$423)-2)/(DA_SAP!$F$3:$F$423=$A$317)*($A$317&lt;&gt;""),ROW()-319)+2)),"")</f>
        <v>Date de livraison</v>
      </c>
    </row>
    <row r="321" spans="1:5" x14ac:dyDescent="0.25">
      <c r="A321" s="125" t="str">
        <f>IFERROR(INDEX(DA_SAP!$A:$A,(_xlfn.AGGREGATE(15,6,(ROW(DA_SAP!$F$3:$F$423)-2)/(DA_SAP!$F$3:$F$423=$A$317)*($A$317&lt;&gt;""),ROW()-319)+2)),"")</f>
        <v>Code article</v>
      </c>
      <c r="B321" s="125" t="str">
        <f>IFERROR(INDEX(DA_SAP!$B:$B,(_xlfn.AGGREGATE(15,6,(ROW(DA_SAP!$F$3:$F$423)-2)/(DA_SAP!$F$3:$F$423=$A$317)*($A$317&lt;&gt;""),ROW()-319)+2)),"")</f>
        <v>Désignation</v>
      </c>
      <c r="C321" s="125" t="str">
        <f>IFERROR(INDEX(DA_SAP!$C:$C,(_xlfn.AGGREGATE(15,6,(ROW(DA_SAP!$F$3:$F$423)-2)/(DA_SAP!$F$3:$F$423=$A$317)*($A$317&lt;&gt;""),ROW()-319)+2)),"")</f>
        <v>Quantité totale</v>
      </c>
      <c r="D321" s="125" t="str">
        <f>IFERROR(INDEX(DA_SAP!$D:$D,(_xlfn.AGGREGATE(15,6,(ROW(DA_SAP!$F$3:$F$423)-2)/(DA_SAP!$F$3:$F$423=$A$317)*($A$317&lt;&gt;""),ROW()-319)+2)),"")</f>
        <v>Unité</v>
      </c>
      <c r="E321" s="125" t="str">
        <f>IFERROR(INDEX(DA_SAP!$E:$E,(_xlfn.AGGREGATE(15,6,(ROW(DA_SAP!$F$3:$F$423)-2)/(DA_SAP!$F$3:$F$423=$A$317)*($A$317&lt;&gt;""),ROW()-319)+2)),"")</f>
        <v>Date de livraison</v>
      </c>
    </row>
    <row r="322" spans="1:5" x14ac:dyDescent="0.25">
      <c r="A322" s="125" t="str">
        <f>IFERROR(INDEX(DA_SAP!$A:$A,(_xlfn.AGGREGATE(15,6,(ROW(DA_SAP!$F$3:$F$423)-2)/(DA_SAP!$F$3:$F$423=$A$317)*($A$317&lt;&gt;""),ROW()-319)+2)),"")</f>
        <v>Code article</v>
      </c>
      <c r="B322" s="125" t="str">
        <f>IFERROR(INDEX(DA_SAP!$B:$B,(_xlfn.AGGREGATE(15,6,(ROW(DA_SAP!$F$3:$F$423)-2)/(DA_SAP!$F$3:$F$423=$A$317)*($A$317&lt;&gt;""),ROW()-319)+2)),"")</f>
        <v>Désignation</v>
      </c>
      <c r="C322" s="125" t="str">
        <f>IFERROR(INDEX(DA_SAP!$C:$C,(_xlfn.AGGREGATE(15,6,(ROW(DA_SAP!$F$3:$F$423)-2)/(DA_SAP!$F$3:$F$423=$A$317)*($A$317&lt;&gt;""),ROW()-319)+2)),"")</f>
        <v>Quantité totale</v>
      </c>
      <c r="D322" s="125" t="str">
        <f>IFERROR(INDEX(DA_SAP!$D:$D,(_xlfn.AGGREGATE(15,6,(ROW(DA_SAP!$F$3:$F$423)-2)/(DA_SAP!$F$3:$F$423=$A$317)*($A$317&lt;&gt;""),ROW()-319)+2)),"")</f>
        <v>Unité</v>
      </c>
      <c r="E322" s="125" t="str">
        <f>IFERROR(INDEX(DA_SAP!$E:$E,(_xlfn.AGGREGATE(15,6,(ROW(DA_SAP!$F$3:$F$423)-2)/(DA_SAP!$F$3:$F$423=$A$317)*($A$317&lt;&gt;""),ROW()-319)+2)),"")</f>
        <v>Date de livraison</v>
      </c>
    </row>
    <row r="323" spans="1:5" x14ac:dyDescent="0.25">
      <c r="A323" s="125" t="str">
        <f>IFERROR(INDEX(DA_SAP!$A:$A,(_xlfn.AGGREGATE(15,6,(ROW(DA_SAP!$F$3:$F$423)-2)/(DA_SAP!$F$3:$F$423=$A$317)*($A$317&lt;&gt;""),ROW()-319)+2)),"")</f>
        <v>Code article</v>
      </c>
      <c r="B323" s="125" t="str">
        <f>IFERROR(INDEX(DA_SAP!$B:$B,(_xlfn.AGGREGATE(15,6,(ROW(DA_SAP!$F$3:$F$423)-2)/(DA_SAP!$F$3:$F$423=$A$317)*($A$317&lt;&gt;""),ROW()-319)+2)),"")</f>
        <v>Désignation</v>
      </c>
      <c r="C323" s="125" t="str">
        <f>IFERROR(INDEX(DA_SAP!$C:$C,(_xlfn.AGGREGATE(15,6,(ROW(DA_SAP!$F$3:$F$423)-2)/(DA_SAP!$F$3:$F$423=$A$317)*($A$317&lt;&gt;""),ROW()-319)+2)),"")</f>
        <v>Quantité totale</v>
      </c>
      <c r="D323" s="125" t="str">
        <f>IFERROR(INDEX(DA_SAP!$D:$D,(_xlfn.AGGREGATE(15,6,(ROW(DA_SAP!$F$3:$F$423)-2)/(DA_SAP!$F$3:$F$423=$A$317)*($A$317&lt;&gt;""),ROW()-319)+2)),"")</f>
        <v>Unité</v>
      </c>
      <c r="E323" s="125" t="str">
        <f>IFERROR(INDEX(DA_SAP!$E:$E,(_xlfn.AGGREGATE(15,6,(ROW(DA_SAP!$F$3:$F$423)-2)/(DA_SAP!$F$3:$F$423=$A$317)*($A$317&lt;&gt;""),ROW()-319)+2)),"")</f>
        <v>Date de livraison</v>
      </c>
    </row>
    <row r="324" spans="1:5" x14ac:dyDescent="0.25">
      <c r="A324" s="125" t="str">
        <f>IFERROR(INDEX(DA_SAP!$A:$A,(_xlfn.AGGREGATE(15,6,(ROW(DA_SAP!$F$3:$F$423)-2)/(DA_SAP!$F$3:$F$423=$A$317)*($A$317&lt;&gt;""),ROW()-319)+2)),"")</f>
        <v>Code article</v>
      </c>
      <c r="B324" s="125" t="str">
        <f>IFERROR(INDEX(DA_SAP!$B:$B,(_xlfn.AGGREGATE(15,6,(ROW(DA_SAP!$F$3:$F$423)-2)/(DA_SAP!$F$3:$F$423=$A$317)*($A$317&lt;&gt;""),ROW()-319)+2)),"")</f>
        <v>Désignation</v>
      </c>
      <c r="C324" s="125" t="str">
        <f>IFERROR(INDEX(DA_SAP!$C:$C,(_xlfn.AGGREGATE(15,6,(ROW(DA_SAP!$F$3:$F$423)-2)/(DA_SAP!$F$3:$F$423=$A$317)*($A$317&lt;&gt;""),ROW()-319)+2)),"")</f>
        <v>Quantité totale</v>
      </c>
      <c r="D324" s="125" t="str">
        <f>IFERROR(INDEX(DA_SAP!$D:$D,(_xlfn.AGGREGATE(15,6,(ROW(DA_SAP!$F$3:$F$423)-2)/(DA_SAP!$F$3:$F$423=$A$317)*($A$317&lt;&gt;""),ROW()-319)+2)),"")</f>
        <v>Unité</v>
      </c>
      <c r="E324" s="125" t="str">
        <f>IFERROR(INDEX(DA_SAP!$E:$E,(_xlfn.AGGREGATE(15,6,(ROW(DA_SAP!$F$3:$F$423)-2)/(DA_SAP!$F$3:$F$423=$A$317)*($A$317&lt;&gt;""),ROW()-319)+2)),"")</f>
        <v>Date de livraison</v>
      </c>
    </row>
    <row r="325" spans="1:5" x14ac:dyDescent="0.25">
      <c r="A325" s="125" t="str">
        <f>IFERROR(INDEX(DA_SAP!$A:$A,(_xlfn.AGGREGATE(15,6,(ROW(DA_SAP!$F$3:$F$423)-2)/(DA_SAP!$F$3:$F$423=$A$317)*($A$317&lt;&gt;""),ROW()-319)+2)),"")</f>
        <v>Code article</v>
      </c>
      <c r="B325" s="125" t="str">
        <f>IFERROR(INDEX(DA_SAP!$B:$B,(_xlfn.AGGREGATE(15,6,(ROW(DA_SAP!$F$3:$F$423)-2)/(DA_SAP!$F$3:$F$423=$A$317)*($A$317&lt;&gt;""),ROW()-319)+2)),"")</f>
        <v>Désignation</v>
      </c>
      <c r="C325" s="125" t="str">
        <f>IFERROR(INDEX(DA_SAP!$C:$C,(_xlfn.AGGREGATE(15,6,(ROW(DA_SAP!$F$3:$F$423)-2)/(DA_SAP!$F$3:$F$423=$A$317)*($A$317&lt;&gt;""),ROW()-319)+2)),"")</f>
        <v>Quantité totale</v>
      </c>
      <c r="D325" s="125" t="str">
        <f>IFERROR(INDEX(DA_SAP!$D:$D,(_xlfn.AGGREGATE(15,6,(ROW(DA_SAP!$F$3:$F$423)-2)/(DA_SAP!$F$3:$F$423=$A$317)*($A$317&lt;&gt;""),ROW()-319)+2)),"")</f>
        <v>Unité</v>
      </c>
      <c r="E325" s="125" t="str">
        <f>IFERROR(INDEX(DA_SAP!$E:$E,(_xlfn.AGGREGATE(15,6,(ROW(DA_SAP!$F$3:$F$423)-2)/(DA_SAP!$F$3:$F$423=$A$317)*($A$317&lt;&gt;""),ROW()-319)+2)),"")</f>
        <v>Date de livraison</v>
      </c>
    </row>
    <row r="326" spans="1:5" x14ac:dyDescent="0.25">
      <c r="A326" s="125" t="str">
        <f>IFERROR(INDEX(DA_SAP!$A:$A,(_xlfn.AGGREGATE(15,6,(ROW(DA_SAP!$F$3:$F$423)-2)/(DA_SAP!$F$3:$F$423=$A$317)*($A$317&lt;&gt;""),ROW()-319)+2)),"")</f>
        <v>Code article</v>
      </c>
      <c r="B326" s="125" t="str">
        <f>IFERROR(INDEX(DA_SAP!$B:$B,(_xlfn.AGGREGATE(15,6,(ROW(DA_SAP!$F$3:$F$423)-2)/(DA_SAP!$F$3:$F$423=$A$317)*($A$317&lt;&gt;""),ROW()-319)+2)),"")</f>
        <v>Désignation</v>
      </c>
      <c r="C326" s="125" t="str">
        <f>IFERROR(INDEX(DA_SAP!$C:$C,(_xlfn.AGGREGATE(15,6,(ROW(DA_SAP!$F$3:$F$423)-2)/(DA_SAP!$F$3:$F$423=$A$317)*($A$317&lt;&gt;""),ROW()-319)+2)),"")</f>
        <v>Quantité totale</v>
      </c>
      <c r="D326" s="125" t="str">
        <f>IFERROR(INDEX(DA_SAP!$D:$D,(_xlfn.AGGREGATE(15,6,(ROW(DA_SAP!$F$3:$F$423)-2)/(DA_SAP!$F$3:$F$423=$A$317)*($A$317&lt;&gt;""),ROW()-319)+2)),"")</f>
        <v>Unité</v>
      </c>
      <c r="E326" s="125" t="str">
        <f>IFERROR(INDEX(DA_SAP!$E:$E,(_xlfn.AGGREGATE(15,6,(ROW(DA_SAP!$F$3:$F$423)-2)/(DA_SAP!$F$3:$F$423=$A$317)*($A$317&lt;&gt;""),ROW()-319)+2)),"")</f>
        <v>Date de livraison</v>
      </c>
    </row>
    <row r="327" spans="1:5" x14ac:dyDescent="0.25">
      <c r="A327" s="125" t="str">
        <f>IFERROR(INDEX(DA_SAP!$A:$A,(_xlfn.AGGREGATE(15,6,(ROW(DA_SAP!$F$3:$F$423)-2)/(DA_SAP!$F$3:$F$423=$A$317)*($A$317&lt;&gt;""),ROW()-319)+2)),"")</f>
        <v>Code article</v>
      </c>
      <c r="B327" s="125" t="str">
        <f>IFERROR(INDEX(DA_SAP!$B:$B,(_xlfn.AGGREGATE(15,6,(ROW(DA_SAP!$F$3:$F$423)-2)/(DA_SAP!$F$3:$F$423=$A$317)*($A$317&lt;&gt;""),ROW()-319)+2)),"")</f>
        <v>Désignation</v>
      </c>
      <c r="C327" s="125" t="str">
        <f>IFERROR(INDEX(DA_SAP!$C:$C,(_xlfn.AGGREGATE(15,6,(ROW(DA_SAP!$F$3:$F$423)-2)/(DA_SAP!$F$3:$F$423=$A$317)*($A$317&lt;&gt;""),ROW()-319)+2)),"")</f>
        <v>Quantité totale</v>
      </c>
      <c r="D327" s="125" t="str">
        <f>IFERROR(INDEX(DA_SAP!$D:$D,(_xlfn.AGGREGATE(15,6,(ROW(DA_SAP!$F$3:$F$423)-2)/(DA_SAP!$F$3:$F$423=$A$317)*($A$317&lt;&gt;""),ROW()-319)+2)),"")</f>
        <v>Unité</v>
      </c>
      <c r="E327" s="125" t="str">
        <f>IFERROR(INDEX(DA_SAP!$E:$E,(_xlfn.AGGREGATE(15,6,(ROW(DA_SAP!$F$3:$F$423)-2)/(DA_SAP!$F$3:$F$423=$A$317)*($A$317&lt;&gt;""),ROW()-319)+2)),"")</f>
        <v>Date de livraison</v>
      </c>
    </row>
    <row r="328" spans="1:5" x14ac:dyDescent="0.25">
      <c r="A328" s="125" t="str">
        <f>IFERROR(INDEX(DA_SAP!$A:$A,(_xlfn.AGGREGATE(15,6,(ROW(DA_SAP!$F$3:$F$423)-2)/(DA_SAP!$F$3:$F$423=$A$317)*($A$317&lt;&gt;""),ROW()-319)+2)),"")</f>
        <v>Code article</v>
      </c>
      <c r="B328" s="125" t="str">
        <f>IFERROR(INDEX(DA_SAP!$B:$B,(_xlfn.AGGREGATE(15,6,(ROW(DA_SAP!$F$3:$F$423)-2)/(DA_SAP!$F$3:$F$423=$A$317)*($A$317&lt;&gt;""),ROW()-319)+2)),"")</f>
        <v>Désignation</v>
      </c>
      <c r="C328" s="125" t="str">
        <f>IFERROR(INDEX(DA_SAP!$C:$C,(_xlfn.AGGREGATE(15,6,(ROW(DA_SAP!$F$3:$F$423)-2)/(DA_SAP!$F$3:$F$423=$A$317)*($A$317&lt;&gt;""),ROW()-319)+2)),"")</f>
        <v>Quantité totale</v>
      </c>
      <c r="D328" s="125" t="str">
        <f>IFERROR(INDEX(DA_SAP!$D:$D,(_xlfn.AGGREGATE(15,6,(ROW(DA_SAP!$F$3:$F$423)-2)/(DA_SAP!$F$3:$F$423=$A$317)*($A$317&lt;&gt;""),ROW()-319)+2)),"")</f>
        <v>Unité</v>
      </c>
      <c r="E328" s="125" t="str">
        <f>IFERROR(INDEX(DA_SAP!$E:$E,(_xlfn.AGGREGATE(15,6,(ROW(DA_SAP!$F$3:$F$423)-2)/(DA_SAP!$F$3:$F$423=$A$317)*($A$317&lt;&gt;""),ROW()-319)+2)),"")</f>
        <v>Date de livraison</v>
      </c>
    </row>
    <row r="329" spans="1:5" x14ac:dyDescent="0.25">
      <c r="A329" s="125" t="str">
        <f>IFERROR(INDEX(DA_SAP!$A:$A,(_xlfn.AGGREGATE(15,6,(ROW(DA_SAP!$F$3:$F$423)-2)/(DA_SAP!$F$3:$F$423=$A$317)*($A$317&lt;&gt;""),ROW()-319)+2)),"")</f>
        <v>Code article</v>
      </c>
      <c r="B329" s="125" t="str">
        <f>IFERROR(INDEX(DA_SAP!$B:$B,(_xlfn.AGGREGATE(15,6,(ROW(DA_SAP!$F$3:$F$423)-2)/(DA_SAP!$F$3:$F$423=$A$317)*($A$317&lt;&gt;""),ROW()-319)+2)),"")</f>
        <v>Désignation</v>
      </c>
      <c r="C329" s="125" t="str">
        <f>IFERROR(INDEX(DA_SAP!$C:$C,(_xlfn.AGGREGATE(15,6,(ROW(DA_SAP!$F$3:$F$423)-2)/(DA_SAP!$F$3:$F$423=$A$317)*($A$317&lt;&gt;""),ROW()-319)+2)),"")</f>
        <v>Quantité totale</v>
      </c>
      <c r="D329" s="125" t="str">
        <f>IFERROR(INDEX(DA_SAP!$D:$D,(_xlfn.AGGREGATE(15,6,(ROW(DA_SAP!$F$3:$F$423)-2)/(DA_SAP!$F$3:$F$423=$A$317)*($A$317&lt;&gt;""),ROW()-319)+2)),"")</f>
        <v>Unité</v>
      </c>
      <c r="E329" s="125" t="str">
        <f>IFERROR(INDEX(DA_SAP!$E:$E,(_xlfn.AGGREGATE(15,6,(ROW(DA_SAP!$F$3:$F$423)-2)/(DA_SAP!$F$3:$F$423=$A$317)*($A$317&lt;&gt;""),ROW()-319)+2)),"")</f>
        <v>Date de livraison</v>
      </c>
    </row>
    <row r="330" spans="1:5" x14ac:dyDescent="0.25">
      <c r="A330" s="125" t="str">
        <f>IFERROR(INDEX(DA_SAP!$A:$A,(_xlfn.AGGREGATE(15,6,(ROW(DA_SAP!$F$3:$F$423)-2)/(DA_SAP!$F$3:$F$423=$A$317)*($A$317&lt;&gt;""),ROW()-319)+2)),"")</f>
        <v>Code article</v>
      </c>
      <c r="B330" s="125" t="str">
        <f>IFERROR(INDEX(DA_SAP!$B:$B,(_xlfn.AGGREGATE(15,6,(ROW(DA_SAP!$F$3:$F$423)-2)/(DA_SAP!$F$3:$F$423=$A$317)*($A$317&lt;&gt;""),ROW()-319)+2)),"")</f>
        <v>Désignation</v>
      </c>
      <c r="C330" s="125" t="str">
        <f>IFERROR(INDEX(DA_SAP!$C:$C,(_xlfn.AGGREGATE(15,6,(ROW(DA_SAP!$F$3:$F$423)-2)/(DA_SAP!$F$3:$F$423=$A$317)*($A$317&lt;&gt;""),ROW()-319)+2)),"")</f>
        <v>Quantité totale</v>
      </c>
      <c r="D330" s="125" t="str">
        <f>IFERROR(INDEX(DA_SAP!$D:$D,(_xlfn.AGGREGATE(15,6,(ROW(DA_SAP!$F$3:$F$423)-2)/(DA_SAP!$F$3:$F$423=$A$317)*($A$317&lt;&gt;""),ROW()-319)+2)),"")</f>
        <v>Unité</v>
      </c>
      <c r="E330" s="125" t="str">
        <f>IFERROR(INDEX(DA_SAP!$E:$E,(_xlfn.AGGREGATE(15,6,(ROW(DA_SAP!$F$3:$F$423)-2)/(DA_SAP!$F$3:$F$423=$A$317)*($A$317&lt;&gt;""),ROW()-319)+2)),"")</f>
        <v>Date de livraison</v>
      </c>
    </row>
    <row r="331" spans="1:5" x14ac:dyDescent="0.25">
      <c r="A331" s="125" t="str">
        <f>IFERROR(INDEX(DA_SAP!$A:$A,(_xlfn.AGGREGATE(15,6,(ROW(DA_SAP!$F$3:$F$423)-2)/(DA_SAP!$F$3:$F$423=$A$317)*($A$317&lt;&gt;""),ROW()-319)+2)),"")</f>
        <v>Code article</v>
      </c>
      <c r="B331" s="125" t="str">
        <f>IFERROR(INDEX(DA_SAP!$B:$B,(_xlfn.AGGREGATE(15,6,(ROW(DA_SAP!$F$3:$F$423)-2)/(DA_SAP!$F$3:$F$423=$A$317)*($A$317&lt;&gt;""),ROW()-319)+2)),"")</f>
        <v>Désignation</v>
      </c>
      <c r="C331" s="125" t="str">
        <f>IFERROR(INDEX(DA_SAP!$C:$C,(_xlfn.AGGREGATE(15,6,(ROW(DA_SAP!$F$3:$F$423)-2)/(DA_SAP!$F$3:$F$423=$A$317)*($A$317&lt;&gt;""),ROW()-319)+2)),"")</f>
        <v>Quantité totale</v>
      </c>
      <c r="D331" s="125" t="str">
        <f>IFERROR(INDEX(DA_SAP!$D:$D,(_xlfn.AGGREGATE(15,6,(ROW(DA_SAP!$F$3:$F$423)-2)/(DA_SAP!$F$3:$F$423=$A$317)*($A$317&lt;&gt;""),ROW()-319)+2)),"")</f>
        <v>Unité</v>
      </c>
      <c r="E331" s="125" t="str">
        <f>IFERROR(INDEX(DA_SAP!$E:$E,(_xlfn.AGGREGATE(15,6,(ROW(DA_SAP!$F$3:$F$423)-2)/(DA_SAP!$F$3:$F$423=$A$317)*($A$317&lt;&gt;""),ROW()-319)+2)),"")</f>
        <v>Date de livraison</v>
      </c>
    </row>
    <row r="332" spans="1:5" x14ac:dyDescent="0.25">
      <c r="A332" s="125" t="str">
        <f>IFERROR(INDEX(DA_SAP!$A:$A,(_xlfn.AGGREGATE(15,6,(ROW(DA_SAP!$F$3:$F$423)-2)/(DA_SAP!$F$3:$F$423=$A$317)*($A$317&lt;&gt;""),ROW()-319)+2)),"")</f>
        <v>Code article</v>
      </c>
      <c r="B332" s="125" t="str">
        <f>IFERROR(INDEX(DA_SAP!$B:$B,(_xlfn.AGGREGATE(15,6,(ROW(DA_SAP!$F$3:$F$423)-2)/(DA_SAP!$F$3:$F$423=$A$317)*($A$317&lt;&gt;""),ROW()-319)+2)),"")</f>
        <v>Désignation</v>
      </c>
      <c r="C332" s="125" t="str">
        <f>IFERROR(INDEX(DA_SAP!$C:$C,(_xlfn.AGGREGATE(15,6,(ROW(DA_SAP!$F$3:$F$423)-2)/(DA_SAP!$F$3:$F$423=$A$317)*($A$317&lt;&gt;""),ROW()-319)+2)),"")</f>
        <v>Quantité totale</v>
      </c>
      <c r="D332" s="125" t="str">
        <f>IFERROR(INDEX(DA_SAP!$D:$D,(_xlfn.AGGREGATE(15,6,(ROW(DA_SAP!$F$3:$F$423)-2)/(DA_SAP!$F$3:$F$423=$A$317)*($A$317&lt;&gt;""),ROW()-319)+2)),"")</f>
        <v>Unité</v>
      </c>
      <c r="E332" s="125" t="str">
        <f>IFERROR(INDEX(DA_SAP!$E:$E,(_xlfn.AGGREGATE(15,6,(ROW(DA_SAP!$F$3:$F$423)-2)/(DA_SAP!$F$3:$F$423=$A$317)*($A$317&lt;&gt;""),ROW()-319)+2)),"")</f>
        <v>Date de livraison</v>
      </c>
    </row>
    <row r="333" spans="1:5" x14ac:dyDescent="0.25">
      <c r="A333" s="125" t="str">
        <f>IFERROR(INDEX(DA_SAP!$A:$A,(_xlfn.AGGREGATE(15,6,(ROW(DA_SAP!$F$3:$F$423)-2)/(DA_SAP!$F$3:$F$423=$A$317)*($A$317&lt;&gt;""),ROW()-319)+2)),"")</f>
        <v>Code article</v>
      </c>
      <c r="B333" s="125" t="str">
        <f>IFERROR(INDEX(DA_SAP!$B:$B,(_xlfn.AGGREGATE(15,6,(ROW(DA_SAP!$F$3:$F$423)-2)/(DA_SAP!$F$3:$F$423=$A$317)*($A$317&lt;&gt;""),ROW()-319)+2)),"")</f>
        <v>Désignation</v>
      </c>
      <c r="C333" s="125" t="str">
        <f>IFERROR(INDEX(DA_SAP!$C:$C,(_xlfn.AGGREGATE(15,6,(ROW(DA_SAP!$F$3:$F$423)-2)/(DA_SAP!$F$3:$F$423=$A$317)*($A$317&lt;&gt;""),ROW()-319)+2)),"")</f>
        <v>Quantité totale</v>
      </c>
      <c r="D333" s="125" t="str">
        <f>IFERROR(INDEX(DA_SAP!$D:$D,(_xlfn.AGGREGATE(15,6,(ROW(DA_SAP!$F$3:$F$423)-2)/(DA_SAP!$F$3:$F$423=$A$317)*($A$317&lt;&gt;""),ROW()-319)+2)),"")</f>
        <v>Unité</v>
      </c>
      <c r="E333" s="125" t="str">
        <f>IFERROR(INDEX(DA_SAP!$E:$E,(_xlfn.AGGREGATE(15,6,(ROW(DA_SAP!$F$3:$F$423)-2)/(DA_SAP!$F$3:$F$423=$A$317)*($A$317&lt;&gt;""),ROW()-319)+2)),"")</f>
        <v>Date de livraison</v>
      </c>
    </row>
    <row r="334" spans="1:5" x14ac:dyDescent="0.25">
      <c r="A334" s="125" t="str">
        <f>IFERROR(INDEX(DA_SAP!$A:$A,(_xlfn.AGGREGATE(15,6,(ROW(DA_SAP!$F$3:$F$423)-2)/(DA_SAP!$F$3:$F$423=$A$317)*($A$317&lt;&gt;""),ROW()-319)+2)),"")</f>
        <v>Code article</v>
      </c>
      <c r="B334" s="125" t="str">
        <f>IFERROR(INDEX(DA_SAP!$B:$B,(_xlfn.AGGREGATE(15,6,(ROW(DA_SAP!$F$3:$F$423)-2)/(DA_SAP!$F$3:$F$423=$A$317)*($A$317&lt;&gt;""),ROW()-319)+2)),"")</f>
        <v>Désignation</v>
      </c>
      <c r="C334" s="125" t="str">
        <f>IFERROR(INDEX(DA_SAP!$C:$C,(_xlfn.AGGREGATE(15,6,(ROW(DA_SAP!$F$3:$F$423)-2)/(DA_SAP!$F$3:$F$423=$A$317)*($A$317&lt;&gt;""),ROW()-319)+2)),"")</f>
        <v>Quantité totale</v>
      </c>
      <c r="D334" s="125" t="str">
        <f>IFERROR(INDEX(DA_SAP!$D:$D,(_xlfn.AGGREGATE(15,6,(ROW(DA_SAP!$F$3:$F$423)-2)/(DA_SAP!$F$3:$F$423=$A$317)*($A$317&lt;&gt;""),ROW()-319)+2)),"")</f>
        <v>Unité</v>
      </c>
      <c r="E334" s="125" t="str">
        <f>IFERROR(INDEX(DA_SAP!$E:$E,(_xlfn.AGGREGATE(15,6,(ROW(DA_SAP!$F$3:$F$423)-2)/(DA_SAP!$F$3:$F$423=$A$317)*($A$317&lt;&gt;""),ROW()-319)+2)),"")</f>
        <v>Date de livraison</v>
      </c>
    </row>
    <row r="335" spans="1:5" x14ac:dyDescent="0.25">
      <c r="A335" s="125" t="str">
        <f>IFERROR(INDEX(DA_SAP!$A:$A,(_xlfn.AGGREGATE(15,6,(ROW(DA_SAP!$F$3:$F$423)-2)/(DA_SAP!$F$3:$F$423=$A$317)*($A$317&lt;&gt;""),ROW()-319)+2)),"")</f>
        <v>Code article</v>
      </c>
      <c r="B335" s="125" t="str">
        <f>IFERROR(INDEX(DA_SAP!$B:$B,(_xlfn.AGGREGATE(15,6,(ROW(DA_SAP!$F$3:$F$423)-2)/(DA_SAP!$F$3:$F$423=$A$317)*($A$317&lt;&gt;""),ROW()-319)+2)),"")</f>
        <v>Désignation</v>
      </c>
      <c r="C335" s="125" t="str">
        <f>IFERROR(INDEX(DA_SAP!$C:$C,(_xlfn.AGGREGATE(15,6,(ROW(DA_SAP!$F$3:$F$423)-2)/(DA_SAP!$F$3:$F$423=$A$317)*($A$317&lt;&gt;""),ROW()-319)+2)),"")</f>
        <v>Quantité totale</v>
      </c>
      <c r="D335" s="125" t="str">
        <f>IFERROR(INDEX(DA_SAP!$D:$D,(_xlfn.AGGREGATE(15,6,(ROW(DA_SAP!$F$3:$F$423)-2)/(DA_SAP!$F$3:$F$423=$A$317)*($A$317&lt;&gt;""),ROW()-319)+2)),"")</f>
        <v>Unité</v>
      </c>
      <c r="E335" s="125" t="str">
        <f>IFERROR(INDEX(DA_SAP!$E:$E,(_xlfn.AGGREGATE(15,6,(ROW(DA_SAP!$F$3:$F$423)-2)/(DA_SAP!$F$3:$F$423=$A$317)*($A$317&lt;&gt;""),ROW()-319)+2)),"")</f>
        <v>Date de livraison</v>
      </c>
    </row>
    <row r="336" spans="1:5" x14ac:dyDescent="0.25">
      <c r="A336" s="125" t="str">
        <f>IFERROR(INDEX(DA_SAP!$A:$A,(_xlfn.AGGREGATE(15,6,(ROW(DA_SAP!$F$3:$F$423)-2)/(DA_SAP!$F$3:$F$423=$A$317)*($A$317&lt;&gt;""),ROW()-319)+2)),"")</f>
        <v>Code article</v>
      </c>
      <c r="B336" s="125" t="str">
        <f>IFERROR(INDEX(DA_SAP!$B:$B,(_xlfn.AGGREGATE(15,6,(ROW(DA_SAP!$F$3:$F$423)-2)/(DA_SAP!$F$3:$F$423=$A$317)*($A$317&lt;&gt;""),ROW()-319)+2)),"")</f>
        <v>Désignation</v>
      </c>
      <c r="C336" s="125" t="str">
        <f>IFERROR(INDEX(DA_SAP!$C:$C,(_xlfn.AGGREGATE(15,6,(ROW(DA_SAP!$F$3:$F$423)-2)/(DA_SAP!$F$3:$F$423=$A$317)*($A$317&lt;&gt;""),ROW()-319)+2)),"")</f>
        <v>Quantité totale</v>
      </c>
      <c r="D336" s="125" t="str">
        <f>IFERROR(INDEX(DA_SAP!$D:$D,(_xlfn.AGGREGATE(15,6,(ROW(DA_SAP!$F$3:$F$423)-2)/(DA_SAP!$F$3:$F$423=$A$317)*($A$317&lt;&gt;""),ROW()-319)+2)),"")</f>
        <v>Unité</v>
      </c>
      <c r="E336" s="125" t="str">
        <f>IFERROR(INDEX(DA_SAP!$E:$E,(_xlfn.AGGREGATE(15,6,(ROW(DA_SAP!$F$3:$F$423)-2)/(DA_SAP!$F$3:$F$423=$A$317)*($A$317&lt;&gt;""),ROW()-319)+2)),"")</f>
        <v>Date de livraison</v>
      </c>
    </row>
    <row r="337" spans="1:5" x14ac:dyDescent="0.25">
      <c r="A337" s="125" t="str">
        <f>IFERROR(INDEX(DA_SAP!$A:$A,(_xlfn.AGGREGATE(15,6,(ROW(DA_SAP!$F$3:$F$423)-2)/(DA_SAP!$F$3:$F$423=$A$317)*($A$317&lt;&gt;""),ROW()-319)+2)),"")</f>
        <v>Code article</v>
      </c>
      <c r="B337" s="125" t="str">
        <f>IFERROR(INDEX(DA_SAP!$B:$B,(_xlfn.AGGREGATE(15,6,(ROW(DA_SAP!$F$3:$F$423)-2)/(DA_SAP!$F$3:$F$423=$A$317)*($A$317&lt;&gt;""),ROW()-319)+2)),"")</f>
        <v>Désignation</v>
      </c>
      <c r="C337" s="125" t="str">
        <f>IFERROR(INDEX(DA_SAP!$C:$C,(_xlfn.AGGREGATE(15,6,(ROW(DA_SAP!$F$3:$F$423)-2)/(DA_SAP!$F$3:$F$423=$A$317)*($A$317&lt;&gt;""),ROW()-319)+2)),"")</f>
        <v>Quantité totale</v>
      </c>
      <c r="D337" s="125" t="str">
        <f>IFERROR(INDEX(DA_SAP!$D:$D,(_xlfn.AGGREGATE(15,6,(ROW(DA_SAP!$F$3:$F$423)-2)/(DA_SAP!$F$3:$F$423=$A$317)*($A$317&lt;&gt;""),ROW()-319)+2)),"")</f>
        <v>Unité</v>
      </c>
      <c r="E337" s="125" t="str">
        <f>IFERROR(INDEX(DA_SAP!$E:$E,(_xlfn.AGGREGATE(15,6,(ROW(DA_SAP!$F$3:$F$423)-2)/(DA_SAP!$F$3:$F$423=$A$317)*($A$317&lt;&gt;""),ROW()-319)+2)),"")</f>
        <v>Date de livraison</v>
      </c>
    </row>
    <row r="338" spans="1:5" x14ac:dyDescent="0.25">
      <c r="A338" s="125" t="str">
        <f>IFERROR(INDEX(DA_SAP!$A:$A,(_xlfn.AGGREGATE(15,6,(ROW(DA_SAP!$F$3:$F$423)-2)/(DA_SAP!$F$3:$F$423=$A$317)*($A$317&lt;&gt;""),ROW()-319)+2)),"")</f>
        <v>Code article</v>
      </c>
      <c r="B338" s="125" t="str">
        <f>IFERROR(INDEX(DA_SAP!$B:$B,(_xlfn.AGGREGATE(15,6,(ROW(DA_SAP!$F$3:$F$423)-2)/(DA_SAP!$F$3:$F$423=$A$317)*($A$317&lt;&gt;""),ROW()-319)+2)),"")</f>
        <v>Désignation</v>
      </c>
      <c r="C338" s="125" t="str">
        <f>IFERROR(INDEX(DA_SAP!$C:$C,(_xlfn.AGGREGATE(15,6,(ROW(DA_SAP!$F$3:$F$423)-2)/(DA_SAP!$F$3:$F$423=$A$317)*($A$317&lt;&gt;""),ROW()-319)+2)),"")</f>
        <v>Quantité totale</v>
      </c>
      <c r="D338" s="125" t="str">
        <f>IFERROR(INDEX(DA_SAP!$D:$D,(_xlfn.AGGREGATE(15,6,(ROW(DA_SAP!$F$3:$F$423)-2)/(DA_SAP!$F$3:$F$423=$A$317)*($A$317&lt;&gt;""),ROW()-319)+2)),"")</f>
        <v>Unité</v>
      </c>
      <c r="E338" s="125" t="str">
        <f>IFERROR(INDEX(DA_SAP!$E:$E,(_xlfn.AGGREGATE(15,6,(ROW(DA_SAP!$F$3:$F$423)-2)/(DA_SAP!$F$3:$F$423=$A$317)*($A$317&lt;&gt;""),ROW()-319)+2)),"")</f>
        <v>Date de livraison</v>
      </c>
    </row>
    <row r="339" spans="1:5" x14ac:dyDescent="0.25">
      <c r="A339" s="125" t="str">
        <f>IFERROR(INDEX(DA_SAP!$A:$A,(_xlfn.AGGREGATE(15,6,(ROW(DA_SAP!$F$3:$F$423)-2)/(DA_SAP!$F$3:$F$423=$A$317)*($A$317&lt;&gt;""),ROW()-319)+2)),"")</f>
        <v>Code article</v>
      </c>
      <c r="B339" s="125" t="str">
        <f>IFERROR(INDEX(DA_SAP!$B:$B,(_xlfn.AGGREGATE(15,6,(ROW(DA_SAP!$F$3:$F$423)-2)/(DA_SAP!$F$3:$F$423=$A$317)*($A$317&lt;&gt;""),ROW()-319)+2)),"")</f>
        <v>Désignation</v>
      </c>
      <c r="C339" s="125" t="str">
        <f>IFERROR(INDEX(DA_SAP!$C:$C,(_xlfn.AGGREGATE(15,6,(ROW(DA_SAP!$F$3:$F$423)-2)/(DA_SAP!$F$3:$F$423=$A$317)*($A$317&lt;&gt;""),ROW()-319)+2)),"")</f>
        <v>Quantité totale</v>
      </c>
      <c r="D339" s="125" t="str">
        <f>IFERROR(INDEX(DA_SAP!$D:$D,(_xlfn.AGGREGATE(15,6,(ROW(DA_SAP!$F$3:$F$423)-2)/(DA_SAP!$F$3:$F$423=$A$317)*($A$317&lt;&gt;""),ROW()-319)+2)),"")</f>
        <v>Unité</v>
      </c>
      <c r="E339" s="125" t="str">
        <f>IFERROR(INDEX(DA_SAP!$E:$E,(_xlfn.AGGREGATE(15,6,(ROW(DA_SAP!$F$3:$F$423)-2)/(DA_SAP!$F$3:$F$423=$A$317)*($A$317&lt;&gt;""),ROW()-319)+2)),"")</f>
        <v>Date de livraison</v>
      </c>
    </row>
    <row r="340" spans="1:5" x14ac:dyDescent="0.25">
      <c r="A340" s="125" t="str">
        <f>IFERROR(INDEX(DA_SAP!$A:$A,(_xlfn.AGGREGATE(15,6,(ROW(DA_SAP!$F$3:$F$423)-2)/(DA_SAP!$F$3:$F$423=$A$317)*($A$317&lt;&gt;""),ROW()-319)+2)),"")</f>
        <v>Code article</v>
      </c>
      <c r="B340" s="125" t="str">
        <f>IFERROR(INDEX(DA_SAP!$B:$B,(_xlfn.AGGREGATE(15,6,(ROW(DA_SAP!$F$3:$F$423)-2)/(DA_SAP!$F$3:$F$423=$A$317)*($A$317&lt;&gt;""),ROW()-319)+2)),"")</f>
        <v>Désignation</v>
      </c>
      <c r="C340" s="125" t="str">
        <f>IFERROR(INDEX(DA_SAP!$C:$C,(_xlfn.AGGREGATE(15,6,(ROW(DA_SAP!$F$3:$F$423)-2)/(DA_SAP!$F$3:$F$423=$A$317)*($A$317&lt;&gt;""),ROW()-319)+2)),"")</f>
        <v>Quantité totale</v>
      </c>
      <c r="D340" s="125" t="str">
        <f>IFERROR(INDEX(DA_SAP!$D:$D,(_xlfn.AGGREGATE(15,6,(ROW(DA_SAP!$F$3:$F$423)-2)/(DA_SAP!$F$3:$F$423=$A$317)*($A$317&lt;&gt;""),ROW()-319)+2)),"")</f>
        <v>Unité</v>
      </c>
      <c r="E340" s="125" t="str">
        <f>IFERROR(INDEX(DA_SAP!$E:$E,(_xlfn.AGGREGATE(15,6,(ROW(DA_SAP!$F$3:$F$423)-2)/(DA_SAP!$F$3:$F$423=$A$317)*($A$317&lt;&gt;""),ROW()-319)+2)),"")</f>
        <v>Date de livraison</v>
      </c>
    </row>
    <row r="341" spans="1:5" x14ac:dyDescent="0.25">
      <c r="A341" s="125" t="str">
        <f>IFERROR(INDEX(DA_SAP!$A:$A,(_xlfn.AGGREGATE(15,6,(ROW(DA_SAP!$F$3:$F$423)-2)/(DA_SAP!$F$3:$F$423=$A$317)*($A$317&lt;&gt;""),ROW()-319)+2)),"")</f>
        <v>Code article</v>
      </c>
      <c r="B341" s="125" t="str">
        <f>IFERROR(INDEX(DA_SAP!$B:$B,(_xlfn.AGGREGATE(15,6,(ROW(DA_SAP!$F$3:$F$423)-2)/(DA_SAP!$F$3:$F$423=$A$317)*($A$317&lt;&gt;""),ROW()-319)+2)),"")</f>
        <v>Désignation</v>
      </c>
      <c r="C341" s="125" t="str">
        <f>IFERROR(INDEX(DA_SAP!$C:$C,(_xlfn.AGGREGATE(15,6,(ROW(DA_SAP!$F$3:$F$423)-2)/(DA_SAP!$F$3:$F$423=$A$317)*($A$317&lt;&gt;""),ROW()-319)+2)),"")</f>
        <v>Quantité totale</v>
      </c>
      <c r="D341" s="125" t="str">
        <f>IFERROR(INDEX(DA_SAP!$D:$D,(_xlfn.AGGREGATE(15,6,(ROW(DA_SAP!$F$3:$F$423)-2)/(DA_SAP!$F$3:$F$423=$A$317)*($A$317&lt;&gt;""),ROW()-319)+2)),"")</f>
        <v>Unité</v>
      </c>
      <c r="E341" s="125" t="str">
        <f>IFERROR(INDEX(DA_SAP!$E:$E,(_xlfn.AGGREGATE(15,6,(ROW(DA_SAP!$F$3:$F$423)-2)/(DA_SAP!$F$3:$F$423=$A$317)*($A$317&lt;&gt;""),ROW()-319)+2)),"")</f>
        <v>Date de livraison</v>
      </c>
    </row>
    <row r="342" spans="1:5" x14ac:dyDescent="0.25">
      <c r="A342" s="125" t="str">
        <f>IFERROR(INDEX(DA_SAP!$A:$A,(_xlfn.AGGREGATE(15,6,(ROW(DA_SAP!$F$3:$F$423)-2)/(DA_SAP!$F$3:$F$423=$A$317)*($A$317&lt;&gt;""),ROW()-319)+2)),"")</f>
        <v>Code article</v>
      </c>
      <c r="B342" s="125" t="str">
        <f>IFERROR(INDEX(DA_SAP!$B:$B,(_xlfn.AGGREGATE(15,6,(ROW(DA_SAP!$F$3:$F$423)-2)/(DA_SAP!$F$3:$F$423=$A$317)*($A$317&lt;&gt;""),ROW()-319)+2)),"")</f>
        <v>Désignation</v>
      </c>
      <c r="C342" s="125" t="str">
        <f>IFERROR(INDEX(DA_SAP!$C:$C,(_xlfn.AGGREGATE(15,6,(ROW(DA_SAP!$F$3:$F$423)-2)/(DA_SAP!$F$3:$F$423=$A$317)*($A$317&lt;&gt;""),ROW()-319)+2)),"")</f>
        <v>Quantité totale</v>
      </c>
      <c r="D342" s="125" t="str">
        <f>IFERROR(INDEX(DA_SAP!$D:$D,(_xlfn.AGGREGATE(15,6,(ROW(DA_SAP!$F$3:$F$423)-2)/(DA_SAP!$F$3:$F$423=$A$317)*($A$317&lt;&gt;""),ROW()-319)+2)),"")</f>
        <v>Unité</v>
      </c>
      <c r="E342" s="125" t="str">
        <f>IFERROR(INDEX(DA_SAP!$E:$E,(_xlfn.AGGREGATE(15,6,(ROW(DA_SAP!$F$3:$F$423)-2)/(DA_SAP!$F$3:$F$423=$A$317)*($A$317&lt;&gt;""),ROW()-319)+2)),"")</f>
        <v>Date de livraison</v>
      </c>
    </row>
    <row r="343" spans="1:5" x14ac:dyDescent="0.25">
      <c r="A343" s="125" t="str">
        <f>IFERROR(INDEX(DA_SAP!$A:$A,(_xlfn.AGGREGATE(15,6,(ROW(DA_SAP!$F$3:$F$423)-2)/(DA_SAP!$F$3:$F$423=$A$317)*($A$317&lt;&gt;""),ROW()-319)+2)),"")</f>
        <v>Code article</v>
      </c>
      <c r="B343" s="125" t="str">
        <f>IFERROR(INDEX(DA_SAP!$B:$B,(_xlfn.AGGREGATE(15,6,(ROW(DA_SAP!$F$3:$F$423)-2)/(DA_SAP!$F$3:$F$423=$A$317)*($A$317&lt;&gt;""),ROW()-319)+2)),"")</f>
        <v>Désignation</v>
      </c>
      <c r="C343" s="125" t="str">
        <f>IFERROR(INDEX(DA_SAP!$C:$C,(_xlfn.AGGREGATE(15,6,(ROW(DA_SAP!$F$3:$F$423)-2)/(DA_SAP!$F$3:$F$423=$A$317)*($A$317&lt;&gt;""),ROW()-319)+2)),"")</f>
        <v>Quantité totale</v>
      </c>
      <c r="D343" s="125" t="str">
        <f>IFERROR(INDEX(DA_SAP!$D:$D,(_xlfn.AGGREGATE(15,6,(ROW(DA_SAP!$F$3:$F$423)-2)/(DA_SAP!$F$3:$F$423=$A$317)*($A$317&lt;&gt;""),ROW()-319)+2)),"")</f>
        <v>Unité</v>
      </c>
      <c r="E343" s="125" t="str">
        <f>IFERROR(INDEX(DA_SAP!$E:$E,(_xlfn.AGGREGATE(15,6,(ROW(DA_SAP!$F$3:$F$423)-2)/(DA_SAP!$F$3:$F$423=$A$317)*($A$317&lt;&gt;""),ROW()-319)+2)),"")</f>
        <v>Date de livraison</v>
      </c>
    </row>
    <row r="344" spans="1:5" x14ac:dyDescent="0.25">
      <c r="A344" s="125" t="str">
        <f>IFERROR(INDEX(DA_SAP!$A:$A,(_xlfn.AGGREGATE(15,6,(ROW(DA_SAP!$F$3:$F$423)-2)/(DA_SAP!$F$3:$F$423=$A$317)*($A$317&lt;&gt;""),ROW()-319)+2)),"")</f>
        <v>Code article</v>
      </c>
      <c r="B344" s="125" t="str">
        <f>IFERROR(INDEX(DA_SAP!$B:$B,(_xlfn.AGGREGATE(15,6,(ROW(DA_SAP!$F$3:$F$423)-2)/(DA_SAP!$F$3:$F$423=$A$317)*($A$317&lt;&gt;""),ROW()-319)+2)),"")</f>
        <v>Désignation</v>
      </c>
      <c r="C344" s="125" t="str">
        <f>IFERROR(INDEX(DA_SAP!$C:$C,(_xlfn.AGGREGATE(15,6,(ROW(DA_SAP!$F$3:$F$423)-2)/(DA_SAP!$F$3:$F$423=$A$317)*($A$317&lt;&gt;""),ROW()-319)+2)),"")</f>
        <v>Quantité totale</v>
      </c>
      <c r="D344" s="125" t="str">
        <f>IFERROR(INDEX(DA_SAP!$D:$D,(_xlfn.AGGREGATE(15,6,(ROW(DA_SAP!$F$3:$F$423)-2)/(DA_SAP!$F$3:$F$423=$A$317)*($A$317&lt;&gt;""),ROW()-319)+2)),"")</f>
        <v>Unité</v>
      </c>
      <c r="E344" s="125" t="str">
        <f>IFERROR(INDEX(DA_SAP!$E:$E,(_xlfn.AGGREGATE(15,6,(ROW(DA_SAP!$F$3:$F$423)-2)/(DA_SAP!$F$3:$F$423=$A$317)*($A$317&lt;&gt;""),ROW()-319)+2)),"")</f>
        <v>Date de livraison</v>
      </c>
    </row>
    <row r="345" spans="1:5" x14ac:dyDescent="0.25">
      <c r="A345" s="125" t="str">
        <f>IFERROR(INDEX(DA_SAP!$A:$A,(_xlfn.AGGREGATE(15,6,(ROW(DA_SAP!$F$3:$F$423)-2)/(DA_SAP!$F$3:$F$423=$A$317)*($A$317&lt;&gt;""),ROW()-319)+2)),"")</f>
        <v>Code article</v>
      </c>
      <c r="B345" s="125" t="str">
        <f>IFERROR(INDEX(DA_SAP!$B:$B,(_xlfn.AGGREGATE(15,6,(ROW(DA_SAP!$F$3:$F$423)-2)/(DA_SAP!$F$3:$F$423=$A$317)*($A$317&lt;&gt;""),ROW()-319)+2)),"")</f>
        <v>Désignation</v>
      </c>
      <c r="C345" s="125" t="str">
        <f>IFERROR(INDEX(DA_SAP!$C:$C,(_xlfn.AGGREGATE(15,6,(ROW(DA_SAP!$F$3:$F$423)-2)/(DA_SAP!$F$3:$F$423=$A$317)*($A$317&lt;&gt;""),ROW()-319)+2)),"")</f>
        <v>Quantité totale</v>
      </c>
      <c r="D345" s="125" t="str">
        <f>IFERROR(INDEX(DA_SAP!$D:$D,(_xlfn.AGGREGATE(15,6,(ROW(DA_SAP!$F$3:$F$423)-2)/(DA_SAP!$F$3:$F$423=$A$317)*($A$317&lt;&gt;""),ROW()-319)+2)),"")</f>
        <v>Unité</v>
      </c>
      <c r="E345" s="125" t="str">
        <f>IFERROR(INDEX(DA_SAP!$E:$E,(_xlfn.AGGREGATE(15,6,(ROW(DA_SAP!$F$3:$F$423)-2)/(DA_SAP!$F$3:$F$423=$A$317)*($A$317&lt;&gt;""),ROW()-319)+2)),"")</f>
        <v>Date de livraison</v>
      </c>
    </row>
    <row r="346" spans="1:5" x14ac:dyDescent="0.25">
      <c r="A346" s="125" t="str">
        <f>IFERROR(INDEX(DA_SAP!$A:$A,(_xlfn.AGGREGATE(15,6,(ROW(DA_SAP!$F$3:$F$423)-2)/(DA_SAP!$F$3:$F$423=$A$317)*($A$317&lt;&gt;""),ROW()-319)+2)),"")</f>
        <v>Code article</v>
      </c>
      <c r="B346" s="125" t="str">
        <f>IFERROR(INDEX(DA_SAP!$B:$B,(_xlfn.AGGREGATE(15,6,(ROW(DA_SAP!$F$3:$F$423)-2)/(DA_SAP!$F$3:$F$423=$A$317)*($A$317&lt;&gt;""),ROW()-319)+2)),"")</f>
        <v>Désignation</v>
      </c>
      <c r="C346" s="125" t="str">
        <f>IFERROR(INDEX(DA_SAP!$C:$C,(_xlfn.AGGREGATE(15,6,(ROW(DA_SAP!$F$3:$F$423)-2)/(DA_SAP!$F$3:$F$423=$A$317)*($A$317&lt;&gt;""),ROW()-319)+2)),"")</f>
        <v>Quantité totale</v>
      </c>
      <c r="D346" s="125" t="str">
        <f>IFERROR(INDEX(DA_SAP!$D:$D,(_xlfn.AGGREGATE(15,6,(ROW(DA_SAP!$F$3:$F$423)-2)/(DA_SAP!$F$3:$F$423=$A$317)*($A$317&lt;&gt;""),ROW()-319)+2)),"")</f>
        <v>Unité</v>
      </c>
      <c r="E346" s="125" t="str">
        <f>IFERROR(INDEX(DA_SAP!$E:$E,(_xlfn.AGGREGATE(15,6,(ROW(DA_SAP!$F$3:$F$423)-2)/(DA_SAP!$F$3:$F$423=$A$317)*($A$317&lt;&gt;""),ROW()-319)+2)),"")</f>
        <v>Date de livraison</v>
      </c>
    </row>
    <row r="347" spans="1:5" x14ac:dyDescent="0.25">
      <c r="A347" s="125" t="str">
        <f>IFERROR(INDEX(DA_SAP!$A:$A,(_xlfn.AGGREGATE(15,6,(ROW(DA_SAP!$F$3:$F$423)-2)/(DA_SAP!$F$3:$F$423=$A$317)*($A$317&lt;&gt;""),ROW()-319)+2)),"")</f>
        <v>Code article</v>
      </c>
      <c r="B347" s="125" t="str">
        <f>IFERROR(INDEX(DA_SAP!$B:$B,(_xlfn.AGGREGATE(15,6,(ROW(DA_SAP!$F$3:$F$423)-2)/(DA_SAP!$F$3:$F$423=$A$317)*($A$317&lt;&gt;""),ROW()-319)+2)),"")</f>
        <v>Désignation</v>
      </c>
      <c r="C347" s="125" t="str">
        <f>IFERROR(INDEX(DA_SAP!$C:$C,(_xlfn.AGGREGATE(15,6,(ROW(DA_SAP!$F$3:$F$423)-2)/(DA_SAP!$F$3:$F$423=$A$317)*($A$317&lt;&gt;""),ROW()-319)+2)),"")</f>
        <v>Quantité totale</v>
      </c>
      <c r="D347" s="125" t="str">
        <f>IFERROR(INDEX(DA_SAP!$D:$D,(_xlfn.AGGREGATE(15,6,(ROW(DA_SAP!$F$3:$F$423)-2)/(DA_SAP!$F$3:$F$423=$A$317)*($A$317&lt;&gt;""),ROW()-319)+2)),"")</f>
        <v>Unité</v>
      </c>
      <c r="E347" s="125" t="str">
        <f>IFERROR(INDEX(DA_SAP!$E:$E,(_xlfn.AGGREGATE(15,6,(ROW(DA_SAP!$F$3:$F$423)-2)/(DA_SAP!$F$3:$F$423=$A$317)*($A$317&lt;&gt;""),ROW()-319)+2)),"")</f>
        <v>Date de livraison</v>
      </c>
    </row>
    <row r="348" spans="1:5" x14ac:dyDescent="0.25">
      <c r="A348" s="125" t="str">
        <f>IFERROR(INDEX(DA_SAP!$A:$A,(_xlfn.AGGREGATE(15,6,(ROW(DA_SAP!$F$3:$F$423)-2)/(DA_SAP!$F$3:$F$423=$A$317)*($A$317&lt;&gt;""),ROW()-319)+2)),"")</f>
        <v>Code article</v>
      </c>
      <c r="B348" s="125" t="str">
        <f>IFERROR(INDEX(DA_SAP!$B:$B,(_xlfn.AGGREGATE(15,6,(ROW(DA_SAP!$F$3:$F$423)-2)/(DA_SAP!$F$3:$F$423=$A$317)*($A$317&lt;&gt;""),ROW()-319)+2)),"")</f>
        <v>Désignation</v>
      </c>
      <c r="C348" s="125" t="str">
        <f>IFERROR(INDEX(DA_SAP!$C:$C,(_xlfn.AGGREGATE(15,6,(ROW(DA_SAP!$F$3:$F$423)-2)/(DA_SAP!$F$3:$F$423=$A$317)*($A$317&lt;&gt;""),ROW()-319)+2)),"")</f>
        <v>Quantité totale</v>
      </c>
      <c r="D348" s="125" t="str">
        <f>IFERROR(INDEX(DA_SAP!$D:$D,(_xlfn.AGGREGATE(15,6,(ROW(DA_SAP!$F$3:$F$423)-2)/(DA_SAP!$F$3:$F$423=$A$317)*($A$317&lt;&gt;""),ROW()-319)+2)),"")</f>
        <v>Unité</v>
      </c>
      <c r="E348" s="125" t="str">
        <f>IFERROR(INDEX(DA_SAP!$E:$E,(_xlfn.AGGREGATE(15,6,(ROW(DA_SAP!$F$3:$F$423)-2)/(DA_SAP!$F$3:$F$423=$A$317)*($A$317&lt;&gt;""),ROW()-319)+2)),"")</f>
        <v>Date de livraison</v>
      </c>
    </row>
    <row r="349" spans="1:5" x14ac:dyDescent="0.25">
      <c r="A349" s="125" t="str">
        <f>IFERROR(INDEX(DA_SAP!$A:$A,(_xlfn.AGGREGATE(15,6,(ROW(DA_SAP!$F$3:$F$423)-2)/(DA_SAP!$F$3:$F$423=$A$317)*($A$317&lt;&gt;""),ROW()-319)+2)),"")</f>
        <v>Code article</v>
      </c>
      <c r="B349" s="125" t="str">
        <f>IFERROR(INDEX(DA_SAP!$B:$B,(_xlfn.AGGREGATE(15,6,(ROW(DA_SAP!$F$3:$F$423)-2)/(DA_SAP!$F$3:$F$423=$A$317)*($A$317&lt;&gt;""),ROW()-319)+2)),"")</f>
        <v>Désignation</v>
      </c>
      <c r="C349" s="125" t="str">
        <f>IFERROR(INDEX(DA_SAP!$C:$C,(_xlfn.AGGREGATE(15,6,(ROW(DA_SAP!$F$3:$F$423)-2)/(DA_SAP!$F$3:$F$423=$A$317)*($A$317&lt;&gt;""),ROW()-319)+2)),"")</f>
        <v>Quantité totale</v>
      </c>
      <c r="D349" s="125" t="str">
        <f>IFERROR(INDEX(DA_SAP!$D:$D,(_xlfn.AGGREGATE(15,6,(ROW(DA_SAP!$F$3:$F$423)-2)/(DA_SAP!$F$3:$F$423=$A$317)*($A$317&lt;&gt;""),ROW()-319)+2)),"")</f>
        <v>Unité</v>
      </c>
      <c r="E349" s="125" t="str">
        <f>IFERROR(INDEX(DA_SAP!$E:$E,(_xlfn.AGGREGATE(15,6,(ROW(DA_SAP!$F$3:$F$423)-2)/(DA_SAP!$F$3:$F$423=$A$317)*($A$317&lt;&gt;""),ROW()-319)+2)),"")</f>
        <v>Date de livraison</v>
      </c>
    </row>
    <row r="350" spans="1:5" x14ac:dyDescent="0.25">
      <c r="A350" s="125" t="str">
        <f>IFERROR(INDEX(DA_SAP!$A:$A,(_xlfn.AGGREGATE(15,6,(ROW(DA_SAP!$F$3:$F$423)-2)/(DA_SAP!$F$3:$F$423=$A$317)*($A$317&lt;&gt;""),ROW()-319)+2)),"")</f>
        <v>Code article</v>
      </c>
      <c r="B350" s="125" t="str">
        <f>IFERROR(INDEX(DA_SAP!$B:$B,(_xlfn.AGGREGATE(15,6,(ROW(DA_SAP!$F$3:$F$423)-2)/(DA_SAP!$F$3:$F$423=$A$317)*($A$317&lt;&gt;""),ROW()-319)+2)),"")</f>
        <v>Désignation</v>
      </c>
      <c r="C350" s="125" t="str">
        <f>IFERROR(INDEX(DA_SAP!$C:$C,(_xlfn.AGGREGATE(15,6,(ROW(DA_SAP!$F$3:$F$423)-2)/(DA_SAP!$F$3:$F$423=$A$317)*($A$317&lt;&gt;""),ROW()-319)+2)),"")</f>
        <v>Quantité totale</v>
      </c>
      <c r="D350" s="125" t="str">
        <f>IFERROR(INDEX(DA_SAP!$D:$D,(_xlfn.AGGREGATE(15,6,(ROW(DA_SAP!$F$3:$F$423)-2)/(DA_SAP!$F$3:$F$423=$A$317)*($A$317&lt;&gt;""),ROW()-319)+2)),"")</f>
        <v>Unité</v>
      </c>
      <c r="E350" s="125" t="str">
        <f>IFERROR(INDEX(DA_SAP!$E:$E,(_xlfn.AGGREGATE(15,6,(ROW(DA_SAP!$F$3:$F$423)-2)/(DA_SAP!$F$3:$F$423=$A$317)*($A$317&lt;&gt;""),ROW()-319)+2)),"")</f>
        <v>Date de livraison</v>
      </c>
    </row>
    <row r="351" spans="1:5" x14ac:dyDescent="0.25">
      <c r="A351" s="125" t="str">
        <f>IFERROR(INDEX(DA_SAP!$A:$A,(_xlfn.AGGREGATE(15,6,(ROW(DA_SAP!$F$3:$F$423)-2)/(DA_SAP!$F$3:$F$423=$A$317)*($A$317&lt;&gt;""),ROW()-319)+2)),"")</f>
        <v>Code article</v>
      </c>
      <c r="B351" s="125" t="str">
        <f>IFERROR(INDEX(DA_SAP!$B:$B,(_xlfn.AGGREGATE(15,6,(ROW(DA_SAP!$F$3:$F$423)-2)/(DA_SAP!$F$3:$F$423=$A$317)*($A$317&lt;&gt;""),ROW()-319)+2)),"")</f>
        <v>Désignation</v>
      </c>
      <c r="C351" s="125" t="str">
        <f>IFERROR(INDEX(DA_SAP!$C:$C,(_xlfn.AGGREGATE(15,6,(ROW(DA_SAP!$F$3:$F$423)-2)/(DA_SAP!$F$3:$F$423=$A$317)*($A$317&lt;&gt;""),ROW()-319)+2)),"")</f>
        <v>Quantité totale</v>
      </c>
      <c r="D351" s="125" t="str">
        <f>IFERROR(INDEX(DA_SAP!$D:$D,(_xlfn.AGGREGATE(15,6,(ROW(DA_SAP!$F$3:$F$423)-2)/(DA_SAP!$F$3:$F$423=$A$317)*($A$317&lt;&gt;""),ROW()-319)+2)),"")</f>
        <v>Unité</v>
      </c>
      <c r="E351" s="125" t="str">
        <f>IFERROR(INDEX(DA_SAP!$E:$E,(_xlfn.AGGREGATE(15,6,(ROW(DA_SAP!$F$3:$F$423)-2)/(DA_SAP!$F$3:$F$423=$A$317)*($A$317&lt;&gt;""),ROW()-319)+2)),"")</f>
        <v>Date de livraison</v>
      </c>
    </row>
    <row r="352" spans="1:5" x14ac:dyDescent="0.25">
      <c r="A352" s="125" t="str">
        <f>IFERROR(INDEX(DA_SAP!$A:$A,(_xlfn.AGGREGATE(15,6,(ROW(DA_SAP!$F$3:$F$423)-2)/(DA_SAP!$F$3:$F$423=$A$317)*($A$317&lt;&gt;""),ROW()-319)+2)),"")</f>
        <v>Code article</v>
      </c>
      <c r="B352" s="125" t="str">
        <f>IFERROR(INDEX(DA_SAP!$B:$B,(_xlfn.AGGREGATE(15,6,(ROW(DA_SAP!$F$3:$F$423)-2)/(DA_SAP!$F$3:$F$423=$A$317)*($A$317&lt;&gt;""),ROW()-319)+2)),"")</f>
        <v>Désignation</v>
      </c>
      <c r="C352" s="125" t="str">
        <f>IFERROR(INDEX(DA_SAP!$C:$C,(_xlfn.AGGREGATE(15,6,(ROW(DA_SAP!$F$3:$F$423)-2)/(DA_SAP!$F$3:$F$423=$A$317)*($A$317&lt;&gt;""),ROW()-319)+2)),"")</f>
        <v>Quantité totale</v>
      </c>
      <c r="D352" s="125" t="str">
        <f>IFERROR(INDEX(DA_SAP!$D:$D,(_xlfn.AGGREGATE(15,6,(ROW(DA_SAP!$F$3:$F$423)-2)/(DA_SAP!$F$3:$F$423=$A$317)*($A$317&lt;&gt;""),ROW()-319)+2)),"")</f>
        <v>Unité</v>
      </c>
      <c r="E352" s="125" t="str">
        <f>IFERROR(INDEX(DA_SAP!$E:$E,(_xlfn.AGGREGATE(15,6,(ROW(DA_SAP!$F$3:$F$423)-2)/(DA_SAP!$F$3:$F$423=$A$317)*($A$317&lt;&gt;""),ROW()-319)+2)),"")</f>
        <v>Date de livraison</v>
      </c>
    </row>
    <row r="353" spans="1:5" x14ac:dyDescent="0.25">
      <c r="A353" s="125" t="str">
        <f>IFERROR(INDEX(DA_SAP!$A:$A,(_xlfn.AGGREGATE(15,6,(ROW(DA_SAP!$F$3:$F$423)-2)/(DA_SAP!$F$3:$F$423=$A$317)*($A$317&lt;&gt;""),ROW()-319)+2)),"")</f>
        <v>Code article</v>
      </c>
      <c r="B353" s="125" t="str">
        <f>IFERROR(INDEX(DA_SAP!$B:$B,(_xlfn.AGGREGATE(15,6,(ROW(DA_SAP!$F$3:$F$423)-2)/(DA_SAP!$F$3:$F$423=$A$317)*($A$317&lt;&gt;""),ROW()-319)+2)),"")</f>
        <v>Désignation</v>
      </c>
      <c r="C353" s="125" t="str">
        <f>IFERROR(INDEX(DA_SAP!$C:$C,(_xlfn.AGGREGATE(15,6,(ROW(DA_SAP!$F$3:$F$423)-2)/(DA_SAP!$F$3:$F$423=$A$317)*($A$317&lt;&gt;""),ROW()-319)+2)),"")</f>
        <v>Quantité totale</v>
      </c>
      <c r="D353" s="125" t="str">
        <f>IFERROR(INDEX(DA_SAP!$D:$D,(_xlfn.AGGREGATE(15,6,(ROW(DA_SAP!$F$3:$F$423)-2)/(DA_SAP!$F$3:$F$423=$A$317)*($A$317&lt;&gt;""),ROW()-319)+2)),"")</f>
        <v>Unité</v>
      </c>
      <c r="E353" s="125" t="str">
        <f>IFERROR(INDEX(DA_SAP!$E:$E,(_xlfn.AGGREGATE(15,6,(ROW(DA_SAP!$F$3:$F$423)-2)/(DA_SAP!$F$3:$F$423=$A$317)*($A$317&lt;&gt;""),ROW()-319)+2)),"")</f>
        <v>Date de livraison</v>
      </c>
    </row>
    <row r="354" spans="1:5" x14ac:dyDescent="0.25">
      <c r="A354" s="125" t="str">
        <f>IFERROR(INDEX(DA_SAP!$A:$A,(_xlfn.AGGREGATE(15,6,(ROW(DA_SAP!$F$3:$F$423)-2)/(DA_SAP!$F$3:$F$423=$A$317)*($A$317&lt;&gt;""),ROW()-319)+2)),"")</f>
        <v>Code article</v>
      </c>
      <c r="B354" s="125" t="str">
        <f>IFERROR(INDEX(DA_SAP!$B:$B,(_xlfn.AGGREGATE(15,6,(ROW(DA_SAP!$F$3:$F$423)-2)/(DA_SAP!$F$3:$F$423=$A$317)*($A$317&lt;&gt;""),ROW()-319)+2)),"")</f>
        <v>Désignation</v>
      </c>
      <c r="C354" s="125" t="str">
        <f>IFERROR(INDEX(DA_SAP!$C:$C,(_xlfn.AGGREGATE(15,6,(ROW(DA_SAP!$F$3:$F$423)-2)/(DA_SAP!$F$3:$F$423=$A$317)*($A$317&lt;&gt;""),ROW()-319)+2)),"")</f>
        <v>Quantité totale</v>
      </c>
      <c r="D354" s="125" t="str">
        <f>IFERROR(INDEX(DA_SAP!$D:$D,(_xlfn.AGGREGATE(15,6,(ROW(DA_SAP!$F$3:$F$423)-2)/(DA_SAP!$F$3:$F$423=$A$317)*($A$317&lt;&gt;""),ROW()-319)+2)),"")</f>
        <v>Unité</v>
      </c>
      <c r="E354" s="125" t="str">
        <f>IFERROR(INDEX(DA_SAP!$E:$E,(_xlfn.AGGREGATE(15,6,(ROW(DA_SAP!$F$3:$F$423)-2)/(DA_SAP!$F$3:$F$423=$A$317)*($A$317&lt;&gt;""),ROW()-319)+2)),"")</f>
        <v>Date de livraison</v>
      </c>
    </row>
    <row r="355" spans="1:5" x14ac:dyDescent="0.25">
      <c r="A355" s="125" t="str">
        <f>IFERROR(INDEX(DA_SAP!$A:$A,(_xlfn.AGGREGATE(15,6,(ROW(DA_SAP!$F$3:$F$423)-2)/(DA_SAP!$F$3:$F$423=$A$317)*($A$317&lt;&gt;""),ROW()-319)+2)),"")</f>
        <v>Code article</v>
      </c>
      <c r="B355" s="125" t="str">
        <f>IFERROR(INDEX(DA_SAP!$B:$B,(_xlfn.AGGREGATE(15,6,(ROW(DA_SAP!$F$3:$F$423)-2)/(DA_SAP!$F$3:$F$423=$A$317)*($A$317&lt;&gt;""),ROW()-319)+2)),"")</f>
        <v>Désignation</v>
      </c>
      <c r="C355" s="125" t="str">
        <f>IFERROR(INDEX(DA_SAP!$C:$C,(_xlfn.AGGREGATE(15,6,(ROW(DA_SAP!$F$3:$F$423)-2)/(DA_SAP!$F$3:$F$423=$A$317)*($A$317&lt;&gt;""),ROW()-319)+2)),"")</f>
        <v>Quantité totale</v>
      </c>
      <c r="D355" s="125" t="str">
        <f>IFERROR(INDEX(DA_SAP!$D:$D,(_xlfn.AGGREGATE(15,6,(ROW(DA_SAP!$F$3:$F$423)-2)/(DA_SAP!$F$3:$F$423=$A$317)*($A$317&lt;&gt;""),ROW()-319)+2)),"")</f>
        <v>Unité</v>
      </c>
      <c r="E355" s="125" t="str">
        <f>IFERROR(INDEX(DA_SAP!$E:$E,(_xlfn.AGGREGATE(15,6,(ROW(DA_SAP!$F$3:$F$423)-2)/(DA_SAP!$F$3:$F$423=$A$317)*($A$317&lt;&gt;""),ROW()-319)+2)),"")</f>
        <v>Date de livraison</v>
      </c>
    </row>
    <row r="356" spans="1:5" x14ac:dyDescent="0.25">
      <c r="A356" s="125" t="str">
        <f>IFERROR(INDEX(DA_SAP!$A:$A,(_xlfn.AGGREGATE(15,6,(ROW(DA_SAP!$F$3:$F$423)-2)/(DA_SAP!$F$3:$F$423=$A$317)*($A$317&lt;&gt;""),ROW()-319)+2)),"")</f>
        <v>Code article</v>
      </c>
      <c r="B356" s="125" t="str">
        <f>IFERROR(INDEX(DA_SAP!$B:$B,(_xlfn.AGGREGATE(15,6,(ROW(DA_SAP!$F$3:$F$423)-2)/(DA_SAP!$F$3:$F$423=$A$317)*($A$317&lt;&gt;""),ROW()-319)+2)),"")</f>
        <v>Désignation</v>
      </c>
      <c r="C356" s="125" t="str">
        <f>IFERROR(INDEX(DA_SAP!$C:$C,(_xlfn.AGGREGATE(15,6,(ROW(DA_SAP!$F$3:$F$423)-2)/(DA_SAP!$F$3:$F$423=$A$317)*($A$317&lt;&gt;""),ROW()-319)+2)),"")</f>
        <v>Quantité totale</v>
      </c>
      <c r="D356" s="125" t="str">
        <f>IFERROR(INDEX(DA_SAP!$D:$D,(_xlfn.AGGREGATE(15,6,(ROW(DA_SAP!$F$3:$F$423)-2)/(DA_SAP!$F$3:$F$423=$A$317)*($A$317&lt;&gt;""),ROW()-319)+2)),"")</f>
        <v>Unité</v>
      </c>
      <c r="E356" s="125" t="str">
        <f>IFERROR(INDEX(DA_SAP!$E:$E,(_xlfn.AGGREGATE(15,6,(ROW(DA_SAP!$F$3:$F$423)-2)/(DA_SAP!$F$3:$F$423=$A$317)*($A$317&lt;&gt;""),ROW()-319)+2)),"")</f>
        <v>Date de livraison</v>
      </c>
    </row>
    <row r="357" spans="1:5" x14ac:dyDescent="0.25">
      <c r="A357" s="125" t="str">
        <f>IFERROR(INDEX(DA_SAP!$A:$A,(_xlfn.AGGREGATE(15,6,(ROW(DA_SAP!$F$3:$F$423)-2)/(DA_SAP!$F$3:$F$423=$A$317)*($A$317&lt;&gt;""),ROW()-319)+2)),"")</f>
        <v>Code article</v>
      </c>
      <c r="B357" s="125" t="str">
        <f>IFERROR(INDEX(DA_SAP!$B:$B,(_xlfn.AGGREGATE(15,6,(ROW(DA_SAP!$F$3:$F$423)-2)/(DA_SAP!$F$3:$F$423=$A$317)*($A$317&lt;&gt;""),ROW()-319)+2)),"")</f>
        <v>Désignation</v>
      </c>
      <c r="C357" s="125" t="str">
        <f>IFERROR(INDEX(DA_SAP!$C:$C,(_xlfn.AGGREGATE(15,6,(ROW(DA_SAP!$F$3:$F$423)-2)/(DA_SAP!$F$3:$F$423=$A$317)*($A$317&lt;&gt;""),ROW()-319)+2)),"")</f>
        <v>Quantité totale</v>
      </c>
      <c r="D357" s="125" t="str">
        <f>IFERROR(INDEX(DA_SAP!$D:$D,(_xlfn.AGGREGATE(15,6,(ROW(DA_SAP!$F$3:$F$423)-2)/(DA_SAP!$F$3:$F$423=$A$317)*($A$317&lt;&gt;""),ROW()-319)+2)),"")</f>
        <v>Unité</v>
      </c>
      <c r="E357" s="125" t="str">
        <f>IFERROR(INDEX(DA_SAP!$E:$E,(_xlfn.AGGREGATE(15,6,(ROW(DA_SAP!$F$3:$F$423)-2)/(DA_SAP!$F$3:$F$423=$A$317)*($A$317&lt;&gt;""),ROW()-319)+2)),"")</f>
        <v>Date de livraison</v>
      </c>
    </row>
    <row r="358" spans="1:5" x14ac:dyDescent="0.25">
      <c r="A358" s="125" t="str">
        <f>IFERROR(INDEX(DA_SAP!$A:$A,(_xlfn.AGGREGATE(15,6,(ROW(DA_SAP!$F$3:$F$423)-2)/(DA_SAP!$F$3:$F$423=$A$317)*($A$317&lt;&gt;""),ROW()-319)+2)),"")</f>
        <v>Code article</v>
      </c>
      <c r="B358" s="125" t="str">
        <f>IFERROR(INDEX(DA_SAP!$B:$B,(_xlfn.AGGREGATE(15,6,(ROW(DA_SAP!$F$3:$F$423)-2)/(DA_SAP!$F$3:$F$423=$A$317)*($A$317&lt;&gt;""),ROW()-319)+2)),"")</f>
        <v>Désignation</v>
      </c>
      <c r="C358" s="125" t="str">
        <f>IFERROR(INDEX(DA_SAP!$C:$C,(_xlfn.AGGREGATE(15,6,(ROW(DA_SAP!$F$3:$F$423)-2)/(DA_SAP!$F$3:$F$423=$A$317)*($A$317&lt;&gt;""),ROW()-319)+2)),"")</f>
        <v>Quantité totale</v>
      </c>
      <c r="D358" s="125" t="str">
        <f>IFERROR(INDEX(DA_SAP!$D:$D,(_xlfn.AGGREGATE(15,6,(ROW(DA_SAP!$F$3:$F$423)-2)/(DA_SAP!$F$3:$F$423=$A$317)*($A$317&lt;&gt;""),ROW()-319)+2)),"")</f>
        <v>Unité</v>
      </c>
      <c r="E358" s="125" t="str">
        <f>IFERROR(INDEX(DA_SAP!$E:$E,(_xlfn.AGGREGATE(15,6,(ROW(DA_SAP!$F$3:$F$423)-2)/(DA_SAP!$F$3:$F$423=$A$317)*($A$317&lt;&gt;""),ROW()-319)+2)),"")</f>
        <v>Date de livraison</v>
      </c>
    </row>
    <row r="359" spans="1:5" x14ac:dyDescent="0.25">
      <c r="A359" s="125" t="str">
        <f>IFERROR(INDEX(DA_SAP!$A:$A,(_xlfn.AGGREGATE(15,6,(ROW(DA_SAP!$F$3:$F$423)-2)/(DA_SAP!$F$3:$F$423=$A$317)*($A$317&lt;&gt;""),ROW()-319)+2)),"")</f>
        <v>Code article</v>
      </c>
      <c r="B359" s="125" t="str">
        <f>IFERROR(INDEX(DA_SAP!$B:$B,(_xlfn.AGGREGATE(15,6,(ROW(DA_SAP!$F$3:$F$423)-2)/(DA_SAP!$F$3:$F$423=$A$317)*($A$317&lt;&gt;""),ROW()-319)+2)),"")</f>
        <v>Désignation</v>
      </c>
      <c r="C359" s="125" t="str">
        <f>IFERROR(INDEX(DA_SAP!$C:$C,(_xlfn.AGGREGATE(15,6,(ROW(DA_SAP!$F$3:$F$423)-2)/(DA_SAP!$F$3:$F$423=$A$317)*($A$317&lt;&gt;""),ROW()-319)+2)),"")</f>
        <v>Quantité totale</v>
      </c>
      <c r="D359" s="125" t="str">
        <f>IFERROR(INDEX(DA_SAP!$D:$D,(_xlfn.AGGREGATE(15,6,(ROW(DA_SAP!$F$3:$F$423)-2)/(DA_SAP!$F$3:$F$423=$A$317)*($A$317&lt;&gt;""),ROW()-319)+2)),"")</f>
        <v>Unité</v>
      </c>
      <c r="E359" s="125" t="str">
        <f>IFERROR(INDEX(DA_SAP!$E:$E,(_xlfn.AGGREGATE(15,6,(ROW(DA_SAP!$F$3:$F$423)-2)/(DA_SAP!$F$3:$F$423=$A$317)*($A$317&lt;&gt;""),ROW()-319)+2)),"")</f>
        <v>Date de livraison</v>
      </c>
    </row>
    <row r="360" spans="1:5" x14ac:dyDescent="0.25">
      <c r="A360" s="125" t="str">
        <f>IFERROR(INDEX(DA_SAP!$A:$A,(_xlfn.AGGREGATE(15,6,(ROW(DA_SAP!$F$3:$F$423)-2)/(DA_SAP!$F$3:$F$423=$A$317)*($A$317&lt;&gt;""),ROW()-319)+2)),"")</f>
        <v>Code article</v>
      </c>
      <c r="B360" s="125" t="str">
        <f>IFERROR(INDEX(DA_SAP!$B:$B,(_xlfn.AGGREGATE(15,6,(ROW(DA_SAP!$F$3:$F$423)-2)/(DA_SAP!$F$3:$F$423=$A$317)*($A$317&lt;&gt;""),ROW()-319)+2)),"")</f>
        <v>Désignation</v>
      </c>
      <c r="C360" s="125" t="str">
        <f>IFERROR(INDEX(DA_SAP!$C:$C,(_xlfn.AGGREGATE(15,6,(ROW(DA_SAP!$F$3:$F$423)-2)/(DA_SAP!$F$3:$F$423=$A$317)*($A$317&lt;&gt;""),ROW()-319)+2)),"")</f>
        <v>Quantité totale</v>
      </c>
      <c r="D360" s="125" t="str">
        <f>IFERROR(INDEX(DA_SAP!$D:$D,(_xlfn.AGGREGATE(15,6,(ROW(DA_SAP!$F$3:$F$423)-2)/(DA_SAP!$F$3:$F$423=$A$317)*($A$317&lt;&gt;""),ROW()-319)+2)),"")</f>
        <v>Unité</v>
      </c>
      <c r="E360" s="125" t="str">
        <f>IFERROR(INDEX(DA_SAP!$E:$E,(_xlfn.AGGREGATE(15,6,(ROW(DA_SAP!$F$3:$F$423)-2)/(DA_SAP!$F$3:$F$423=$A$317)*($A$317&lt;&gt;""),ROW()-319)+2)),"")</f>
        <v>Date de livraison</v>
      </c>
    </row>
    <row r="361" spans="1:5" x14ac:dyDescent="0.25">
      <c r="A361" s="125" t="str">
        <f>IFERROR(INDEX(DA_SAP!$A:$A,(_xlfn.AGGREGATE(15,6,(ROW(DA_SAP!$F$3:$F$423)-2)/(DA_SAP!$F$3:$F$423=$A$317)*($A$317&lt;&gt;""),ROW()-319)+2)),"")</f>
        <v>Code article</v>
      </c>
      <c r="B361" s="125" t="str">
        <f>IFERROR(INDEX(DA_SAP!$B:$B,(_xlfn.AGGREGATE(15,6,(ROW(DA_SAP!$F$3:$F$423)-2)/(DA_SAP!$F$3:$F$423=$A$317)*($A$317&lt;&gt;""),ROW()-319)+2)),"")</f>
        <v>Désignation</v>
      </c>
      <c r="C361" s="125" t="str">
        <f>IFERROR(INDEX(DA_SAP!$C:$C,(_xlfn.AGGREGATE(15,6,(ROW(DA_SAP!$F$3:$F$423)-2)/(DA_SAP!$F$3:$F$423=$A$317)*($A$317&lt;&gt;""),ROW()-319)+2)),"")</f>
        <v>Quantité totale</v>
      </c>
      <c r="D361" s="125" t="str">
        <f>IFERROR(INDEX(DA_SAP!$D:$D,(_xlfn.AGGREGATE(15,6,(ROW(DA_SAP!$F$3:$F$423)-2)/(DA_SAP!$F$3:$F$423=$A$317)*($A$317&lt;&gt;""),ROW()-319)+2)),"")</f>
        <v>Unité</v>
      </c>
      <c r="E361" s="125" t="str">
        <f>IFERROR(INDEX(DA_SAP!$E:$E,(_xlfn.AGGREGATE(15,6,(ROW(DA_SAP!$F$3:$F$423)-2)/(DA_SAP!$F$3:$F$423=$A$317)*($A$317&lt;&gt;""),ROW()-319)+2)),"")</f>
        <v>Date de livraison</v>
      </c>
    </row>
    <row r="362" spans="1:5" x14ac:dyDescent="0.25">
      <c r="A362" s="125" t="str">
        <f>IFERROR(INDEX(DA_SAP!$A:$A,(_xlfn.AGGREGATE(15,6,(ROW(DA_SAP!$F$3:$F$423)-2)/(DA_SAP!$F$3:$F$423=$A$317)*($A$317&lt;&gt;""),ROW()-319)+2)),"")</f>
        <v>Code article</v>
      </c>
      <c r="B362" s="125" t="str">
        <f>IFERROR(INDEX(DA_SAP!$B:$B,(_xlfn.AGGREGATE(15,6,(ROW(DA_SAP!$F$3:$F$423)-2)/(DA_SAP!$F$3:$F$423=$A$317)*($A$317&lt;&gt;""),ROW()-319)+2)),"")</f>
        <v>Désignation</v>
      </c>
      <c r="C362" s="125" t="str">
        <f>IFERROR(INDEX(DA_SAP!$C:$C,(_xlfn.AGGREGATE(15,6,(ROW(DA_SAP!$F$3:$F$423)-2)/(DA_SAP!$F$3:$F$423=$A$317)*($A$317&lt;&gt;""),ROW()-319)+2)),"")</f>
        <v>Quantité totale</v>
      </c>
      <c r="D362" s="125" t="str">
        <f>IFERROR(INDEX(DA_SAP!$D:$D,(_xlfn.AGGREGATE(15,6,(ROW(DA_SAP!$F$3:$F$423)-2)/(DA_SAP!$F$3:$F$423=$A$317)*($A$317&lt;&gt;""),ROW()-319)+2)),"")</f>
        <v>Unité</v>
      </c>
      <c r="E362" s="125" t="str">
        <f>IFERROR(INDEX(DA_SAP!$E:$E,(_xlfn.AGGREGATE(15,6,(ROW(DA_SAP!$F$3:$F$423)-2)/(DA_SAP!$F$3:$F$423=$A$317)*($A$317&lt;&gt;""),ROW()-319)+2)),"")</f>
        <v>Date de livraison</v>
      </c>
    </row>
    <row r="363" spans="1:5" x14ac:dyDescent="0.25">
      <c r="A363" s="125" t="str">
        <f>IFERROR(INDEX(DA_SAP!$A:$A,(_xlfn.AGGREGATE(15,6,(ROW(DA_SAP!$F$3:$F$423)-2)/(DA_SAP!$F$3:$F$423=$A$317)*($A$317&lt;&gt;""),ROW()-319)+2)),"")</f>
        <v>Code article</v>
      </c>
      <c r="B363" s="125" t="str">
        <f>IFERROR(INDEX(DA_SAP!$B:$B,(_xlfn.AGGREGATE(15,6,(ROW(DA_SAP!$F$3:$F$423)-2)/(DA_SAP!$F$3:$F$423=$A$317)*($A$317&lt;&gt;""),ROW()-319)+2)),"")</f>
        <v>Désignation</v>
      </c>
      <c r="C363" s="125" t="str">
        <f>IFERROR(INDEX(DA_SAP!$C:$C,(_xlfn.AGGREGATE(15,6,(ROW(DA_SAP!$F$3:$F$423)-2)/(DA_SAP!$F$3:$F$423=$A$317)*($A$317&lt;&gt;""),ROW()-319)+2)),"")</f>
        <v>Quantité totale</v>
      </c>
      <c r="D363" s="125" t="str">
        <f>IFERROR(INDEX(DA_SAP!$D:$D,(_xlfn.AGGREGATE(15,6,(ROW(DA_SAP!$F$3:$F$423)-2)/(DA_SAP!$F$3:$F$423=$A$317)*($A$317&lt;&gt;""),ROW()-319)+2)),"")</f>
        <v>Unité</v>
      </c>
      <c r="E363" s="125" t="str">
        <f>IFERROR(INDEX(DA_SAP!$E:$E,(_xlfn.AGGREGATE(15,6,(ROW(DA_SAP!$F$3:$F$423)-2)/(DA_SAP!$F$3:$F$423=$A$317)*($A$317&lt;&gt;""),ROW()-319)+2)),"")</f>
        <v>Date de livraison</v>
      </c>
    </row>
    <row r="364" spans="1:5" x14ac:dyDescent="0.25">
      <c r="A364" s="125" t="str">
        <f>IFERROR(INDEX(DA_SAP!$A:$A,(_xlfn.AGGREGATE(15,6,(ROW(DA_SAP!$F$3:$F$423)-2)/(DA_SAP!$F$3:$F$423=$A$317)*($A$317&lt;&gt;""),ROW()-319)+2)),"")</f>
        <v>Code article</v>
      </c>
      <c r="B364" s="125" t="str">
        <f>IFERROR(INDEX(DA_SAP!$B:$B,(_xlfn.AGGREGATE(15,6,(ROW(DA_SAP!$F$3:$F$423)-2)/(DA_SAP!$F$3:$F$423=$A$317)*($A$317&lt;&gt;""),ROW()-319)+2)),"")</f>
        <v>Désignation</v>
      </c>
      <c r="C364" s="125" t="str">
        <f>IFERROR(INDEX(DA_SAP!$C:$C,(_xlfn.AGGREGATE(15,6,(ROW(DA_SAP!$F$3:$F$423)-2)/(DA_SAP!$F$3:$F$423=$A$317)*($A$317&lt;&gt;""),ROW()-319)+2)),"")</f>
        <v>Quantité totale</v>
      </c>
      <c r="D364" s="125" t="str">
        <f>IFERROR(INDEX(DA_SAP!$D:$D,(_xlfn.AGGREGATE(15,6,(ROW(DA_SAP!$F$3:$F$423)-2)/(DA_SAP!$F$3:$F$423=$A$317)*($A$317&lt;&gt;""),ROW()-319)+2)),"")</f>
        <v>Unité</v>
      </c>
      <c r="E364" s="125" t="str">
        <f>IFERROR(INDEX(DA_SAP!$E:$E,(_xlfn.AGGREGATE(15,6,(ROW(DA_SAP!$F$3:$F$423)-2)/(DA_SAP!$F$3:$F$423=$A$317)*($A$317&lt;&gt;""),ROW()-319)+2)),"")</f>
        <v>Date de livraison</v>
      </c>
    </row>
    <row r="365" spans="1:5" x14ac:dyDescent="0.25">
      <c r="A365" s="125" t="str">
        <f>IFERROR(INDEX(DA_SAP!$A:$A,(_xlfn.AGGREGATE(15,6,(ROW(DA_SAP!$F$3:$F$423)-2)/(DA_SAP!$F$3:$F$423=$A$317)*($A$317&lt;&gt;""),ROW()-319)+2)),"")</f>
        <v>Code article</v>
      </c>
      <c r="B365" s="125" t="str">
        <f>IFERROR(INDEX(DA_SAP!$B:$B,(_xlfn.AGGREGATE(15,6,(ROW(DA_SAP!$F$3:$F$423)-2)/(DA_SAP!$F$3:$F$423=$A$317)*($A$317&lt;&gt;""),ROW()-319)+2)),"")</f>
        <v>Désignation</v>
      </c>
      <c r="C365" s="125" t="str">
        <f>IFERROR(INDEX(DA_SAP!$C:$C,(_xlfn.AGGREGATE(15,6,(ROW(DA_SAP!$F$3:$F$423)-2)/(DA_SAP!$F$3:$F$423=$A$317)*($A$317&lt;&gt;""),ROW()-319)+2)),"")</f>
        <v>Quantité totale</v>
      </c>
      <c r="D365" s="125" t="str">
        <f>IFERROR(INDEX(DA_SAP!$D:$D,(_xlfn.AGGREGATE(15,6,(ROW(DA_SAP!$F$3:$F$423)-2)/(DA_SAP!$F$3:$F$423=$A$317)*($A$317&lt;&gt;""),ROW()-319)+2)),"")</f>
        <v>Unité</v>
      </c>
      <c r="E365" s="125" t="str">
        <f>IFERROR(INDEX(DA_SAP!$E:$E,(_xlfn.AGGREGATE(15,6,(ROW(DA_SAP!$F$3:$F$423)-2)/(DA_SAP!$F$3:$F$423=$A$317)*($A$317&lt;&gt;""),ROW()-319)+2)),"")</f>
        <v>Date de livraison</v>
      </c>
    </row>
    <row r="366" spans="1:5" x14ac:dyDescent="0.25">
      <c r="A366" s="125" t="str">
        <f>IFERROR(INDEX(DA_SAP!$A:$A,(_xlfn.AGGREGATE(15,6,(ROW(DA_SAP!$F$3:$F$423)-2)/(DA_SAP!$F$3:$F$423=$A$317)*($A$317&lt;&gt;""),ROW()-319)+2)),"")</f>
        <v>Code article</v>
      </c>
      <c r="B366" s="125" t="str">
        <f>IFERROR(INDEX(DA_SAP!$B:$B,(_xlfn.AGGREGATE(15,6,(ROW(DA_SAP!$F$3:$F$423)-2)/(DA_SAP!$F$3:$F$423=$A$317)*($A$317&lt;&gt;""),ROW()-319)+2)),"")</f>
        <v>Désignation</v>
      </c>
      <c r="C366" s="125" t="str">
        <f>IFERROR(INDEX(DA_SAP!$C:$C,(_xlfn.AGGREGATE(15,6,(ROW(DA_SAP!$F$3:$F$423)-2)/(DA_SAP!$F$3:$F$423=$A$317)*($A$317&lt;&gt;""),ROW()-319)+2)),"")</f>
        <v>Quantité totale</v>
      </c>
      <c r="D366" s="125" t="str">
        <f>IFERROR(INDEX(DA_SAP!$D:$D,(_xlfn.AGGREGATE(15,6,(ROW(DA_SAP!$F$3:$F$423)-2)/(DA_SAP!$F$3:$F$423=$A$317)*($A$317&lt;&gt;""),ROW()-319)+2)),"")</f>
        <v>Unité</v>
      </c>
      <c r="E366" s="125" t="str">
        <f>IFERROR(INDEX(DA_SAP!$E:$E,(_xlfn.AGGREGATE(15,6,(ROW(DA_SAP!$F$3:$F$423)-2)/(DA_SAP!$F$3:$F$423=$A$317)*($A$317&lt;&gt;""),ROW()-319)+2)),"")</f>
        <v>Date de livraison</v>
      </c>
    </row>
    <row r="367" spans="1:5" x14ac:dyDescent="0.25">
      <c r="A367" s="125" t="str">
        <f>IFERROR(INDEX(DA_SAP!$A:$A,(_xlfn.AGGREGATE(15,6,(ROW(DA_SAP!$F$3:$F$423)-2)/(DA_SAP!$F$3:$F$423=$A$317)*($A$317&lt;&gt;""),ROW()-319)+2)),"")</f>
        <v>Code article</v>
      </c>
      <c r="B367" s="125" t="str">
        <f>IFERROR(INDEX(DA_SAP!$B:$B,(_xlfn.AGGREGATE(15,6,(ROW(DA_SAP!$F$3:$F$423)-2)/(DA_SAP!$F$3:$F$423=$A$317)*($A$317&lt;&gt;""),ROW()-319)+2)),"")</f>
        <v>Désignation</v>
      </c>
      <c r="C367" s="125" t="str">
        <f>IFERROR(INDEX(DA_SAP!$C:$C,(_xlfn.AGGREGATE(15,6,(ROW(DA_SAP!$F$3:$F$423)-2)/(DA_SAP!$F$3:$F$423=$A$317)*($A$317&lt;&gt;""),ROW()-319)+2)),"")</f>
        <v>Quantité totale</v>
      </c>
      <c r="D367" s="125" t="str">
        <f>IFERROR(INDEX(DA_SAP!$D:$D,(_xlfn.AGGREGATE(15,6,(ROW(DA_SAP!$F$3:$F$423)-2)/(DA_SAP!$F$3:$F$423=$A$317)*($A$317&lt;&gt;""),ROW()-319)+2)),"")</f>
        <v>Unité</v>
      </c>
      <c r="E367" s="125" t="str">
        <f>IFERROR(INDEX(DA_SAP!$E:$E,(_xlfn.AGGREGATE(15,6,(ROW(DA_SAP!$F$3:$F$423)-2)/(DA_SAP!$F$3:$F$423=$A$317)*($A$317&lt;&gt;""),ROW()-319)+2)),"")</f>
        <v>Date de livraison</v>
      </c>
    </row>
    <row r="368" spans="1:5" x14ac:dyDescent="0.25">
      <c r="A368" s="125" t="str">
        <f>IFERROR(INDEX(DA_SAP!$A:$A,(_xlfn.AGGREGATE(15,6,(ROW(DA_SAP!$F$3:$F$423)-2)/(DA_SAP!$F$3:$F$423=$A$317)*($A$317&lt;&gt;""),ROW()-319)+2)),"")</f>
        <v>Code article</v>
      </c>
      <c r="B368" s="125" t="str">
        <f>IFERROR(INDEX(DA_SAP!$B:$B,(_xlfn.AGGREGATE(15,6,(ROW(DA_SAP!$F$3:$F$423)-2)/(DA_SAP!$F$3:$F$423=$A$317)*($A$317&lt;&gt;""),ROW()-319)+2)),"")</f>
        <v>Désignation</v>
      </c>
      <c r="C368" s="125" t="str">
        <f>IFERROR(INDEX(DA_SAP!$C:$C,(_xlfn.AGGREGATE(15,6,(ROW(DA_SAP!$F$3:$F$423)-2)/(DA_SAP!$F$3:$F$423=$A$317)*($A$317&lt;&gt;""),ROW()-319)+2)),"")</f>
        <v>Quantité totale</v>
      </c>
      <c r="D368" s="125" t="str">
        <f>IFERROR(INDEX(DA_SAP!$D:$D,(_xlfn.AGGREGATE(15,6,(ROW(DA_SAP!$F$3:$F$423)-2)/(DA_SAP!$F$3:$F$423=$A$317)*($A$317&lt;&gt;""),ROW()-319)+2)),"")</f>
        <v>Unité</v>
      </c>
      <c r="E368" s="125" t="str">
        <f>IFERROR(INDEX(DA_SAP!$E:$E,(_xlfn.AGGREGATE(15,6,(ROW(DA_SAP!$F$3:$F$423)-2)/(DA_SAP!$F$3:$F$423=$A$317)*($A$317&lt;&gt;""),ROW()-319)+2)),"")</f>
        <v>Date de livraison</v>
      </c>
    </row>
    <row r="369" spans="1:5" x14ac:dyDescent="0.25">
      <c r="A369" s="125" t="str">
        <f>IFERROR(INDEX(DA_SAP!$A:$A,(_xlfn.AGGREGATE(15,6,(ROW(DA_SAP!$F$3:$F$423)-2)/(DA_SAP!$F$3:$F$423=$A$317)*($A$317&lt;&gt;""),ROW()-319)+2)),"")</f>
        <v>Code article</v>
      </c>
      <c r="B369" s="125" t="str">
        <f>IFERROR(INDEX(DA_SAP!$B:$B,(_xlfn.AGGREGATE(15,6,(ROW(DA_SAP!$F$3:$F$423)-2)/(DA_SAP!$F$3:$F$423=$A$317)*($A$317&lt;&gt;""),ROW()-319)+2)),"")</f>
        <v>Désignation</v>
      </c>
      <c r="C369" s="125" t="str">
        <f>IFERROR(INDEX(DA_SAP!$C:$C,(_xlfn.AGGREGATE(15,6,(ROW(DA_SAP!$F$3:$F$423)-2)/(DA_SAP!$F$3:$F$423=$A$317)*($A$317&lt;&gt;""),ROW()-319)+2)),"")</f>
        <v>Quantité totale</v>
      </c>
      <c r="D369" s="125" t="str">
        <f>IFERROR(INDEX(DA_SAP!$D:$D,(_xlfn.AGGREGATE(15,6,(ROW(DA_SAP!$F$3:$F$423)-2)/(DA_SAP!$F$3:$F$423=$A$317)*($A$317&lt;&gt;""),ROW()-319)+2)),"")</f>
        <v>Unité</v>
      </c>
      <c r="E369" s="125" t="str">
        <f>IFERROR(INDEX(DA_SAP!$E:$E,(_xlfn.AGGREGATE(15,6,(ROW(DA_SAP!$F$3:$F$423)-2)/(DA_SAP!$F$3:$F$423=$A$317)*($A$317&lt;&gt;""),ROW()-319)+2)),"")</f>
        <v>Date de livraison</v>
      </c>
    </row>
    <row r="370" spans="1:5" x14ac:dyDescent="0.25">
      <c r="A370" s="125" t="str">
        <f>IFERROR(INDEX(DA_SAP!$A:$A,(_xlfn.AGGREGATE(15,6,(ROW(DA_SAP!$F$3:$F$423)-2)/(DA_SAP!$F$3:$F$423=$A$317)*($A$317&lt;&gt;""),ROW()-319)+2)),"")</f>
        <v>Code article</v>
      </c>
      <c r="B370" s="125" t="str">
        <f>IFERROR(INDEX(DA_SAP!$B:$B,(_xlfn.AGGREGATE(15,6,(ROW(DA_SAP!$F$3:$F$423)-2)/(DA_SAP!$F$3:$F$423=$A$317)*($A$317&lt;&gt;""),ROW()-319)+2)),"")</f>
        <v>Désignation</v>
      </c>
      <c r="C370" s="125" t="str">
        <f>IFERROR(INDEX(DA_SAP!$C:$C,(_xlfn.AGGREGATE(15,6,(ROW(DA_SAP!$F$3:$F$423)-2)/(DA_SAP!$F$3:$F$423=$A$317)*($A$317&lt;&gt;""),ROW()-319)+2)),"")</f>
        <v>Quantité totale</v>
      </c>
      <c r="D370" s="125" t="str">
        <f>IFERROR(INDEX(DA_SAP!$D:$D,(_xlfn.AGGREGATE(15,6,(ROW(DA_SAP!$F$3:$F$423)-2)/(DA_SAP!$F$3:$F$423=$A$317)*($A$317&lt;&gt;""),ROW()-319)+2)),"")</f>
        <v>Unité</v>
      </c>
      <c r="E370" s="125" t="str">
        <f>IFERROR(INDEX(DA_SAP!$E:$E,(_xlfn.AGGREGATE(15,6,(ROW(DA_SAP!$F$3:$F$423)-2)/(DA_SAP!$F$3:$F$423=$A$317)*($A$317&lt;&gt;""),ROW()-319)+2)),"")</f>
        <v>Date de livraison</v>
      </c>
    </row>
    <row r="371" spans="1:5" x14ac:dyDescent="0.25">
      <c r="A371" s="125" t="str">
        <f>IFERROR(INDEX(DA_SAP!$A:$A,(_xlfn.AGGREGATE(15,6,(ROW(DA_SAP!$F$3:$F$423)-2)/(DA_SAP!$F$3:$F$423=$A$317)*($A$317&lt;&gt;""),ROW()-319)+2)),"")</f>
        <v>Code article</v>
      </c>
      <c r="B371" s="125" t="str">
        <f>IFERROR(INDEX(DA_SAP!$B:$B,(_xlfn.AGGREGATE(15,6,(ROW(DA_SAP!$F$3:$F$423)-2)/(DA_SAP!$F$3:$F$423=$A$317)*($A$317&lt;&gt;""),ROW()-319)+2)),"")</f>
        <v>Désignation</v>
      </c>
      <c r="C371" s="125" t="str">
        <f>IFERROR(INDEX(DA_SAP!$C:$C,(_xlfn.AGGREGATE(15,6,(ROW(DA_SAP!$F$3:$F$423)-2)/(DA_SAP!$F$3:$F$423=$A$317)*($A$317&lt;&gt;""),ROW()-319)+2)),"")</f>
        <v>Quantité totale</v>
      </c>
      <c r="D371" s="125" t="str">
        <f>IFERROR(INDEX(DA_SAP!$D:$D,(_xlfn.AGGREGATE(15,6,(ROW(DA_SAP!$F$3:$F$423)-2)/(DA_SAP!$F$3:$F$423=$A$317)*($A$317&lt;&gt;""),ROW()-319)+2)),"")</f>
        <v>Unité</v>
      </c>
      <c r="E371" s="125" t="str">
        <f>IFERROR(INDEX(DA_SAP!$E:$E,(_xlfn.AGGREGATE(15,6,(ROW(DA_SAP!$F$3:$F$423)-2)/(DA_SAP!$F$3:$F$423=$A$317)*($A$317&lt;&gt;""),ROW()-319)+2)),"")</f>
        <v>Date de livraison</v>
      </c>
    </row>
    <row r="372" spans="1:5" x14ac:dyDescent="0.25">
      <c r="A372" s="125" t="str">
        <f>IFERROR(INDEX(DA_SAP!$A:$A,(_xlfn.AGGREGATE(15,6,(ROW(DA_SAP!$F$3:$F$423)-2)/(DA_SAP!$F$3:$F$423=$A$317)*($A$317&lt;&gt;""),ROW()-319)+2)),"")</f>
        <v>Code article</v>
      </c>
      <c r="B372" s="125" t="str">
        <f>IFERROR(INDEX(DA_SAP!$B:$B,(_xlfn.AGGREGATE(15,6,(ROW(DA_SAP!$F$3:$F$423)-2)/(DA_SAP!$F$3:$F$423=$A$317)*($A$317&lt;&gt;""),ROW()-319)+2)),"")</f>
        <v>Désignation</v>
      </c>
      <c r="C372" s="125" t="str">
        <f>IFERROR(INDEX(DA_SAP!$C:$C,(_xlfn.AGGREGATE(15,6,(ROW(DA_SAP!$F$3:$F$423)-2)/(DA_SAP!$F$3:$F$423=$A$317)*($A$317&lt;&gt;""),ROW()-319)+2)),"")</f>
        <v>Quantité totale</v>
      </c>
      <c r="D372" s="125" t="str">
        <f>IFERROR(INDEX(DA_SAP!$D:$D,(_xlfn.AGGREGATE(15,6,(ROW(DA_SAP!$F$3:$F$423)-2)/(DA_SAP!$F$3:$F$423=$A$317)*($A$317&lt;&gt;""),ROW()-319)+2)),"")</f>
        <v>Unité</v>
      </c>
      <c r="E372" s="125" t="str">
        <f>IFERROR(INDEX(DA_SAP!$E:$E,(_xlfn.AGGREGATE(15,6,(ROW(DA_SAP!$F$3:$F$423)-2)/(DA_SAP!$F$3:$F$423=$A$317)*($A$317&lt;&gt;""),ROW()-319)+2)),"")</f>
        <v>Date de livraison</v>
      </c>
    </row>
    <row r="373" spans="1:5" x14ac:dyDescent="0.25">
      <c r="A373" s="125" t="str">
        <f>IFERROR(INDEX(DA_SAP!$A:$A,(_xlfn.AGGREGATE(15,6,(ROW(DA_SAP!$F$3:$F$423)-2)/(DA_SAP!$F$3:$F$423=$A$317)*($A$317&lt;&gt;""),ROW()-319)+2)),"")</f>
        <v>Code article</v>
      </c>
      <c r="B373" s="125" t="str">
        <f>IFERROR(INDEX(DA_SAP!$B:$B,(_xlfn.AGGREGATE(15,6,(ROW(DA_SAP!$F$3:$F$423)-2)/(DA_SAP!$F$3:$F$423=$A$317)*($A$317&lt;&gt;""),ROW()-319)+2)),"")</f>
        <v>Désignation</v>
      </c>
      <c r="C373" s="125" t="str">
        <f>IFERROR(INDEX(DA_SAP!$C:$C,(_xlfn.AGGREGATE(15,6,(ROW(DA_SAP!$F$3:$F$423)-2)/(DA_SAP!$F$3:$F$423=$A$317)*($A$317&lt;&gt;""),ROW()-319)+2)),"")</f>
        <v>Quantité totale</v>
      </c>
      <c r="D373" s="125" t="str">
        <f>IFERROR(INDEX(DA_SAP!$D:$D,(_xlfn.AGGREGATE(15,6,(ROW(DA_SAP!$F$3:$F$423)-2)/(DA_SAP!$F$3:$F$423=$A$317)*($A$317&lt;&gt;""),ROW()-319)+2)),"")</f>
        <v>Unité</v>
      </c>
      <c r="E373" s="125" t="str">
        <f>IFERROR(INDEX(DA_SAP!$E:$E,(_xlfn.AGGREGATE(15,6,(ROW(DA_SAP!$F$3:$F$423)-2)/(DA_SAP!$F$3:$F$423=$A$317)*($A$317&lt;&gt;""),ROW()-319)+2)),"")</f>
        <v>Date de livraison</v>
      </c>
    </row>
    <row r="374" spans="1:5" x14ac:dyDescent="0.25">
      <c r="A374" s="125" t="str">
        <f>IFERROR(INDEX(DA_SAP!$A:$A,(_xlfn.AGGREGATE(15,6,(ROW(DA_SAP!$F$3:$F$423)-2)/(DA_SAP!$F$3:$F$423=$A$317)*($A$317&lt;&gt;""),ROW()-319)+2)),"")</f>
        <v>Code article</v>
      </c>
      <c r="B374" s="125" t="str">
        <f>IFERROR(INDEX(DA_SAP!$B:$B,(_xlfn.AGGREGATE(15,6,(ROW(DA_SAP!$F$3:$F$423)-2)/(DA_SAP!$F$3:$F$423=$A$317)*($A$317&lt;&gt;""),ROW()-319)+2)),"")</f>
        <v>Désignation</v>
      </c>
      <c r="C374" s="125" t="str">
        <f>IFERROR(INDEX(DA_SAP!$C:$C,(_xlfn.AGGREGATE(15,6,(ROW(DA_SAP!$F$3:$F$423)-2)/(DA_SAP!$F$3:$F$423=$A$317)*($A$317&lt;&gt;""),ROW()-319)+2)),"")</f>
        <v>Quantité totale</v>
      </c>
      <c r="D374" s="125" t="str">
        <f>IFERROR(INDEX(DA_SAP!$D:$D,(_xlfn.AGGREGATE(15,6,(ROW(DA_SAP!$F$3:$F$423)-2)/(DA_SAP!$F$3:$F$423=$A$317)*($A$317&lt;&gt;""),ROW()-319)+2)),"")</f>
        <v>Unité</v>
      </c>
      <c r="E374" s="125" t="str">
        <f>IFERROR(INDEX(DA_SAP!$E:$E,(_xlfn.AGGREGATE(15,6,(ROW(DA_SAP!$F$3:$F$423)-2)/(DA_SAP!$F$3:$F$423=$A$317)*($A$317&lt;&gt;""),ROW()-319)+2)),"")</f>
        <v>Date de livraison</v>
      </c>
    </row>
    <row r="375" spans="1:5" x14ac:dyDescent="0.25">
      <c r="A375" s="125" t="str">
        <f>IFERROR(INDEX(DA_SAP!$A:$A,(_xlfn.AGGREGATE(15,6,(ROW(DA_SAP!$F$3:$F$423)-2)/(DA_SAP!$F$3:$F$423=$A$317)*($A$317&lt;&gt;""),ROW()-319)+2)),"")</f>
        <v>Code article</v>
      </c>
      <c r="B375" s="125" t="str">
        <f>IFERROR(INDEX(DA_SAP!$B:$B,(_xlfn.AGGREGATE(15,6,(ROW(DA_SAP!$F$3:$F$423)-2)/(DA_SAP!$F$3:$F$423=$A$317)*($A$317&lt;&gt;""),ROW()-319)+2)),"")</f>
        <v>Désignation</v>
      </c>
      <c r="C375" s="125" t="str">
        <f>IFERROR(INDEX(DA_SAP!$C:$C,(_xlfn.AGGREGATE(15,6,(ROW(DA_SAP!$F$3:$F$423)-2)/(DA_SAP!$F$3:$F$423=$A$317)*($A$317&lt;&gt;""),ROW()-319)+2)),"")</f>
        <v>Quantité totale</v>
      </c>
      <c r="D375" s="125" t="str">
        <f>IFERROR(INDEX(DA_SAP!$D:$D,(_xlfn.AGGREGATE(15,6,(ROW(DA_SAP!$F$3:$F$423)-2)/(DA_SAP!$F$3:$F$423=$A$317)*($A$317&lt;&gt;""),ROW()-319)+2)),"")</f>
        <v>Unité</v>
      </c>
      <c r="E375" s="125" t="str">
        <f>IFERROR(INDEX(DA_SAP!$E:$E,(_xlfn.AGGREGATE(15,6,(ROW(DA_SAP!$F$3:$F$423)-2)/(DA_SAP!$F$3:$F$423=$A$317)*($A$317&lt;&gt;""),ROW()-319)+2)),"")</f>
        <v>Date de livraison</v>
      </c>
    </row>
    <row r="376" spans="1:5" x14ac:dyDescent="0.25">
      <c r="A376" s="125" t="str">
        <f>IFERROR(INDEX(DA_SAP!$A:$A,(_xlfn.AGGREGATE(15,6,(ROW(DA_SAP!$F$3:$F$423)-2)/(DA_SAP!$F$3:$F$423=$A$317)*($A$317&lt;&gt;""),ROW()-319)+2)),"")</f>
        <v>Code article</v>
      </c>
      <c r="B376" s="125" t="str">
        <f>IFERROR(INDEX(DA_SAP!$B:$B,(_xlfn.AGGREGATE(15,6,(ROW(DA_SAP!$F$3:$F$423)-2)/(DA_SAP!$F$3:$F$423=$A$317)*($A$317&lt;&gt;""),ROW()-319)+2)),"")</f>
        <v>Désignation</v>
      </c>
      <c r="C376" s="125" t="str">
        <f>IFERROR(INDEX(DA_SAP!$C:$C,(_xlfn.AGGREGATE(15,6,(ROW(DA_SAP!$F$3:$F$423)-2)/(DA_SAP!$F$3:$F$423=$A$317)*($A$317&lt;&gt;""),ROW()-319)+2)),"")</f>
        <v>Quantité totale</v>
      </c>
      <c r="D376" s="125" t="str">
        <f>IFERROR(INDEX(DA_SAP!$D:$D,(_xlfn.AGGREGATE(15,6,(ROW(DA_SAP!$F$3:$F$423)-2)/(DA_SAP!$F$3:$F$423=$A$317)*($A$317&lt;&gt;""),ROW()-319)+2)),"")</f>
        <v>Unité</v>
      </c>
      <c r="E376" s="125" t="str">
        <f>IFERROR(INDEX(DA_SAP!$E:$E,(_xlfn.AGGREGATE(15,6,(ROW(DA_SAP!$F$3:$F$423)-2)/(DA_SAP!$F$3:$F$423=$A$317)*($A$317&lt;&gt;""),ROW()-319)+2)),"")</f>
        <v>Date de livraison</v>
      </c>
    </row>
    <row r="377" spans="1:5" x14ac:dyDescent="0.25">
      <c r="A377" s="125" t="str">
        <f>IFERROR(INDEX(DA_SAP!$A:$A,(_xlfn.AGGREGATE(15,6,(ROW(DA_SAP!$F$3:$F$423)-2)/(DA_SAP!$F$3:$F$423=$A$317)*($A$317&lt;&gt;""),ROW()-319)+2)),"")</f>
        <v>Code article</v>
      </c>
      <c r="B377" s="125" t="str">
        <f>IFERROR(INDEX(DA_SAP!$B:$B,(_xlfn.AGGREGATE(15,6,(ROW(DA_SAP!$F$3:$F$423)-2)/(DA_SAP!$F$3:$F$423=$A$317)*($A$317&lt;&gt;""),ROW()-319)+2)),"")</f>
        <v>Désignation</v>
      </c>
      <c r="C377" s="125" t="str">
        <f>IFERROR(INDEX(DA_SAP!$C:$C,(_xlfn.AGGREGATE(15,6,(ROW(DA_SAP!$F$3:$F$423)-2)/(DA_SAP!$F$3:$F$423=$A$317)*($A$317&lt;&gt;""),ROW()-319)+2)),"")</f>
        <v>Quantité totale</v>
      </c>
      <c r="D377" s="125" t="str">
        <f>IFERROR(INDEX(DA_SAP!$D:$D,(_xlfn.AGGREGATE(15,6,(ROW(DA_SAP!$F$3:$F$423)-2)/(DA_SAP!$F$3:$F$423=$A$317)*($A$317&lt;&gt;""),ROW()-319)+2)),"")</f>
        <v>Unité</v>
      </c>
      <c r="E377" s="125" t="str">
        <f>IFERROR(INDEX(DA_SAP!$E:$E,(_xlfn.AGGREGATE(15,6,(ROW(DA_SAP!$F$3:$F$423)-2)/(DA_SAP!$F$3:$F$423=$A$317)*($A$317&lt;&gt;""),ROW()-319)+2)),"")</f>
        <v>Date de livraison</v>
      </c>
    </row>
    <row r="378" spans="1:5" x14ac:dyDescent="0.25">
      <c r="A378" s="125" t="str">
        <f>IFERROR(INDEX(DA_SAP!$A:$A,(_xlfn.AGGREGATE(15,6,(ROW(DA_SAP!$F$3:$F$423)-2)/(DA_SAP!$F$3:$F$423=$A$317)*($A$317&lt;&gt;""),ROW()-319)+2)),"")</f>
        <v>Code article</v>
      </c>
      <c r="B378" s="125" t="str">
        <f>IFERROR(INDEX(DA_SAP!$B:$B,(_xlfn.AGGREGATE(15,6,(ROW(DA_SAP!$F$3:$F$423)-2)/(DA_SAP!$F$3:$F$423=$A$317)*($A$317&lt;&gt;""),ROW()-319)+2)),"")</f>
        <v>Désignation</v>
      </c>
      <c r="C378" s="125" t="str">
        <f>IFERROR(INDEX(DA_SAP!$C:$C,(_xlfn.AGGREGATE(15,6,(ROW(DA_SAP!$F$3:$F$423)-2)/(DA_SAP!$F$3:$F$423=$A$317)*($A$317&lt;&gt;""),ROW()-319)+2)),"")</f>
        <v>Quantité totale</v>
      </c>
      <c r="D378" s="125" t="str">
        <f>IFERROR(INDEX(DA_SAP!$D:$D,(_xlfn.AGGREGATE(15,6,(ROW(DA_SAP!$F$3:$F$423)-2)/(DA_SAP!$F$3:$F$423=$A$317)*($A$317&lt;&gt;""),ROW()-319)+2)),"")</f>
        <v>Unité</v>
      </c>
      <c r="E378" s="125" t="str">
        <f>IFERROR(INDEX(DA_SAP!$E:$E,(_xlfn.AGGREGATE(15,6,(ROW(DA_SAP!$F$3:$F$423)-2)/(DA_SAP!$F$3:$F$423=$A$317)*($A$317&lt;&gt;""),ROW()-319)+2)),"")</f>
        <v>Date de livraison</v>
      </c>
    </row>
    <row r="379" spans="1:5" x14ac:dyDescent="0.25">
      <c r="A379" s="125"/>
      <c r="B379" s="125"/>
      <c r="C379" s="125"/>
      <c r="D379" s="125"/>
      <c r="E379" s="125"/>
    </row>
    <row r="380" spans="1:5" ht="15.75" customHeight="1" x14ac:dyDescent="0.25">
      <c r="A380" s="125" t="str">
        <f>IFERROR(INDEX(Catalogue!$K:$K,_xlfn.AGGREGATE(15,6,(ROW(Catalogue!$L$4:$L$454))/(Catalogue!$L$4:$L$454=1),7)),"")</f>
        <v/>
      </c>
      <c r="B380" s="125"/>
      <c r="C380" s="125"/>
      <c r="D380" s="125"/>
      <c r="E380" s="125"/>
    </row>
    <row r="381" spans="1:5" x14ac:dyDescent="0.25">
      <c r="A381" s="125" t="s">
        <v>1026</v>
      </c>
      <c r="B381" s="125" t="s">
        <v>1027</v>
      </c>
      <c r="C381" s="125" t="s">
        <v>1152</v>
      </c>
      <c r="D381" s="125" t="s">
        <v>1029</v>
      </c>
      <c r="E381" s="125" t="s">
        <v>1153</v>
      </c>
    </row>
    <row r="382" spans="1:5" x14ac:dyDescent="0.25">
      <c r="A382" s="125" t="str">
        <f>IFERROR(INDEX(DA_SAP!$A:$A,(_xlfn.AGGREGATE(15,6,(ROW(DA_SAP!$F$3:$F$423)-2)/(DA_SAP!$F$3:$F$423=$A$380)*($A$380&lt;&gt;""),ROW()-382)+2)),"")</f>
        <v/>
      </c>
      <c r="B382" s="125" t="str">
        <f>IFERROR(INDEX(DA_SAP!$B:$B,(_xlfn.AGGREGATE(15,6,(ROW(DA_SAP!$F$3:$F$423)-2)/(DA_SAP!$F$3:$F$423=$A$380)*($A$380&lt;&gt;""),ROW()-382)+2)),"")</f>
        <v/>
      </c>
      <c r="C382" s="125" t="str">
        <f>IFERROR(INDEX(DA_SAP!$C:$C,(_xlfn.AGGREGATE(15,6,(ROW(DA_SAP!$F$3:$F$423)-2)/(DA_SAP!$F$3:$F$423=$A$380)*($A$380&lt;&gt;""),ROW()-382)+2)),"")</f>
        <v/>
      </c>
      <c r="D382" s="125" t="str">
        <f>IFERROR(INDEX(DA_SAP!$D:$D,(_xlfn.AGGREGATE(15,6,(ROW(DA_SAP!$F$3:$F$423)-2)/(DA_SAP!$F$3:$F$423=$A$380)*($A$380&lt;&gt;""),ROW()-382)+2)),"")</f>
        <v/>
      </c>
      <c r="E382" s="125" t="str">
        <f>IFERROR(INDEX(DA_SAP!$E:$E,(_xlfn.AGGREGATE(15,6,(ROW(DA_SAP!$F$3:$F$423)-2)/(DA_SAP!$F$3:$F$423=$A$380)*($A$380&lt;&gt;""),ROW()-382)+2)),"")</f>
        <v/>
      </c>
    </row>
    <row r="383" spans="1:5" x14ac:dyDescent="0.25">
      <c r="A383" s="125" t="str">
        <f>IFERROR(INDEX(DA_SAP!$A:$A,(_xlfn.AGGREGATE(15,6,(ROW(DA_SAP!$F$3:$F$423)-2)/(DA_SAP!$F$3:$F$423=$A$380)*($A$380&lt;&gt;""),ROW()-382)+2)),"")</f>
        <v>Code article</v>
      </c>
      <c r="B383" s="125" t="str">
        <f>IFERROR(INDEX(DA_SAP!$B:$B,(_xlfn.AGGREGATE(15,6,(ROW(DA_SAP!$F$3:$F$423)-2)/(DA_SAP!$F$3:$F$423=$A$380)*($A$380&lt;&gt;""),ROW()-382)+2)),"")</f>
        <v>Désignation</v>
      </c>
      <c r="C383" s="125" t="str">
        <f>IFERROR(INDEX(DA_SAP!$C:$C,(_xlfn.AGGREGATE(15,6,(ROW(DA_SAP!$F$3:$F$423)-2)/(DA_SAP!$F$3:$F$423=$A$380)*($A$380&lt;&gt;""),ROW()-382)+2)),"")</f>
        <v>Quantité totale</v>
      </c>
      <c r="D383" s="125" t="str">
        <f>IFERROR(INDEX(DA_SAP!$D:$D,(_xlfn.AGGREGATE(15,6,(ROW(DA_SAP!$F$3:$F$423)-2)/(DA_SAP!$F$3:$F$423=$A$380)*($A$380&lt;&gt;""),ROW()-382)+2)),"")</f>
        <v>Unité</v>
      </c>
      <c r="E383" s="125" t="str">
        <f>IFERROR(INDEX(DA_SAP!$E:$E,(_xlfn.AGGREGATE(15,6,(ROW(DA_SAP!$F$3:$F$423)-2)/(DA_SAP!$F$3:$F$423=$A$380)*($A$380&lt;&gt;""),ROW()-382)+2)),"")</f>
        <v>Date de livraison</v>
      </c>
    </row>
    <row r="384" spans="1:5" x14ac:dyDescent="0.25">
      <c r="A384" s="125" t="str">
        <f>IFERROR(INDEX(DA_SAP!$A:$A,(_xlfn.AGGREGATE(15,6,(ROW(DA_SAP!$F$3:$F$423)-2)/(DA_SAP!$F$3:$F$423=$A$380)*($A$380&lt;&gt;""),ROW()-382)+2)),"")</f>
        <v>Code article</v>
      </c>
      <c r="B384" s="125" t="str">
        <f>IFERROR(INDEX(DA_SAP!$B:$B,(_xlfn.AGGREGATE(15,6,(ROW(DA_SAP!$F$3:$F$423)-2)/(DA_SAP!$F$3:$F$423=$A$380)*($A$380&lt;&gt;""),ROW()-382)+2)),"")</f>
        <v>Désignation</v>
      </c>
      <c r="C384" s="125" t="str">
        <f>IFERROR(INDEX(DA_SAP!$C:$C,(_xlfn.AGGREGATE(15,6,(ROW(DA_SAP!$F$3:$F$423)-2)/(DA_SAP!$F$3:$F$423=$A$380)*($A$380&lt;&gt;""),ROW()-382)+2)),"")</f>
        <v>Quantité totale</v>
      </c>
      <c r="D384" s="125" t="str">
        <f>IFERROR(INDEX(DA_SAP!$D:$D,(_xlfn.AGGREGATE(15,6,(ROW(DA_SAP!$F$3:$F$423)-2)/(DA_SAP!$F$3:$F$423=$A$380)*($A$380&lt;&gt;""),ROW()-382)+2)),"")</f>
        <v>Unité</v>
      </c>
      <c r="E384" s="125" t="str">
        <f>IFERROR(INDEX(DA_SAP!$E:$E,(_xlfn.AGGREGATE(15,6,(ROW(DA_SAP!$F$3:$F$423)-2)/(DA_SAP!$F$3:$F$423=$A$380)*($A$380&lt;&gt;""),ROW()-382)+2)),"")</f>
        <v>Date de livraison</v>
      </c>
    </row>
    <row r="385" spans="1:5" x14ac:dyDescent="0.25">
      <c r="A385" s="125" t="str">
        <f>IFERROR(INDEX(DA_SAP!$A:$A,(_xlfn.AGGREGATE(15,6,(ROW(DA_SAP!$F$3:$F$423)-2)/(DA_SAP!$F$3:$F$423=$A$380)*($A$380&lt;&gt;""),ROW()-382)+2)),"")</f>
        <v>Code article</v>
      </c>
      <c r="B385" s="125" t="str">
        <f>IFERROR(INDEX(DA_SAP!$B:$B,(_xlfn.AGGREGATE(15,6,(ROW(DA_SAP!$F$3:$F$423)-2)/(DA_SAP!$F$3:$F$423=$A$380)*($A$380&lt;&gt;""),ROW()-382)+2)),"")</f>
        <v>Désignation</v>
      </c>
      <c r="C385" s="125" t="str">
        <f>IFERROR(INDEX(DA_SAP!$C:$C,(_xlfn.AGGREGATE(15,6,(ROW(DA_SAP!$F$3:$F$423)-2)/(DA_SAP!$F$3:$F$423=$A$380)*($A$380&lt;&gt;""),ROW()-382)+2)),"")</f>
        <v>Quantité totale</v>
      </c>
      <c r="D385" s="125" t="str">
        <f>IFERROR(INDEX(DA_SAP!$D:$D,(_xlfn.AGGREGATE(15,6,(ROW(DA_SAP!$F$3:$F$423)-2)/(DA_SAP!$F$3:$F$423=$A$380)*($A$380&lt;&gt;""),ROW()-382)+2)),"")</f>
        <v>Unité</v>
      </c>
      <c r="E385" s="125" t="str">
        <f>IFERROR(INDEX(DA_SAP!$E:$E,(_xlfn.AGGREGATE(15,6,(ROW(DA_SAP!$F$3:$F$423)-2)/(DA_SAP!$F$3:$F$423=$A$380)*($A$380&lt;&gt;""),ROW()-382)+2)),"")</f>
        <v>Date de livraison</v>
      </c>
    </row>
    <row r="386" spans="1:5" x14ac:dyDescent="0.25">
      <c r="A386" s="125" t="str">
        <f>IFERROR(INDEX(DA_SAP!$A:$A,(_xlfn.AGGREGATE(15,6,(ROW(DA_SAP!$F$3:$F$423)-2)/(DA_SAP!$F$3:$F$423=$A$380)*($A$380&lt;&gt;""),ROW()-382)+2)),"")</f>
        <v>Code article</v>
      </c>
      <c r="B386" s="125" t="str">
        <f>IFERROR(INDEX(DA_SAP!$B:$B,(_xlfn.AGGREGATE(15,6,(ROW(DA_SAP!$F$3:$F$423)-2)/(DA_SAP!$F$3:$F$423=$A$380)*($A$380&lt;&gt;""),ROW()-382)+2)),"")</f>
        <v>Désignation</v>
      </c>
      <c r="C386" s="125" t="str">
        <f>IFERROR(INDEX(DA_SAP!$C:$C,(_xlfn.AGGREGATE(15,6,(ROW(DA_SAP!$F$3:$F$423)-2)/(DA_SAP!$F$3:$F$423=$A$380)*($A$380&lt;&gt;""),ROW()-382)+2)),"")</f>
        <v>Quantité totale</v>
      </c>
      <c r="D386" s="125" t="str">
        <f>IFERROR(INDEX(DA_SAP!$D:$D,(_xlfn.AGGREGATE(15,6,(ROW(DA_SAP!$F$3:$F$423)-2)/(DA_SAP!$F$3:$F$423=$A$380)*($A$380&lt;&gt;""),ROW()-382)+2)),"")</f>
        <v>Unité</v>
      </c>
      <c r="E386" s="125" t="str">
        <f>IFERROR(INDEX(DA_SAP!$E:$E,(_xlfn.AGGREGATE(15,6,(ROW(DA_SAP!$F$3:$F$423)-2)/(DA_SAP!$F$3:$F$423=$A$380)*($A$380&lt;&gt;""),ROW()-382)+2)),"")</f>
        <v>Date de livraison</v>
      </c>
    </row>
    <row r="387" spans="1:5" x14ac:dyDescent="0.25">
      <c r="A387" s="125" t="str">
        <f>IFERROR(INDEX(DA_SAP!$A:$A,(_xlfn.AGGREGATE(15,6,(ROW(DA_SAP!$F$3:$F$423)-2)/(DA_SAP!$F$3:$F$423=$A$380)*($A$380&lt;&gt;""),ROW()-382)+2)),"")</f>
        <v>Code article</v>
      </c>
      <c r="B387" s="125" t="str">
        <f>IFERROR(INDEX(DA_SAP!$B:$B,(_xlfn.AGGREGATE(15,6,(ROW(DA_SAP!$F$3:$F$423)-2)/(DA_SAP!$F$3:$F$423=$A$380)*($A$380&lt;&gt;""),ROW()-382)+2)),"")</f>
        <v>Désignation</v>
      </c>
      <c r="C387" s="125" t="str">
        <f>IFERROR(INDEX(DA_SAP!$C:$C,(_xlfn.AGGREGATE(15,6,(ROW(DA_SAP!$F$3:$F$423)-2)/(DA_SAP!$F$3:$F$423=$A$380)*($A$380&lt;&gt;""),ROW()-382)+2)),"")</f>
        <v>Quantité totale</v>
      </c>
      <c r="D387" s="125" t="str">
        <f>IFERROR(INDEX(DA_SAP!$D:$D,(_xlfn.AGGREGATE(15,6,(ROW(DA_SAP!$F$3:$F$423)-2)/(DA_SAP!$F$3:$F$423=$A$380)*($A$380&lt;&gt;""),ROW()-382)+2)),"")</f>
        <v>Unité</v>
      </c>
      <c r="E387" s="125" t="str">
        <f>IFERROR(INDEX(DA_SAP!$E:$E,(_xlfn.AGGREGATE(15,6,(ROW(DA_SAP!$F$3:$F$423)-2)/(DA_SAP!$F$3:$F$423=$A$380)*($A$380&lt;&gt;""),ROW()-382)+2)),"")</f>
        <v>Date de livraison</v>
      </c>
    </row>
    <row r="388" spans="1:5" x14ac:dyDescent="0.25">
      <c r="A388" s="125" t="str">
        <f>IFERROR(INDEX(DA_SAP!$A:$A,(_xlfn.AGGREGATE(15,6,(ROW(DA_SAP!$F$3:$F$423)-2)/(DA_SAP!$F$3:$F$423=$A$380)*($A$380&lt;&gt;""),ROW()-382)+2)),"")</f>
        <v>Code article</v>
      </c>
      <c r="B388" s="125" t="str">
        <f>IFERROR(INDEX(DA_SAP!$B:$B,(_xlfn.AGGREGATE(15,6,(ROW(DA_SAP!$F$3:$F$423)-2)/(DA_SAP!$F$3:$F$423=$A$380)*($A$380&lt;&gt;""),ROW()-382)+2)),"")</f>
        <v>Désignation</v>
      </c>
      <c r="C388" s="125" t="str">
        <f>IFERROR(INDEX(DA_SAP!$C:$C,(_xlfn.AGGREGATE(15,6,(ROW(DA_SAP!$F$3:$F$423)-2)/(DA_SAP!$F$3:$F$423=$A$380)*($A$380&lt;&gt;""),ROW()-382)+2)),"")</f>
        <v>Quantité totale</v>
      </c>
      <c r="D388" s="125" t="str">
        <f>IFERROR(INDEX(DA_SAP!$D:$D,(_xlfn.AGGREGATE(15,6,(ROW(DA_SAP!$F$3:$F$423)-2)/(DA_SAP!$F$3:$F$423=$A$380)*($A$380&lt;&gt;""),ROW()-382)+2)),"")</f>
        <v>Unité</v>
      </c>
      <c r="E388" s="125" t="str">
        <f>IFERROR(INDEX(DA_SAP!$E:$E,(_xlfn.AGGREGATE(15,6,(ROW(DA_SAP!$F$3:$F$423)-2)/(DA_SAP!$F$3:$F$423=$A$380)*($A$380&lt;&gt;""),ROW()-382)+2)),"")</f>
        <v>Date de livraison</v>
      </c>
    </row>
    <row r="389" spans="1:5" x14ac:dyDescent="0.25">
      <c r="A389" s="125" t="str">
        <f>IFERROR(INDEX(DA_SAP!$A:$A,(_xlfn.AGGREGATE(15,6,(ROW(DA_SAP!$F$3:$F$423)-2)/(DA_SAP!$F$3:$F$423=$A$380)*($A$380&lt;&gt;""),ROW()-382)+2)),"")</f>
        <v>Code article</v>
      </c>
      <c r="B389" s="125" t="str">
        <f>IFERROR(INDEX(DA_SAP!$B:$B,(_xlfn.AGGREGATE(15,6,(ROW(DA_SAP!$F$3:$F$423)-2)/(DA_SAP!$F$3:$F$423=$A$380)*($A$380&lt;&gt;""),ROW()-382)+2)),"")</f>
        <v>Désignation</v>
      </c>
      <c r="C389" s="125" t="str">
        <f>IFERROR(INDEX(DA_SAP!$C:$C,(_xlfn.AGGREGATE(15,6,(ROW(DA_SAP!$F$3:$F$423)-2)/(DA_SAP!$F$3:$F$423=$A$380)*($A$380&lt;&gt;""),ROW()-382)+2)),"")</f>
        <v>Quantité totale</v>
      </c>
      <c r="D389" s="125" t="str">
        <f>IFERROR(INDEX(DA_SAP!$D:$D,(_xlfn.AGGREGATE(15,6,(ROW(DA_SAP!$F$3:$F$423)-2)/(DA_SAP!$F$3:$F$423=$A$380)*($A$380&lt;&gt;""),ROW()-382)+2)),"")</f>
        <v>Unité</v>
      </c>
      <c r="E389" s="125" t="str">
        <f>IFERROR(INDEX(DA_SAP!$E:$E,(_xlfn.AGGREGATE(15,6,(ROW(DA_SAP!$F$3:$F$423)-2)/(DA_SAP!$F$3:$F$423=$A$380)*($A$380&lt;&gt;""),ROW()-382)+2)),"")</f>
        <v>Date de livraison</v>
      </c>
    </row>
    <row r="390" spans="1:5" x14ac:dyDescent="0.25">
      <c r="A390" s="125" t="str">
        <f>IFERROR(INDEX(DA_SAP!$A:$A,(_xlfn.AGGREGATE(15,6,(ROW(DA_SAP!$F$3:$F$423)-2)/(DA_SAP!$F$3:$F$423=$A$380)*($A$380&lt;&gt;""),ROW()-382)+2)),"")</f>
        <v>Code article</v>
      </c>
      <c r="B390" s="125" t="str">
        <f>IFERROR(INDEX(DA_SAP!$B:$B,(_xlfn.AGGREGATE(15,6,(ROW(DA_SAP!$F$3:$F$423)-2)/(DA_SAP!$F$3:$F$423=$A$380)*($A$380&lt;&gt;""),ROW()-382)+2)),"")</f>
        <v>Désignation</v>
      </c>
      <c r="C390" s="125" t="str">
        <f>IFERROR(INDEX(DA_SAP!$C:$C,(_xlfn.AGGREGATE(15,6,(ROW(DA_SAP!$F$3:$F$423)-2)/(DA_SAP!$F$3:$F$423=$A$380)*($A$380&lt;&gt;""),ROW()-382)+2)),"")</f>
        <v>Quantité totale</v>
      </c>
      <c r="D390" s="125" t="str">
        <f>IFERROR(INDEX(DA_SAP!$D:$D,(_xlfn.AGGREGATE(15,6,(ROW(DA_SAP!$F$3:$F$423)-2)/(DA_SAP!$F$3:$F$423=$A$380)*($A$380&lt;&gt;""),ROW()-382)+2)),"")</f>
        <v>Unité</v>
      </c>
      <c r="E390" s="125" t="str">
        <f>IFERROR(INDEX(DA_SAP!$E:$E,(_xlfn.AGGREGATE(15,6,(ROW(DA_SAP!$F$3:$F$423)-2)/(DA_SAP!$F$3:$F$423=$A$380)*($A$380&lt;&gt;""),ROW()-382)+2)),"")</f>
        <v>Date de livraison</v>
      </c>
    </row>
    <row r="391" spans="1:5" x14ac:dyDescent="0.25">
      <c r="A391" s="125" t="str">
        <f>IFERROR(INDEX(DA_SAP!$A:$A,(_xlfn.AGGREGATE(15,6,(ROW(DA_SAP!$F$3:$F$423)-2)/(DA_SAP!$F$3:$F$423=$A$380)*($A$380&lt;&gt;""),ROW()-382)+2)),"")</f>
        <v>Code article</v>
      </c>
      <c r="B391" s="125" t="str">
        <f>IFERROR(INDEX(DA_SAP!$B:$B,(_xlfn.AGGREGATE(15,6,(ROW(DA_SAP!$F$3:$F$423)-2)/(DA_SAP!$F$3:$F$423=$A$380)*($A$380&lt;&gt;""),ROW()-382)+2)),"")</f>
        <v>Désignation</v>
      </c>
      <c r="C391" s="125" t="str">
        <f>IFERROR(INDEX(DA_SAP!$C:$C,(_xlfn.AGGREGATE(15,6,(ROW(DA_SAP!$F$3:$F$423)-2)/(DA_SAP!$F$3:$F$423=$A$380)*($A$380&lt;&gt;""),ROW()-382)+2)),"")</f>
        <v>Quantité totale</v>
      </c>
      <c r="D391" s="125" t="str">
        <f>IFERROR(INDEX(DA_SAP!$D:$D,(_xlfn.AGGREGATE(15,6,(ROW(DA_SAP!$F$3:$F$423)-2)/(DA_SAP!$F$3:$F$423=$A$380)*($A$380&lt;&gt;""),ROW()-382)+2)),"")</f>
        <v>Unité</v>
      </c>
      <c r="E391" s="125" t="str">
        <f>IFERROR(INDEX(DA_SAP!$E:$E,(_xlfn.AGGREGATE(15,6,(ROW(DA_SAP!$F$3:$F$423)-2)/(DA_SAP!$F$3:$F$423=$A$380)*($A$380&lt;&gt;""),ROW()-382)+2)),"")</f>
        <v>Date de livraison</v>
      </c>
    </row>
    <row r="392" spans="1:5" x14ac:dyDescent="0.25">
      <c r="A392" s="125" t="str">
        <f>IFERROR(INDEX(DA_SAP!$A:$A,(_xlfn.AGGREGATE(15,6,(ROW(DA_SAP!$F$3:$F$423)-2)/(DA_SAP!$F$3:$F$423=$A$380)*($A$380&lt;&gt;""),ROW()-382)+2)),"")</f>
        <v>Code article</v>
      </c>
      <c r="B392" s="125" t="str">
        <f>IFERROR(INDEX(DA_SAP!$B:$B,(_xlfn.AGGREGATE(15,6,(ROW(DA_SAP!$F$3:$F$423)-2)/(DA_SAP!$F$3:$F$423=$A$380)*($A$380&lt;&gt;""),ROW()-382)+2)),"")</f>
        <v>Désignation</v>
      </c>
      <c r="C392" s="125" t="str">
        <f>IFERROR(INDEX(DA_SAP!$C:$C,(_xlfn.AGGREGATE(15,6,(ROW(DA_SAP!$F$3:$F$423)-2)/(DA_SAP!$F$3:$F$423=$A$380)*($A$380&lt;&gt;""),ROW()-382)+2)),"")</f>
        <v>Quantité totale</v>
      </c>
      <c r="D392" s="125" t="str">
        <f>IFERROR(INDEX(DA_SAP!$D:$D,(_xlfn.AGGREGATE(15,6,(ROW(DA_SAP!$F$3:$F$423)-2)/(DA_SAP!$F$3:$F$423=$A$380)*($A$380&lt;&gt;""),ROW()-382)+2)),"")</f>
        <v>Unité</v>
      </c>
      <c r="E392" s="125" t="str">
        <f>IFERROR(INDEX(DA_SAP!$E:$E,(_xlfn.AGGREGATE(15,6,(ROW(DA_SAP!$F$3:$F$423)-2)/(DA_SAP!$F$3:$F$423=$A$380)*($A$380&lt;&gt;""),ROW()-382)+2)),"")</f>
        <v>Date de livraison</v>
      </c>
    </row>
    <row r="393" spans="1:5" x14ac:dyDescent="0.25">
      <c r="A393" s="125" t="str">
        <f>IFERROR(INDEX(DA_SAP!$A:$A,(_xlfn.AGGREGATE(15,6,(ROW(DA_SAP!$F$3:$F$423)-2)/(DA_SAP!$F$3:$F$423=$A$380)*($A$380&lt;&gt;""),ROW()-382)+2)),"")</f>
        <v>Code article</v>
      </c>
      <c r="B393" s="125" t="str">
        <f>IFERROR(INDEX(DA_SAP!$B:$B,(_xlfn.AGGREGATE(15,6,(ROW(DA_SAP!$F$3:$F$423)-2)/(DA_SAP!$F$3:$F$423=$A$380)*($A$380&lt;&gt;""),ROW()-382)+2)),"")</f>
        <v>Désignation</v>
      </c>
      <c r="C393" s="125" t="str">
        <f>IFERROR(INDEX(DA_SAP!$C:$C,(_xlfn.AGGREGATE(15,6,(ROW(DA_SAP!$F$3:$F$423)-2)/(DA_SAP!$F$3:$F$423=$A$380)*($A$380&lt;&gt;""),ROW()-382)+2)),"")</f>
        <v>Quantité totale</v>
      </c>
      <c r="D393" s="125" t="str">
        <f>IFERROR(INDEX(DA_SAP!$D:$D,(_xlfn.AGGREGATE(15,6,(ROW(DA_SAP!$F$3:$F$423)-2)/(DA_SAP!$F$3:$F$423=$A$380)*($A$380&lt;&gt;""),ROW()-382)+2)),"")</f>
        <v>Unité</v>
      </c>
      <c r="E393" s="125" t="str">
        <f>IFERROR(INDEX(DA_SAP!$E:$E,(_xlfn.AGGREGATE(15,6,(ROW(DA_SAP!$F$3:$F$423)-2)/(DA_SAP!$F$3:$F$423=$A$380)*($A$380&lt;&gt;""),ROW()-382)+2)),"")</f>
        <v>Date de livraison</v>
      </c>
    </row>
    <row r="394" spans="1:5" x14ac:dyDescent="0.25">
      <c r="A394" s="125" t="str">
        <f>IFERROR(INDEX(DA_SAP!$A:$A,(_xlfn.AGGREGATE(15,6,(ROW(DA_SAP!$F$3:$F$423)-2)/(DA_SAP!$F$3:$F$423=$A$380)*($A$380&lt;&gt;""),ROW()-382)+2)),"")</f>
        <v>Code article</v>
      </c>
      <c r="B394" s="125" t="str">
        <f>IFERROR(INDEX(DA_SAP!$B:$B,(_xlfn.AGGREGATE(15,6,(ROW(DA_SAP!$F$3:$F$423)-2)/(DA_SAP!$F$3:$F$423=$A$380)*($A$380&lt;&gt;""),ROW()-382)+2)),"")</f>
        <v>Désignation</v>
      </c>
      <c r="C394" s="125" t="str">
        <f>IFERROR(INDEX(DA_SAP!$C:$C,(_xlfn.AGGREGATE(15,6,(ROW(DA_SAP!$F$3:$F$423)-2)/(DA_SAP!$F$3:$F$423=$A$380)*($A$380&lt;&gt;""),ROW()-382)+2)),"")</f>
        <v>Quantité totale</v>
      </c>
      <c r="D394" s="125" t="str">
        <f>IFERROR(INDEX(DA_SAP!$D:$D,(_xlfn.AGGREGATE(15,6,(ROW(DA_SAP!$F$3:$F$423)-2)/(DA_SAP!$F$3:$F$423=$A$380)*($A$380&lt;&gt;""),ROW()-382)+2)),"")</f>
        <v>Unité</v>
      </c>
      <c r="E394" s="125" t="str">
        <f>IFERROR(INDEX(DA_SAP!$E:$E,(_xlfn.AGGREGATE(15,6,(ROW(DA_SAP!$F$3:$F$423)-2)/(DA_SAP!$F$3:$F$423=$A$380)*($A$380&lt;&gt;""),ROW()-382)+2)),"")</f>
        <v>Date de livraison</v>
      </c>
    </row>
    <row r="395" spans="1:5" x14ac:dyDescent="0.25">
      <c r="A395" s="125" t="str">
        <f>IFERROR(INDEX(DA_SAP!$A:$A,(_xlfn.AGGREGATE(15,6,(ROW(DA_SAP!$F$3:$F$423)-2)/(DA_SAP!$F$3:$F$423=$A$380)*($A$380&lt;&gt;""),ROW()-382)+2)),"")</f>
        <v>Code article</v>
      </c>
      <c r="B395" s="125" t="str">
        <f>IFERROR(INDEX(DA_SAP!$B:$B,(_xlfn.AGGREGATE(15,6,(ROW(DA_SAP!$F$3:$F$423)-2)/(DA_SAP!$F$3:$F$423=$A$380)*($A$380&lt;&gt;""),ROW()-382)+2)),"")</f>
        <v>Désignation</v>
      </c>
      <c r="C395" s="125" t="str">
        <f>IFERROR(INDEX(DA_SAP!$C:$C,(_xlfn.AGGREGATE(15,6,(ROW(DA_SAP!$F$3:$F$423)-2)/(DA_SAP!$F$3:$F$423=$A$380)*($A$380&lt;&gt;""),ROW()-382)+2)),"")</f>
        <v>Quantité totale</v>
      </c>
      <c r="D395" s="125" t="str">
        <f>IFERROR(INDEX(DA_SAP!$D:$D,(_xlfn.AGGREGATE(15,6,(ROW(DA_SAP!$F$3:$F$423)-2)/(DA_SAP!$F$3:$F$423=$A$380)*($A$380&lt;&gt;""),ROW()-382)+2)),"")</f>
        <v>Unité</v>
      </c>
      <c r="E395" s="125" t="str">
        <f>IFERROR(INDEX(DA_SAP!$E:$E,(_xlfn.AGGREGATE(15,6,(ROW(DA_SAP!$F$3:$F$423)-2)/(DA_SAP!$F$3:$F$423=$A$380)*($A$380&lt;&gt;""),ROW()-382)+2)),"")</f>
        <v>Date de livraison</v>
      </c>
    </row>
    <row r="396" spans="1:5" x14ac:dyDescent="0.25">
      <c r="A396" s="125" t="str">
        <f>IFERROR(INDEX(DA_SAP!$A:$A,(_xlfn.AGGREGATE(15,6,(ROW(DA_SAP!$F$3:$F$423)-2)/(DA_SAP!$F$3:$F$423=$A$380)*($A$380&lt;&gt;""),ROW()-382)+2)),"")</f>
        <v>Code article</v>
      </c>
      <c r="B396" s="125" t="str">
        <f>IFERROR(INDEX(DA_SAP!$B:$B,(_xlfn.AGGREGATE(15,6,(ROW(DA_SAP!$F$3:$F$423)-2)/(DA_SAP!$F$3:$F$423=$A$380)*($A$380&lt;&gt;""),ROW()-382)+2)),"")</f>
        <v>Désignation</v>
      </c>
      <c r="C396" s="125" t="str">
        <f>IFERROR(INDEX(DA_SAP!$C:$C,(_xlfn.AGGREGATE(15,6,(ROW(DA_SAP!$F$3:$F$423)-2)/(DA_SAP!$F$3:$F$423=$A$380)*($A$380&lt;&gt;""),ROW()-382)+2)),"")</f>
        <v>Quantité totale</v>
      </c>
      <c r="D396" s="125" t="str">
        <f>IFERROR(INDEX(DA_SAP!$D:$D,(_xlfn.AGGREGATE(15,6,(ROW(DA_SAP!$F$3:$F$423)-2)/(DA_SAP!$F$3:$F$423=$A$380)*($A$380&lt;&gt;""),ROW()-382)+2)),"")</f>
        <v>Unité</v>
      </c>
      <c r="E396" s="125" t="str">
        <f>IFERROR(INDEX(DA_SAP!$E:$E,(_xlfn.AGGREGATE(15,6,(ROW(DA_SAP!$F$3:$F$423)-2)/(DA_SAP!$F$3:$F$423=$A$380)*($A$380&lt;&gt;""),ROW()-382)+2)),"")</f>
        <v>Date de livraison</v>
      </c>
    </row>
    <row r="397" spans="1:5" x14ac:dyDescent="0.25">
      <c r="A397" s="125" t="str">
        <f>IFERROR(INDEX(DA_SAP!$A:$A,(_xlfn.AGGREGATE(15,6,(ROW(DA_SAP!$F$3:$F$423)-2)/(DA_SAP!$F$3:$F$423=$A$380)*($A$380&lt;&gt;""),ROW()-382)+2)),"")</f>
        <v>Code article</v>
      </c>
      <c r="B397" s="125" t="str">
        <f>IFERROR(INDEX(DA_SAP!$B:$B,(_xlfn.AGGREGATE(15,6,(ROW(DA_SAP!$F$3:$F$423)-2)/(DA_SAP!$F$3:$F$423=$A$380)*($A$380&lt;&gt;""),ROW()-382)+2)),"")</f>
        <v>Désignation</v>
      </c>
      <c r="C397" s="125" t="str">
        <f>IFERROR(INDEX(DA_SAP!$C:$C,(_xlfn.AGGREGATE(15,6,(ROW(DA_SAP!$F$3:$F$423)-2)/(DA_SAP!$F$3:$F$423=$A$380)*($A$380&lt;&gt;""),ROW()-382)+2)),"")</f>
        <v>Quantité totale</v>
      </c>
      <c r="D397" s="125" t="str">
        <f>IFERROR(INDEX(DA_SAP!$D:$D,(_xlfn.AGGREGATE(15,6,(ROW(DA_SAP!$F$3:$F$423)-2)/(DA_SAP!$F$3:$F$423=$A$380)*($A$380&lt;&gt;""),ROW()-382)+2)),"")</f>
        <v>Unité</v>
      </c>
      <c r="E397" s="125" t="str">
        <f>IFERROR(INDEX(DA_SAP!$E:$E,(_xlfn.AGGREGATE(15,6,(ROW(DA_SAP!$F$3:$F$423)-2)/(DA_SAP!$F$3:$F$423=$A$380)*($A$380&lt;&gt;""),ROW()-382)+2)),"")</f>
        <v>Date de livraison</v>
      </c>
    </row>
    <row r="398" spans="1:5" x14ac:dyDescent="0.25">
      <c r="A398" s="125" t="str">
        <f>IFERROR(INDEX(DA_SAP!$A:$A,(_xlfn.AGGREGATE(15,6,(ROW(DA_SAP!$F$3:$F$423)-2)/(DA_SAP!$F$3:$F$423=$A$380)*($A$380&lt;&gt;""),ROW()-382)+2)),"")</f>
        <v>Code article</v>
      </c>
      <c r="B398" s="125" t="str">
        <f>IFERROR(INDEX(DA_SAP!$B:$B,(_xlfn.AGGREGATE(15,6,(ROW(DA_SAP!$F$3:$F$423)-2)/(DA_SAP!$F$3:$F$423=$A$380)*($A$380&lt;&gt;""),ROW()-382)+2)),"")</f>
        <v>Désignation</v>
      </c>
      <c r="C398" s="125" t="str">
        <f>IFERROR(INDEX(DA_SAP!$C:$C,(_xlfn.AGGREGATE(15,6,(ROW(DA_SAP!$F$3:$F$423)-2)/(DA_SAP!$F$3:$F$423=$A$380)*($A$380&lt;&gt;""),ROW()-382)+2)),"")</f>
        <v>Quantité totale</v>
      </c>
      <c r="D398" s="125" t="str">
        <f>IFERROR(INDEX(DA_SAP!$D:$D,(_xlfn.AGGREGATE(15,6,(ROW(DA_SAP!$F$3:$F$423)-2)/(DA_SAP!$F$3:$F$423=$A$380)*($A$380&lt;&gt;""),ROW()-382)+2)),"")</f>
        <v>Unité</v>
      </c>
      <c r="E398" s="125" t="str">
        <f>IFERROR(INDEX(DA_SAP!$E:$E,(_xlfn.AGGREGATE(15,6,(ROW(DA_SAP!$F$3:$F$423)-2)/(DA_SAP!$F$3:$F$423=$A$380)*($A$380&lt;&gt;""),ROW()-382)+2)),"")</f>
        <v>Date de livraison</v>
      </c>
    </row>
    <row r="399" spans="1:5" x14ac:dyDescent="0.25">
      <c r="A399" s="125" t="str">
        <f>IFERROR(INDEX(DA_SAP!$A:$A,(_xlfn.AGGREGATE(15,6,(ROW(DA_SAP!$F$3:$F$423)-2)/(DA_SAP!$F$3:$F$423=$A$380)*($A$380&lt;&gt;""),ROW()-382)+2)),"")</f>
        <v>Code article</v>
      </c>
      <c r="B399" s="125" t="str">
        <f>IFERROR(INDEX(DA_SAP!$B:$B,(_xlfn.AGGREGATE(15,6,(ROW(DA_SAP!$F$3:$F$423)-2)/(DA_SAP!$F$3:$F$423=$A$380)*($A$380&lt;&gt;""),ROW()-382)+2)),"")</f>
        <v>Désignation</v>
      </c>
      <c r="C399" s="125" t="str">
        <f>IFERROR(INDEX(DA_SAP!$C:$C,(_xlfn.AGGREGATE(15,6,(ROW(DA_SAP!$F$3:$F$423)-2)/(DA_SAP!$F$3:$F$423=$A$380)*($A$380&lt;&gt;""),ROW()-382)+2)),"")</f>
        <v>Quantité totale</v>
      </c>
      <c r="D399" s="125" t="str">
        <f>IFERROR(INDEX(DA_SAP!$D:$D,(_xlfn.AGGREGATE(15,6,(ROW(DA_SAP!$F$3:$F$423)-2)/(DA_SAP!$F$3:$F$423=$A$380)*($A$380&lt;&gt;""),ROW()-382)+2)),"")</f>
        <v>Unité</v>
      </c>
      <c r="E399" s="125" t="str">
        <f>IFERROR(INDEX(DA_SAP!$E:$E,(_xlfn.AGGREGATE(15,6,(ROW(DA_SAP!$F$3:$F$423)-2)/(DA_SAP!$F$3:$F$423=$A$380)*($A$380&lt;&gt;""),ROW()-382)+2)),"")</f>
        <v>Date de livraison</v>
      </c>
    </row>
    <row r="400" spans="1:5" x14ac:dyDescent="0.25">
      <c r="A400" s="125" t="str">
        <f>IFERROR(INDEX(DA_SAP!$A:$A,(_xlfn.AGGREGATE(15,6,(ROW(DA_SAP!$F$3:$F$423)-2)/(DA_SAP!$F$3:$F$423=$A$380)*($A$380&lt;&gt;""),ROW()-382)+2)),"")</f>
        <v>Code article</v>
      </c>
      <c r="B400" s="125" t="str">
        <f>IFERROR(INDEX(DA_SAP!$B:$B,(_xlfn.AGGREGATE(15,6,(ROW(DA_SAP!$F$3:$F$423)-2)/(DA_SAP!$F$3:$F$423=$A$380)*($A$380&lt;&gt;""),ROW()-382)+2)),"")</f>
        <v>Désignation</v>
      </c>
      <c r="C400" s="125" t="str">
        <f>IFERROR(INDEX(DA_SAP!$C:$C,(_xlfn.AGGREGATE(15,6,(ROW(DA_SAP!$F$3:$F$423)-2)/(DA_SAP!$F$3:$F$423=$A$380)*($A$380&lt;&gt;""),ROW()-382)+2)),"")</f>
        <v>Quantité totale</v>
      </c>
      <c r="D400" s="125" t="str">
        <f>IFERROR(INDEX(DA_SAP!$D:$D,(_xlfn.AGGREGATE(15,6,(ROW(DA_SAP!$F$3:$F$423)-2)/(DA_SAP!$F$3:$F$423=$A$380)*($A$380&lt;&gt;""),ROW()-382)+2)),"")</f>
        <v>Unité</v>
      </c>
      <c r="E400" s="125" t="str">
        <f>IFERROR(INDEX(DA_SAP!$E:$E,(_xlfn.AGGREGATE(15,6,(ROW(DA_SAP!$F$3:$F$423)-2)/(DA_SAP!$F$3:$F$423=$A$380)*($A$380&lt;&gt;""),ROW()-382)+2)),"")</f>
        <v>Date de livraison</v>
      </c>
    </row>
    <row r="401" spans="1:5" x14ac:dyDescent="0.25">
      <c r="A401" s="125" t="str">
        <f>IFERROR(INDEX(DA_SAP!$A:$A,(_xlfn.AGGREGATE(15,6,(ROW(DA_SAP!$F$3:$F$423)-2)/(DA_SAP!$F$3:$F$423=$A$380)*($A$380&lt;&gt;""),ROW()-382)+2)),"")</f>
        <v>Code article</v>
      </c>
      <c r="B401" s="125" t="str">
        <f>IFERROR(INDEX(DA_SAP!$B:$B,(_xlfn.AGGREGATE(15,6,(ROW(DA_SAP!$F$3:$F$423)-2)/(DA_SAP!$F$3:$F$423=$A$380)*($A$380&lt;&gt;""),ROW()-382)+2)),"")</f>
        <v>Désignation</v>
      </c>
      <c r="C401" s="125" t="str">
        <f>IFERROR(INDEX(DA_SAP!$C:$C,(_xlfn.AGGREGATE(15,6,(ROW(DA_SAP!$F$3:$F$423)-2)/(DA_SAP!$F$3:$F$423=$A$380)*($A$380&lt;&gt;""),ROW()-382)+2)),"")</f>
        <v>Quantité totale</v>
      </c>
      <c r="D401" s="125" t="str">
        <f>IFERROR(INDEX(DA_SAP!$D:$D,(_xlfn.AGGREGATE(15,6,(ROW(DA_SAP!$F$3:$F$423)-2)/(DA_SAP!$F$3:$F$423=$A$380)*($A$380&lt;&gt;""),ROW()-382)+2)),"")</f>
        <v>Unité</v>
      </c>
      <c r="E401" s="125" t="str">
        <f>IFERROR(INDEX(DA_SAP!$E:$E,(_xlfn.AGGREGATE(15,6,(ROW(DA_SAP!$F$3:$F$423)-2)/(DA_SAP!$F$3:$F$423=$A$380)*($A$380&lt;&gt;""),ROW()-382)+2)),"")</f>
        <v>Date de livraison</v>
      </c>
    </row>
    <row r="402" spans="1:5" x14ac:dyDescent="0.25">
      <c r="A402" s="125" t="str">
        <f>IFERROR(INDEX(DA_SAP!$A:$A,(_xlfn.AGGREGATE(15,6,(ROW(DA_SAP!$F$3:$F$423)-2)/(DA_SAP!$F$3:$F$423=$A$380)*($A$380&lt;&gt;""),ROW()-382)+2)),"")</f>
        <v>Code article</v>
      </c>
      <c r="B402" s="125" t="str">
        <f>IFERROR(INDEX(DA_SAP!$B:$B,(_xlfn.AGGREGATE(15,6,(ROW(DA_SAP!$F$3:$F$423)-2)/(DA_SAP!$F$3:$F$423=$A$380)*($A$380&lt;&gt;""),ROW()-382)+2)),"")</f>
        <v>Désignation</v>
      </c>
      <c r="C402" s="125" t="str">
        <f>IFERROR(INDEX(DA_SAP!$C:$C,(_xlfn.AGGREGATE(15,6,(ROW(DA_SAP!$F$3:$F$423)-2)/(DA_SAP!$F$3:$F$423=$A$380)*($A$380&lt;&gt;""),ROW()-382)+2)),"")</f>
        <v>Quantité totale</v>
      </c>
      <c r="D402" s="125" t="str">
        <f>IFERROR(INDEX(DA_SAP!$D:$D,(_xlfn.AGGREGATE(15,6,(ROW(DA_SAP!$F$3:$F$423)-2)/(DA_SAP!$F$3:$F$423=$A$380)*($A$380&lt;&gt;""),ROW()-382)+2)),"")</f>
        <v>Unité</v>
      </c>
      <c r="E402" s="125" t="str">
        <f>IFERROR(INDEX(DA_SAP!$E:$E,(_xlfn.AGGREGATE(15,6,(ROW(DA_SAP!$F$3:$F$423)-2)/(DA_SAP!$F$3:$F$423=$A$380)*($A$380&lt;&gt;""),ROW()-382)+2)),"")</f>
        <v>Date de livraison</v>
      </c>
    </row>
    <row r="403" spans="1:5" x14ac:dyDescent="0.25">
      <c r="A403" s="125" t="str">
        <f>IFERROR(INDEX(DA_SAP!$A:$A,(_xlfn.AGGREGATE(15,6,(ROW(DA_SAP!$F$3:$F$423)-2)/(DA_SAP!$F$3:$F$423=$A$380)*($A$380&lt;&gt;""),ROW()-382)+2)),"")</f>
        <v>Code article</v>
      </c>
      <c r="B403" s="125" t="str">
        <f>IFERROR(INDEX(DA_SAP!$B:$B,(_xlfn.AGGREGATE(15,6,(ROW(DA_SAP!$F$3:$F$423)-2)/(DA_SAP!$F$3:$F$423=$A$380)*($A$380&lt;&gt;""),ROW()-382)+2)),"")</f>
        <v>Désignation</v>
      </c>
      <c r="C403" s="125" t="str">
        <f>IFERROR(INDEX(DA_SAP!$C:$C,(_xlfn.AGGREGATE(15,6,(ROW(DA_SAP!$F$3:$F$423)-2)/(DA_SAP!$F$3:$F$423=$A$380)*($A$380&lt;&gt;""),ROW()-382)+2)),"")</f>
        <v>Quantité totale</v>
      </c>
      <c r="D403" s="125" t="str">
        <f>IFERROR(INDEX(DA_SAP!$D:$D,(_xlfn.AGGREGATE(15,6,(ROW(DA_SAP!$F$3:$F$423)-2)/(DA_SAP!$F$3:$F$423=$A$380)*($A$380&lt;&gt;""),ROW()-382)+2)),"")</f>
        <v>Unité</v>
      </c>
      <c r="E403" s="125" t="str">
        <f>IFERROR(INDEX(DA_SAP!$E:$E,(_xlfn.AGGREGATE(15,6,(ROW(DA_SAP!$F$3:$F$423)-2)/(DA_SAP!$F$3:$F$423=$A$380)*($A$380&lt;&gt;""),ROW()-382)+2)),"")</f>
        <v>Date de livraison</v>
      </c>
    </row>
    <row r="404" spans="1:5" x14ac:dyDescent="0.25">
      <c r="A404" s="125" t="str">
        <f>IFERROR(INDEX(DA_SAP!$A:$A,(_xlfn.AGGREGATE(15,6,(ROW(DA_SAP!$F$3:$F$423)-2)/(DA_SAP!$F$3:$F$423=$A$380)*($A$380&lt;&gt;""),ROW()-382)+2)),"")</f>
        <v>Code article</v>
      </c>
      <c r="B404" s="125" t="str">
        <f>IFERROR(INDEX(DA_SAP!$B:$B,(_xlfn.AGGREGATE(15,6,(ROW(DA_SAP!$F$3:$F$423)-2)/(DA_SAP!$F$3:$F$423=$A$380)*($A$380&lt;&gt;""),ROW()-382)+2)),"")</f>
        <v>Désignation</v>
      </c>
      <c r="C404" s="125" t="str">
        <f>IFERROR(INDEX(DA_SAP!$C:$C,(_xlfn.AGGREGATE(15,6,(ROW(DA_SAP!$F$3:$F$423)-2)/(DA_SAP!$F$3:$F$423=$A$380)*($A$380&lt;&gt;""),ROW()-382)+2)),"")</f>
        <v>Quantité totale</v>
      </c>
      <c r="D404" s="125" t="str">
        <f>IFERROR(INDEX(DA_SAP!$D:$D,(_xlfn.AGGREGATE(15,6,(ROW(DA_SAP!$F$3:$F$423)-2)/(DA_SAP!$F$3:$F$423=$A$380)*($A$380&lt;&gt;""),ROW()-382)+2)),"")</f>
        <v>Unité</v>
      </c>
      <c r="E404" s="125" t="str">
        <f>IFERROR(INDEX(DA_SAP!$E:$E,(_xlfn.AGGREGATE(15,6,(ROW(DA_SAP!$F$3:$F$423)-2)/(DA_SAP!$F$3:$F$423=$A$380)*($A$380&lt;&gt;""),ROW()-382)+2)),"")</f>
        <v>Date de livraison</v>
      </c>
    </row>
    <row r="405" spans="1:5" x14ac:dyDescent="0.25">
      <c r="A405" s="125" t="str">
        <f>IFERROR(INDEX(DA_SAP!$A:$A,(_xlfn.AGGREGATE(15,6,(ROW(DA_SAP!$F$3:$F$423)-2)/(DA_SAP!$F$3:$F$423=$A$380)*($A$380&lt;&gt;""),ROW()-382)+2)),"")</f>
        <v>Code article</v>
      </c>
      <c r="B405" s="125" t="str">
        <f>IFERROR(INDEX(DA_SAP!$B:$B,(_xlfn.AGGREGATE(15,6,(ROW(DA_SAP!$F$3:$F$423)-2)/(DA_SAP!$F$3:$F$423=$A$380)*($A$380&lt;&gt;""),ROW()-382)+2)),"")</f>
        <v>Désignation</v>
      </c>
      <c r="C405" s="125" t="str">
        <f>IFERROR(INDEX(DA_SAP!$C:$C,(_xlfn.AGGREGATE(15,6,(ROW(DA_SAP!$F$3:$F$423)-2)/(DA_SAP!$F$3:$F$423=$A$380)*($A$380&lt;&gt;""),ROW()-382)+2)),"")</f>
        <v>Quantité totale</v>
      </c>
      <c r="D405" s="125" t="str">
        <f>IFERROR(INDEX(DA_SAP!$D:$D,(_xlfn.AGGREGATE(15,6,(ROW(DA_SAP!$F$3:$F$423)-2)/(DA_SAP!$F$3:$F$423=$A$380)*($A$380&lt;&gt;""),ROW()-382)+2)),"")</f>
        <v>Unité</v>
      </c>
      <c r="E405" s="125" t="str">
        <f>IFERROR(INDEX(DA_SAP!$E:$E,(_xlfn.AGGREGATE(15,6,(ROW(DA_SAP!$F$3:$F$423)-2)/(DA_SAP!$F$3:$F$423=$A$380)*($A$380&lt;&gt;""),ROW()-382)+2)),"")</f>
        <v>Date de livraison</v>
      </c>
    </row>
    <row r="406" spans="1:5" x14ac:dyDescent="0.25">
      <c r="A406" s="125" t="str">
        <f>IFERROR(INDEX(DA_SAP!$A:$A,(_xlfn.AGGREGATE(15,6,(ROW(DA_SAP!$F$3:$F$423)-2)/(DA_SAP!$F$3:$F$423=$A$380)*($A$380&lt;&gt;""),ROW()-382)+2)),"")</f>
        <v>Code article</v>
      </c>
      <c r="B406" s="125" t="str">
        <f>IFERROR(INDEX(DA_SAP!$B:$B,(_xlfn.AGGREGATE(15,6,(ROW(DA_SAP!$F$3:$F$423)-2)/(DA_SAP!$F$3:$F$423=$A$380)*($A$380&lt;&gt;""),ROW()-382)+2)),"")</f>
        <v>Désignation</v>
      </c>
      <c r="C406" s="125" t="str">
        <f>IFERROR(INDEX(DA_SAP!$C:$C,(_xlfn.AGGREGATE(15,6,(ROW(DA_SAP!$F$3:$F$423)-2)/(DA_SAP!$F$3:$F$423=$A$380)*($A$380&lt;&gt;""),ROW()-382)+2)),"")</f>
        <v>Quantité totale</v>
      </c>
      <c r="D406" s="125" t="str">
        <f>IFERROR(INDEX(DA_SAP!$D:$D,(_xlfn.AGGREGATE(15,6,(ROW(DA_SAP!$F$3:$F$423)-2)/(DA_SAP!$F$3:$F$423=$A$380)*($A$380&lt;&gt;""),ROW()-382)+2)),"")</f>
        <v>Unité</v>
      </c>
      <c r="E406" s="125" t="str">
        <f>IFERROR(INDEX(DA_SAP!$E:$E,(_xlfn.AGGREGATE(15,6,(ROW(DA_SAP!$F$3:$F$423)-2)/(DA_SAP!$F$3:$F$423=$A$380)*($A$380&lt;&gt;""),ROW()-382)+2)),"")</f>
        <v>Date de livraison</v>
      </c>
    </row>
    <row r="407" spans="1:5" x14ac:dyDescent="0.25">
      <c r="A407" s="125" t="str">
        <f>IFERROR(INDEX(DA_SAP!$A:$A,(_xlfn.AGGREGATE(15,6,(ROW(DA_SAP!$F$3:$F$423)-2)/(DA_SAP!$F$3:$F$423=$A$380)*($A$380&lt;&gt;""),ROW()-382)+2)),"")</f>
        <v>Code article</v>
      </c>
      <c r="B407" s="125" t="str">
        <f>IFERROR(INDEX(DA_SAP!$B:$B,(_xlfn.AGGREGATE(15,6,(ROW(DA_SAP!$F$3:$F$423)-2)/(DA_SAP!$F$3:$F$423=$A$380)*($A$380&lt;&gt;""),ROW()-382)+2)),"")</f>
        <v>Désignation</v>
      </c>
      <c r="C407" s="125" t="str">
        <f>IFERROR(INDEX(DA_SAP!$C:$C,(_xlfn.AGGREGATE(15,6,(ROW(DA_SAP!$F$3:$F$423)-2)/(DA_SAP!$F$3:$F$423=$A$380)*($A$380&lt;&gt;""),ROW()-382)+2)),"")</f>
        <v>Quantité totale</v>
      </c>
      <c r="D407" s="125" t="str">
        <f>IFERROR(INDEX(DA_SAP!$D:$D,(_xlfn.AGGREGATE(15,6,(ROW(DA_SAP!$F$3:$F$423)-2)/(DA_SAP!$F$3:$F$423=$A$380)*($A$380&lt;&gt;""),ROW()-382)+2)),"")</f>
        <v>Unité</v>
      </c>
      <c r="E407" s="125" t="str">
        <f>IFERROR(INDEX(DA_SAP!$E:$E,(_xlfn.AGGREGATE(15,6,(ROW(DA_SAP!$F$3:$F$423)-2)/(DA_SAP!$F$3:$F$423=$A$380)*($A$380&lt;&gt;""),ROW()-382)+2)),"")</f>
        <v>Date de livraison</v>
      </c>
    </row>
    <row r="408" spans="1:5" x14ac:dyDescent="0.25">
      <c r="A408" s="125" t="str">
        <f>IFERROR(INDEX(DA_SAP!$A:$A,(_xlfn.AGGREGATE(15,6,(ROW(DA_SAP!$F$3:$F$423)-2)/(DA_SAP!$F$3:$F$423=$A$380)*($A$380&lt;&gt;""),ROW()-382)+2)),"")</f>
        <v>Code article</v>
      </c>
      <c r="B408" s="125" t="str">
        <f>IFERROR(INDEX(DA_SAP!$B:$B,(_xlfn.AGGREGATE(15,6,(ROW(DA_SAP!$F$3:$F$423)-2)/(DA_SAP!$F$3:$F$423=$A$380)*($A$380&lt;&gt;""),ROW()-382)+2)),"")</f>
        <v>Désignation</v>
      </c>
      <c r="C408" s="125" t="str">
        <f>IFERROR(INDEX(DA_SAP!$C:$C,(_xlfn.AGGREGATE(15,6,(ROW(DA_SAP!$F$3:$F$423)-2)/(DA_SAP!$F$3:$F$423=$A$380)*($A$380&lt;&gt;""),ROW()-382)+2)),"")</f>
        <v>Quantité totale</v>
      </c>
      <c r="D408" s="125" t="str">
        <f>IFERROR(INDEX(DA_SAP!$D:$D,(_xlfn.AGGREGATE(15,6,(ROW(DA_SAP!$F$3:$F$423)-2)/(DA_SAP!$F$3:$F$423=$A$380)*($A$380&lt;&gt;""),ROW()-382)+2)),"")</f>
        <v>Unité</v>
      </c>
      <c r="E408" s="125" t="str">
        <f>IFERROR(INDEX(DA_SAP!$E:$E,(_xlfn.AGGREGATE(15,6,(ROW(DA_SAP!$F$3:$F$423)-2)/(DA_SAP!$F$3:$F$423=$A$380)*($A$380&lt;&gt;""),ROW()-382)+2)),"")</f>
        <v>Date de livraison</v>
      </c>
    </row>
    <row r="409" spans="1:5" x14ac:dyDescent="0.25">
      <c r="A409" s="125" t="str">
        <f>IFERROR(INDEX(DA_SAP!$A:$A,(_xlfn.AGGREGATE(15,6,(ROW(DA_SAP!$F$3:$F$423)-2)/(DA_SAP!$F$3:$F$423=$A$380)*($A$380&lt;&gt;""),ROW()-382)+2)),"")</f>
        <v>Code article</v>
      </c>
      <c r="B409" s="125" t="str">
        <f>IFERROR(INDEX(DA_SAP!$B:$B,(_xlfn.AGGREGATE(15,6,(ROW(DA_SAP!$F$3:$F$423)-2)/(DA_SAP!$F$3:$F$423=$A$380)*($A$380&lt;&gt;""),ROW()-382)+2)),"")</f>
        <v>Désignation</v>
      </c>
      <c r="C409" s="125" t="str">
        <f>IFERROR(INDEX(DA_SAP!$C:$C,(_xlfn.AGGREGATE(15,6,(ROW(DA_SAP!$F$3:$F$423)-2)/(DA_SAP!$F$3:$F$423=$A$380)*($A$380&lt;&gt;""),ROW()-382)+2)),"")</f>
        <v>Quantité totale</v>
      </c>
      <c r="D409" s="125" t="str">
        <f>IFERROR(INDEX(DA_SAP!$D:$D,(_xlfn.AGGREGATE(15,6,(ROW(DA_SAP!$F$3:$F$423)-2)/(DA_SAP!$F$3:$F$423=$A$380)*($A$380&lt;&gt;""),ROW()-382)+2)),"")</f>
        <v>Unité</v>
      </c>
      <c r="E409" s="125" t="str">
        <f>IFERROR(INDEX(DA_SAP!$E:$E,(_xlfn.AGGREGATE(15,6,(ROW(DA_SAP!$F$3:$F$423)-2)/(DA_SAP!$F$3:$F$423=$A$380)*($A$380&lt;&gt;""),ROW()-382)+2)),"")</f>
        <v>Date de livraison</v>
      </c>
    </row>
    <row r="410" spans="1:5" x14ac:dyDescent="0.25">
      <c r="A410" s="125" t="str">
        <f>IFERROR(INDEX(DA_SAP!$A:$A,(_xlfn.AGGREGATE(15,6,(ROW(DA_SAP!$F$3:$F$423)-2)/(DA_SAP!$F$3:$F$423=$A$380)*($A$380&lt;&gt;""),ROW()-382)+2)),"")</f>
        <v>Code article</v>
      </c>
      <c r="B410" s="125" t="str">
        <f>IFERROR(INDEX(DA_SAP!$B:$B,(_xlfn.AGGREGATE(15,6,(ROW(DA_SAP!$F$3:$F$423)-2)/(DA_SAP!$F$3:$F$423=$A$380)*($A$380&lt;&gt;""),ROW()-382)+2)),"")</f>
        <v>Désignation</v>
      </c>
      <c r="C410" s="125" t="str">
        <f>IFERROR(INDEX(DA_SAP!$C:$C,(_xlfn.AGGREGATE(15,6,(ROW(DA_SAP!$F$3:$F$423)-2)/(DA_SAP!$F$3:$F$423=$A$380)*($A$380&lt;&gt;""),ROW()-382)+2)),"")</f>
        <v>Quantité totale</v>
      </c>
      <c r="D410" s="125" t="str">
        <f>IFERROR(INDEX(DA_SAP!$D:$D,(_xlfn.AGGREGATE(15,6,(ROW(DA_SAP!$F$3:$F$423)-2)/(DA_SAP!$F$3:$F$423=$A$380)*($A$380&lt;&gt;""),ROW()-382)+2)),"")</f>
        <v>Unité</v>
      </c>
      <c r="E410" s="125" t="str">
        <f>IFERROR(INDEX(DA_SAP!$E:$E,(_xlfn.AGGREGATE(15,6,(ROW(DA_SAP!$F$3:$F$423)-2)/(DA_SAP!$F$3:$F$423=$A$380)*($A$380&lt;&gt;""),ROW()-382)+2)),"")</f>
        <v>Date de livraison</v>
      </c>
    </row>
    <row r="411" spans="1:5" x14ac:dyDescent="0.25">
      <c r="A411" s="125" t="str">
        <f>IFERROR(INDEX(DA_SAP!$A:$A,(_xlfn.AGGREGATE(15,6,(ROW(DA_SAP!$F$3:$F$423)-2)/(DA_SAP!$F$3:$F$423=$A$380)*($A$380&lt;&gt;""),ROW()-382)+2)),"")</f>
        <v>Code article</v>
      </c>
      <c r="B411" s="125" t="str">
        <f>IFERROR(INDEX(DA_SAP!$B:$B,(_xlfn.AGGREGATE(15,6,(ROW(DA_SAP!$F$3:$F$423)-2)/(DA_SAP!$F$3:$F$423=$A$380)*($A$380&lt;&gt;""),ROW()-382)+2)),"")</f>
        <v>Désignation</v>
      </c>
      <c r="C411" s="125" t="str">
        <f>IFERROR(INDEX(DA_SAP!$C:$C,(_xlfn.AGGREGATE(15,6,(ROW(DA_SAP!$F$3:$F$423)-2)/(DA_SAP!$F$3:$F$423=$A$380)*($A$380&lt;&gt;""),ROW()-382)+2)),"")</f>
        <v>Quantité totale</v>
      </c>
      <c r="D411" s="125" t="str">
        <f>IFERROR(INDEX(DA_SAP!$D:$D,(_xlfn.AGGREGATE(15,6,(ROW(DA_SAP!$F$3:$F$423)-2)/(DA_SAP!$F$3:$F$423=$A$380)*($A$380&lt;&gt;""),ROW()-382)+2)),"")</f>
        <v>Unité</v>
      </c>
      <c r="E411" s="125" t="str">
        <f>IFERROR(INDEX(DA_SAP!$E:$E,(_xlfn.AGGREGATE(15,6,(ROW(DA_SAP!$F$3:$F$423)-2)/(DA_SAP!$F$3:$F$423=$A$380)*($A$380&lt;&gt;""),ROW()-382)+2)),"")</f>
        <v>Date de livraison</v>
      </c>
    </row>
    <row r="412" spans="1:5" x14ac:dyDescent="0.25">
      <c r="A412" s="125" t="str">
        <f>IFERROR(INDEX(DA_SAP!$A:$A,(_xlfn.AGGREGATE(15,6,(ROW(DA_SAP!$F$3:$F$423)-2)/(DA_SAP!$F$3:$F$423=$A$380)*($A$380&lt;&gt;""),ROW()-382)+2)),"")</f>
        <v>Code article</v>
      </c>
      <c r="B412" s="125" t="str">
        <f>IFERROR(INDEX(DA_SAP!$B:$B,(_xlfn.AGGREGATE(15,6,(ROW(DA_SAP!$F$3:$F$423)-2)/(DA_SAP!$F$3:$F$423=$A$380)*($A$380&lt;&gt;""),ROW()-382)+2)),"")</f>
        <v>Désignation</v>
      </c>
      <c r="C412" s="125" t="str">
        <f>IFERROR(INDEX(DA_SAP!$C:$C,(_xlfn.AGGREGATE(15,6,(ROW(DA_SAP!$F$3:$F$423)-2)/(DA_SAP!$F$3:$F$423=$A$380)*($A$380&lt;&gt;""),ROW()-382)+2)),"")</f>
        <v>Quantité totale</v>
      </c>
      <c r="D412" s="125" t="str">
        <f>IFERROR(INDEX(DA_SAP!$D:$D,(_xlfn.AGGREGATE(15,6,(ROW(DA_SAP!$F$3:$F$423)-2)/(DA_SAP!$F$3:$F$423=$A$380)*($A$380&lt;&gt;""),ROW()-382)+2)),"")</f>
        <v>Unité</v>
      </c>
      <c r="E412" s="125" t="str">
        <f>IFERROR(INDEX(DA_SAP!$E:$E,(_xlfn.AGGREGATE(15,6,(ROW(DA_SAP!$F$3:$F$423)-2)/(DA_SAP!$F$3:$F$423=$A$380)*($A$380&lt;&gt;""),ROW()-382)+2)),"")</f>
        <v>Date de livraison</v>
      </c>
    </row>
    <row r="413" spans="1:5" x14ac:dyDescent="0.25">
      <c r="A413" s="125" t="str">
        <f>IFERROR(INDEX(DA_SAP!$A:$A,(_xlfn.AGGREGATE(15,6,(ROW(DA_SAP!$F$3:$F$423)-2)/(DA_SAP!$F$3:$F$423=$A$380)*($A$380&lt;&gt;""),ROW()-382)+2)),"")</f>
        <v>Code article</v>
      </c>
      <c r="B413" s="125" t="str">
        <f>IFERROR(INDEX(DA_SAP!$B:$B,(_xlfn.AGGREGATE(15,6,(ROW(DA_SAP!$F$3:$F$423)-2)/(DA_SAP!$F$3:$F$423=$A$380)*($A$380&lt;&gt;""),ROW()-382)+2)),"")</f>
        <v>Désignation</v>
      </c>
      <c r="C413" s="125" t="str">
        <f>IFERROR(INDEX(DA_SAP!$C:$C,(_xlfn.AGGREGATE(15,6,(ROW(DA_SAP!$F$3:$F$423)-2)/(DA_SAP!$F$3:$F$423=$A$380)*($A$380&lt;&gt;""),ROW()-382)+2)),"")</f>
        <v>Quantité totale</v>
      </c>
      <c r="D413" s="125" t="str">
        <f>IFERROR(INDEX(DA_SAP!$D:$D,(_xlfn.AGGREGATE(15,6,(ROW(DA_SAP!$F$3:$F$423)-2)/(DA_SAP!$F$3:$F$423=$A$380)*($A$380&lt;&gt;""),ROW()-382)+2)),"")</f>
        <v>Unité</v>
      </c>
      <c r="E413" s="125" t="str">
        <f>IFERROR(INDEX(DA_SAP!$E:$E,(_xlfn.AGGREGATE(15,6,(ROW(DA_SAP!$F$3:$F$423)-2)/(DA_SAP!$F$3:$F$423=$A$380)*($A$380&lt;&gt;""),ROW()-382)+2)),"")</f>
        <v>Date de livraison</v>
      </c>
    </row>
    <row r="414" spans="1:5" x14ac:dyDescent="0.25">
      <c r="A414" s="125" t="str">
        <f>IFERROR(INDEX(DA_SAP!$A:$A,(_xlfn.AGGREGATE(15,6,(ROW(DA_SAP!$F$3:$F$423)-2)/(DA_SAP!$F$3:$F$423=$A$380)*($A$380&lt;&gt;""),ROW()-382)+2)),"")</f>
        <v>Code article</v>
      </c>
      <c r="B414" s="125" t="str">
        <f>IFERROR(INDEX(DA_SAP!$B:$B,(_xlfn.AGGREGATE(15,6,(ROW(DA_SAP!$F$3:$F$423)-2)/(DA_SAP!$F$3:$F$423=$A$380)*($A$380&lt;&gt;""),ROW()-382)+2)),"")</f>
        <v>Désignation</v>
      </c>
      <c r="C414" s="125" t="str">
        <f>IFERROR(INDEX(DA_SAP!$C:$C,(_xlfn.AGGREGATE(15,6,(ROW(DA_SAP!$F$3:$F$423)-2)/(DA_SAP!$F$3:$F$423=$A$380)*($A$380&lt;&gt;""),ROW()-382)+2)),"")</f>
        <v>Quantité totale</v>
      </c>
      <c r="D414" s="125" t="str">
        <f>IFERROR(INDEX(DA_SAP!$D:$D,(_xlfn.AGGREGATE(15,6,(ROW(DA_SAP!$F$3:$F$423)-2)/(DA_SAP!$F$3:$F$423=$A$380)*($A$380&lt;&gt;""),ROW()-382)+2)),"")</f>
        <v>Unité</v>
      </c>
      <c r="E414" s="125" t="str">
        <f>IFERROR(INDEX(DA_SAP!$E:$E,(_xlfn.AGGREGATE(15,6,(ROW(DA_SAP!$F$3:$F$423)-2)/(DA_SAP!$F$3:$F$423=$A$380)*($A$380&lt;&gt;""),ROW()-382)+2)),"")</f>
        <v>Date de livraison</v>
      </c>
    </row>
    <row r="415" spans="1:5" x14ac:dyDescent="0.25">
      <c r="A415" s="125" t="str">
        <f>IFERROR(INDEX(DA_SAP!$A:$A,(_xlfn.AGGREGATE(15,6,(ROW(DA_SAP!$F$3:$F$423)-2)/(DA_SAP!$F$3:$F$423=$A$380)*($A$380&lt;&gt;""),ROW()-382)+2)),"")</f>
        <v>Code article</v>
      </c>
      <c r="B415" s="125" t="str">
        <f>IFERROR(INDEX(DA_SAP!$B:$B,(_xlfn.AGGREGATE(15,6,(ROW(DA_SAP!$F$3:$F$423)-2)/(DA_SAP!$F$3:$F$423=$A$380)*($A$380&lt;&gt;""),ROW()-382)+2)),"")</f>
        <v>Désignation</v>
      </c>
      <c r="C415" s="125" t="str">
        <f>IFERROR(INDEX(DA_SAP!$C:$C,(_xlfn.AGGREGATE(15,6,(ROW(DA_SAP!$F$3:$F$423)-2)/(DA_SAP!$F$3:$F$423=$A$380)*($A$380&lt;&gt;""),ROW()-382)+2)),"")</f>
        <v>Quantité totale</v>
      </c>
      <c r="D415" s="125" t="str">
        <f>IFERROR(INDEX(DA_SAP!$D:$D,(_xlfn.AGGREGATE(15,6,(ROW(DA_SAP!$F$3:$F$423)-2)/(DA_SAP!$F$3:$F$423=$A$380)*($A$380&lt;&gt;""),ROW()-382)+2)),"")</f>
        <v>Unité</v>
      </c>
      <c r="E415" s="125" t="str">
        <f>IFERROR(INDEX(DA_SAP!$E:$E,(_xlfn.AGGREGATE(15,6,(ROW(DA_SAP!$F$3:$F$423)-2)/(DA_SAP!$F$3:$F$423=$A$380)*($A$380&lt;&gt;""),ROW()-382)+2)),"")</f>
        <v>Date de livraison</v>
      </c>
    </row>
    <row r="416" spans="1:5" x14ac:dyDescent="0.25">
      <c r="A416" s="125" t="str">
        <f>IFERROR(INDEX(DA_SAP!$A:$A,(_xlfn.AGGREGATE(15,6,(ROW(DA_SAP!$F$3:$F$423)-2)/(DA_SAP!$F$3:$F$423=$A$380)*($A$380&lt;&gt;""),ROW()-382)+2)),"")</f>
        <v>Code article</v>
      </c>
      <c r="B416" s="125" t="str">
        <f>IFERROR(INDEX(DA_SAP!$B:$B,(_xlfn.AGGREGATE(15,6,(ROW(DA_SAP!$F$3:$F$423)-2)/(DA_SAP!$F$3:$F$423=$A$380)*($A$380&lt;&gt;""),ROW()-382)+2)),"")</f>
        <v>Désignation</v>
      </c>
      <c r="C416" s="125" t="str">
        <f>IFERROR(INDEX(DA_SAP!$C:$C,(_xlfn.AGGREGATE(15,6,(ROW(DA_SAP!$F$3:$F$423)-2)/(DA_SAP!$F$3:$F$423=$A$380)*($A$380&lt;&gt;""),ROW()-382)+2)),"")</f>
        <v>Quantité totale</v>
      </c>
      <c r="D416" s="125" t="str">
        <f>IFERROR(INDEX(DA_SAP!$D:$D,(_xlfn.AGGREGATE(15,6,(ROW(DA_SAP!$F$3:$F$423)-2)/(DA_SAP!$F$3:$F$423=$A$380)*($A$380&lt;&gt;""),ROW()-382)+2)),"")</f>
        <v>Unité</v>
      </c>
      <c r="E416" s="125" t="str">
        <f>IFERROR(INDEX(DA_SAP!$E:$E,(_xlfn.AGGREGATE(15,6,(ROW(DA_SAP!$F$3:$F$423)-2)/(DA_SAP!$F$3:$F$423=$A$380)*($A$380&lt;&gt;""),ROW()-382)+2)),"")</f>
        <v>Date de livraison</v>
      </c>
    </row>
    <row r="417" spans="1:5" x14ac:dyDescent="0.25">
      <c r="A417" s="125" t="str">
        <f>IFERROR(INDEX(DA_SAP!$A:$A,(_xlfn.AGGREGATE(15,6,(ROW(DA_SAP!$F$3:$F$423)-2)/(DA_SAP!$F$3:$F$423=$A$380)*($A$380&lt;&gt;""),ROW()-382)+2)),"")</f>
        <v>Code article</v>
      </c>
      <c r="B417" s="125" t="str">
        <f>IFERROR(INDEX(DA_SAP!$B:$B,(_xlfn.AGGREGATE(15,6,(ROW(DA_SAP!$F$3:$F$423)-2)/(DA_SAP!$F$3:$F$423=$A$380)*($A$380&lt;&gt;""),ROW()-382)+2)),"")</f>
        <v>Désignation</v>
      </c>
      <c r="C417" s="125" t="str">
        <f>IFERROR(INDEX(DA_SAP!$C:$C,(_xlfn.AGGREGATE(15,6,(ROW(DA_SAP!$F$3:$F$423)-2)/(DA_SAP!$F$3:$F$423=$A$380)*($A$380&lt;&gt;""),ROW()-382)+2)),"")</f>
        <v>Quantité totale</v>
      </c>
      <c r="D417" s="125" t="str">
        <f>IFERROR(INDEX(DA_SAP!$D:$D,(_xlfn.AGGREGATE(15,6,(ROW(DA_SAP!$F$3:$F$423)-2)/(DA_SAP!$F$3:$F$423=$A$380)*($A$380&lt;&gt;""),ROW()-382)+2)),"")</f>
        <v>Unité</v>
      </c>
      <c r="E417" s="125" t="str">
        <f>IFERROR(INDEX(DA_SAP!$E:$E,(_xlfn.AGGREGATE(15,6,(ROW(DA_SAP!$F$3:$F$423)-2)/(DA_SAP!$F$3:$F$423=$A$380)*($A$380&lt;&gt;""),ROW()-382)+2)),"")</f>
        <v>Date de livraison</v>
      </c>
    </row>
    <row r="418" spans="1:5" x14ac:dyDescent="0.25">
      <c r="A418" s="125" t="str">
        <f>IFERROR(INDEX(DA_SAP!$A:$A,(_xlfn.AGGREGATE(15,6,(ROW(DA_SAP!$F$3:$F$423)-2)/(DA_SAP!$F$3:$F$423=$A$380)*($A$380&lt;&gt;""),ROW()-382)+2)),"")</f>
        <v>Code article</v>
      </c>
      <c r="B418" s="125" t="str">
        <f>IFERROR(INDEX(DA_SAP!$B:$B,(_xlfn.AGGREGATE(15,6,(ROW(DA_SAP!$F$3:$F$423)-2)/(DA_SAP!$F$3:$F$423=$A$380)*($A$380&lt;&gt;""),ROW()-382)+2)),"")</f>
        <v>Désignation</v>
      </c>
      <c r="C418" s="125" t="str">
        <f>IFERROR(INDEX(DA_SAP!$C:$C,(_xlfn.AGGREGATE(15,6,(ROW(DA_SAP!$F$3:$F$423)-2)/(DA_SAP!$F$3:$F$423=$A$380)*($A$380&lt;&gt;""),ROW()-382)+2)),"")</f>
        <v>Quantité totale</v>
      </c>
      <c r="D418" s="125" t="str">
        <f>IFERROR(INDEX(DA_SAP!$D:$D,(_xlfn.AGGREGATE(15,6,(ROW(DA_SAP!$F$3:$F$423)-2)/(DA_SAP!$F$3:$F$423=$A$380)*($A$380&lt;&gt;""),ROW()-382)+2)),"")</f>
        <v>Unité</v>
      </c>
      <c r="E418" s="125" t="str">
        <f>IFERROR(INDEX(DA_SAP!$E:$E,(_xlfn.AGGREGATE(15,6,(ROW(DA_SAP!$F$3:$F$423)-2)/(DA_SAP!$F$3:$F$423=$A$380)*($A$380&lt;&gt;""),ROW()-382)+2)),"")</f>
        <v>Date de livraison</v>
      </c>
    </row>
    <row r="419" spans="1:5" x14ac:dyDescent="0.25">
      <c r="A419" s="125" t="str">
        <f>IFERROR(INDEX(DA_SAP!$A:$A,(_xlfn.AGGREGATE(15,6,(ROW(DA_SAP!$F$3:$F$423)-2)/(DA_SAP!$F$3:$F$423=$A$380)*($A$380&lt;&gt;""),ROW()-382)+2)),"")</f>
        <v>Code article</v>
      </c>
      <c r="B419" s="125" t="str">
        <f>IFERROR(INDEX(DA_SAP!$B:$B,(_xlfn.AGGREGATE(15,6,(ROW(DA_SAP!$F$3:$F$423)-2)/(DA_SAP!$F$3:$F$423=$A$380)*($A$380&lt;&gt;""),ROW()-382)+2)),"")</f>
        <v>Désignation</v>
      </c>
      <c r="C419" s="125" t="str">
        <f>IFERROR(INDEX(DA_SAP!$C:$C,(_xlfn.AGGREGATE(15,6,(ROW(DA_SAP!$F$3:$F$423)-2)/(DA_SAP!$F$3:$F$423=$A$380)*($A$380&lt;&gt;""),ROW()-382)+2)),"")</f>
        <v>Quantité totale</v>
      </c>
      <c r="D419" s="125" t="str">
        <f>IFERROR(INDEX(DA_SAP!$D:$D,(_xlfn.AGGREGATE(15,6,(ROW(DA_SAP!$F$3:$F$423)-2)/(DA_SAP!$F$3:$F$423=$A$380)*($A$380&lt;&gt;""),ROW()-382)+2)),"")</f>
        <v>Unité</v>
      </c>
      <c r="E419" s="125" t="str">
        <f>IFERROR(INDEX(DA_SAP!$E:$E,(_xlfn.AGGREGATE(15,6,(ROW(DA_SAP!$F$3:$F$423)-2)/(DA_SAP!$F$3:$F$423=$A$380)*($A$380&lt;&gt;""),ROW()-382)+2)),"")</f>
        <v>Date de livraison</v>
      </c>
    </row>
    <row r="420" spans="1:5" x14ac:dyDescent="0.25">
      <c r="A420" s="125" t="str">
        <f>IFERROR(INDEX(DA_SAP!$A:$A,(_xlfn.AGGREGATE(15,6,(ROW(DA_SAP!$F$3:$F$423)-2)/(DA_SAP!$F$3:$F$423=$A$380)*($A$380&lt;&gt;""),ROW()-382)+2)),"")</f>
        <v>Code article</v>
      </c>
      <c r="B420" s="125" t="str">
        <f>IFERROR(INDEX(DA_SAP!$B:$B,(_xlfn.AGGREGATE(15,6,(ROW(DA_SAP!$F$3:$F$423)-2)/(DA_SAP!$F$3:$F$423=$A$380)*($A$380&lt;&gt;""),ROW()-382)+2)),"")</f>
        <v>Désignation</v>
      </c>
      <c r="C420" s="125" t="str">
        <f>IFERROR(INDEX(DA_SAP!$C:$C,(_xlfn.AGGREGATE(15,6,(ROW(DA_SAP!$F$3:$F$423)-2)/(DA_SAP!$F$3:$F$423=$A$380)*($A$380&lt;&gt;""),ROW()-382)+2)),"")</f>
        <v>Quantité totale</v>
      </c>
      <c r="D420" s="125" t="str">
        <f>IFERROR(INDEX(DA_SAP!$D:$D,(_xlfn.AGGREGATE(15,6,(ROW(DA_SAP!$F$3:$F$423)-2)/(DA_SAP!$F$3:$F$423=$A$380)*($A$380&lt;&gt;""),ROW()-382)+2)),"")</f>
        <v>Unité</v>
      </c>
      <c r="E420" s="125" t="str">
        <f>IFERROR(INDEX(DA_SAP!$E:$E,(_xlfn.AGGREGATE(15,6,(ROW(DA_SAP!$F$3:$F$423)-2)/(DA_SAP!$F$3:$F$423=$A$380)*($A$380&lt;&gt;""),ROW()-382)+2)),"")</f>
        <v>Date de livraison</v>
      </c>
    </row>
    <row r="421" spans="1:5" x14ac:dyDescent="0.25">
      <c r="A421" s="125" t="str">
        <f>IFERROR(INDEX(DA_SAP!$A:$A,(_xlfn.AGGREGATE(15,6,(ROW(DA_SAP!$F$3:$F$423)-2)/(DA_SAP!$F$3:$F$423=$A$380)*($A$380&lt;&gt;""),ROW()-382)+2)),"")</f>
        <v>Code article</v>
      </c>
      <c r="B421" s="125" t="str">
        <f>IFERROR(INDEX(DA_SAP!$B:$B,(_xlfn.AGGREGATE(15,6,(ROW(DA_SAP!$F$3:$F$423)-2)/(DA_SAP!$F$3:$F$423=$A$380)*($A$380&lt;&gt;""),ROW()-382)+2)),"")</f>
        <v>Désignation</v>
      </c>
      <c r="C421" s="125" t="str">
        <f>IFERROR(INDEX(DA_SAP!$C:$C,(_xlfn.AGGREGATE(15,6,(ROW(DA_SAP!$F$3:$F$423)-2)/(DA_SAP!$F$3:$F$423=$A$380)*($A$380&lt;&gt;""),ROW()-382)+2)),"")</f>
        <v>Quantité totale</v>
      </c>
      <c r="D421" s="125" t="str">
        <f>IFERROR(INDEX(DA_SAP!$D:$D,(_xlfn.AGGREGATE(15,6,(ROW(DA_SAP!$F$3:$F$423)-2)/(DA_SAP!$F$3:$F$423=$A$380)*($A$380&lt;&gt;""),ROW()-382)+2)),"")</f>
        <v>Unité</v>
      </c>
      <c r="E421" s="125" t="str">
        <f>IFERROR(INDEX(DA_SAP!$E:$E,(_xlfn.AGGREGATE(15,6,(ROW(DA_SAP!$F$3:$F$423)-2)/(DA_SAP!$F$3:$F$423=$A$380)*($A$380&lt;&gt;""),ROW()-382)+2)),"")</f>
        <v>Date de livraison</v>
      </c>
    </row>
    <row r="422" spans="1:5" x14ac:dyDescent="0.25">
      <c r="A422" s="125" t="str">
        <f>IFERROR(INDEX(DA_SAP!$A:$A,(_xlfn.AGGREGATE(15,6,(ROW(DA_SAP!$F$3:$F$423)-2)/(DA_SAP!$F$3:$F$423=$A$380)*($A$380&lt;&gt;""),ROW()-382)+2)),"")</f>
        <v>Code article</v>
      </c>
      <c r="B422" s="125" t="str">
        <f>IFERROR(INDEX(DA_SAP!$B:$B,(_xlfn.AGGREGATE(15,6,(ROW(DA_SAP!$F$3:$F$423)-2)/(DA_SAP!$F$3:$F$423=$A$380)*($A$380&lt;&gt;""),ROW()-382)+2)),"")</f>
        <v>Désignation</v>
      </c>
      <c r="C422" s="125" t="str">
        <f>IFERROR(INDEX(DA_SAP!$C:$C,(_xlfn.AGGREGATE(15,6,(ROW(DA_SAP!$F$3:$F$423)-2)/(DA_SAP!$F$3:$F$423=$A$380)*($A$380&lt;&gt;""),ROW()-382)+2)),"")</f>
        <v>Quantité totale</v>
      </c>
      <c r="D422" s="125" t="str">
        <f>IFERROR(INDEX(DA_SAP!$D:$D,(_xlfn.AGGREGATE(15,6,(ROW(DA_SAP!$F$3:$F$423)-2)/(DA_SAP!$F$3:$F$423=$A$380)*($A$380&lt;&gt;""),ROW()-382)+2)),"")</f>
        <v>Unité</v>
      </c>
      <c r="E422" s="125" t="str">
        <f>IFERROR(INDEX(DA_SAP!$E:$E,(_xlfn.AGGREGATE(15,6,(ROW(DA_SAP!$F$3:$F$423)-2)/(DA_SAP!$F$3:$F$423=$A$380)*($A$380&lt;&gt;""),ROW()-382)+2)),"")</f>
        <v>Date de livraison</v>
      </c>
    </row>
    <row r="423" spans="1:5" x14ac:dyDescent="0.25">
      <c r="A423" s="125" t="str">
        <f>IFERROR(INDEX(DA_SAP!$A:$A,(_xlfn.AGGREGATE(15,6,(ROW(DA_SAP!$F$3:$F$423)-2)/(DA_SAP!$F$3:$F$423=$A$380)*($A$380&lt;&gt;""),ROW()-382)+2)),"")</f>
        <v>Code article</v>
      </c>
      <c r="B423" s="125" t="str">
        <f>IFERROR(INDEX(DA_SAP!$B:$B,(_xlfn.AGGREGATE(15,6,(ROW(DA_SAP!$F$3:$F$423)-2)/(DA_SAP!$F$3:$F$423=$A$380)*($A$380&lt;&gt;""),ROW()-382)+2)),"")</f>
        <v>Désignation</v>
      </c>
      <c r="C423" s="125" t="str">
        <f>IFERROR(INDEX(DA_SAP!$C:$C,(_xlfn.AGGREGATE(15,6,(ROW(DA_SAP!$F$3:$F$423)-2)/(DA_SAP!$F$3:$F$423=$A$380)*($A$380&lt;&gt;""),ROW()-382)+2)),"")</f>
        <v>Quantité totale</v>
      </c>
      <c r="D423" s="125" t="str">
        <f>IFERROR(INDEX(DA_SAP!$D:$D,(_xlfn.AGGREGATE(15,6,(ROW(DA_SAP!$F$3:$F$423)-2)/(DA_SAP!$F$3:$F$423=$A$380)*($A$380&lt;&gt;""),ROW()-382)+2)),"")</f>
        <v>Unité</v>
      </c>
      <c r="E423" s="125" t="str">
        <f>IFERROR(INDEX(DA_SAP!$E:$E,(_xlfn.AGGREGATE(15,6,(ROW(DA_SAP!$F$3:$F$423)-2)/(DA_SAP!$F$3:$F$423=$A$380)*($A$380&lt;&gt;""),ROW()-382)+2)),"")</f>
        <v>Date de livraison</v>
      </c>
    </row>
    <row r="424" spans="1:5" x14ac:dyDescent="0.25">
      <c r="A424" s="125" t="str">
        <f>IFERROR(INDEX(DA_SAP!$A:$A,(_xlfn.AGGREGATE(15,6,(ROW(DA_SAP!$F$3:$F$423)-2)/(DA_SAP!$F$3:$F$423=$A$380)*($A$380&lt;&gt;""),ROW()-382)+2)),"")</f>
        <v>Code article</v>
      </c>
      <c r="B424" s="125" t="str">
        <f>IFERROR(INDEX(DA_SAP!$B:$B,(_xlfn.AGGREGATE(15,6,(ROW(DA_SAP!$F$3:$F$423)-2)/(DA_SAP!$F$3:$F$423=$A$380)*($A$380&lt;&gt;""),ROW()-382)+2)),"")</f>
        <v>Désignation</v>
      </c>
      <c r="C424" s="125" t="str">
        <f>IFERROR(INDEX(DA_SAP!$C:$C,(_xlfn.AGGREGATE(15,6,(ROW(DA_SAP!$F$3:$F$423)-2)/(DA_SAP!$F$3:$F$423=$A$380)*($A$380&lt;&gt;""),ROW()-382)+2)),"")</f>
        <v>Quantité totale</v>
      </c>
      <c r="D424" s="125" t="str">
        <f>IFERROR(INDEX(DA_SAP!$D:$D,(_xlfn.AGGREGATE(15,6,(ROW(DA_SAP!$F$3:$F$423)-2)/(DA_SAP!$F$3:$F$423=$A$380)*($A$380&lt;&gt;""),ROW()-382)+2)),"")</f>
        <v>Unité</v>
      </c>
      <c r="E424" s="125" t="str">
        <f>IFERROR(INDEX(DA_SAP!$E:$E,(_xlfn.AGGREGATE(15,6,(ROW(DA_SAP!$F$3:$F$423)-2)/(DA_SAP!$F$3:$F$423=$A$380)*($A$380&lt;&gt;""),ROW()-382)+2)),"")</f>
        <v>Date de livraison</v>
      </c>
    </row>
    <row r="425" spans="1:5" x14ac:dyDescent="0.25">
      <c r="A425" s="125" t="str">
        <f>IFERROR(INDEX(DA_SAP!$A:$A,(_xlfn.AGGREGATE(15,6,(ROW(DA_SAP!$F$3:$F$423)-2)/(DA_SAP!$F$3:$F$423=$A$380)*($A$380&lt;&gt;""),ROW()-382)+2)),"")</f>
        <v>Code article</v>
      </c>
      <c r="B425" s="125" t="str">
        <f>IFERROR(INDEX(DA_SAP!$B:$B,(_xlfn.AGGREGATE(15,6,(ROW(DA_SAP!$F$3:$F$423)-2)/(DA_SAP!$F$3:$F$423=$A$380)*($A$380&lt;&gt;""),ROW()-382)+2)),"")</f>
        <v>Désignation</v>
      </c>
      <c r="C425" s="125" t="str">
        <f>IFERROR(INDEX(DA_SAP!$C:$C,(_xlfn.AGGREGATE(15,6,(ROW(DA_SAP!$F$3:$F$423)-2)/(DA_SAP!$F$3:$F$423=$A$380)*($A$380&lt;&gt;""),ROW()-382)+2)),"")</f>
        <v>Quantité totale</v>
      </c>
      <c r="D425" s="125" t="str">
        <f>IFERROR(INDEX(DA_SAP!$D:$D,(_xlfn.AGGREGATE(15,6,(ROW(DA_SAP!$F$3:$F$423)-2)/(DA_SAP!$F$3:$F$423=$A$380)*($A$380&lt;&gt;""),ROW()-382)+2)),"")</f>
        <v>Unité</v>
      </c>
      <c r="E425" s="125" t="str">
        <f>IFERROR(INDEX(DA_SAP!$E:$E,(_xlfn.AGGREGATE(15,6,(ROW(DA_SAP!$F$3:$F$423)-2)/(DA_SAP!$F$3:$F$423=$A$380)*($A$380&lt;&gt;""),ROW()-382)+2)),"")</f>
        <v>Date de livraison</v>
      </c>
    </row>
    <row r="426" spans="1:5" x14ac:dyDescent="0.25">
      <c r="A426" s="125" t="str">
        <f>IFERROR(INDEX(DA_SAP!$A:$A,(_xlfn.AGGREGATE(15,6,(ROW(DA_SAP!$F$3:$F$423)-2)/(DA_SAP!$F$3:$F$423=$A$380)*($A$380&lt;&gt;""),ROW()-382)+2)),"")</f>
        <v>Code article</v>
      </c>
      <c r="B426" s="125" t="str">
        <f>IFERROR(INDEX(DA_SAP!$B:$B,(_xlfn.AGGREGATE(15,6,(ROW(DA_SAP!$F$3:$F$423)-2)/(DA_SAP!$F$3:$F$423=$A$380)*($A$380&lt;&gt;""),ROW()-382)+2)),"")</f>
        <v>Désignation</v>
      </c>
      <c r="C426" s="125" t="str">
        <f>IFERROR(INDEX(DA_SAP!$C:$C,(_xlfn.AGGREGATE(15,6,(ROW(DA_SAP!$F$3:$F$423)-2)/(DA_SAP!$F$3:$F$423=$A$380)*($A$380&lt;&gt;""),ROW()-382)+2)),"")</f>
        <v>Quantité totale</v>
      </c>
      <c r="D426" s="125" t="str">
        <f>IFERROR(INDEX(DA_SAP!$D:$D,(_xlfn.AGGREGATE(15,6,(ROW(DA_SAP!$F$3:$F$423)-2)/(DA_SAP!$F$3:$F$423=$A$380)*($A$380&lt;&gt;""),ROW()-382)+2)),"")</f>
        <v>Unité</v>
      </c>
      <c r="E426" s="125" t="str">
        <f>IFERROR(INDEX(DA_SAP!$E:$E,(_xlfn.AGGREGATE(15,6,(ROW(DA_SAP!$F$3:$F$423)-2)/(DA_SAP!$F$3:$F$423=$A$380)*($A$380&lt;&gt;""),ROW()-382)+2)),"")</f>
        <v>Date de livraison</v>
      </c>
    </row>
    <row r="427" spans="1:5" x14ac:dyDescent="0.25">
      <c r="A427" s="125" t="str">
        <f>IFERROR(INDEX(DA_SAP!$A:$A,(_xlfn.AGGREGATE(15,6,(ROW(DA_SAP!$F$3:$F$423)-2)/(DA_SAP!$F$3:$F$423=$A$380)*($A$380&lt;&gt;""),ROW()-382)+2)),"")</f>
        <v>Code article</v>
      </c>
      <c r="B427" s="125" t="str">
        <f>IFERROR(INDEX(DA_SAP!$B:$B,(_xlfn.AGGREGATE(15,6,(ROW(DA_SAP!$F$3:$F$423)-2)/(DA_SAP!$F$3:$F$423=$A$380)*($A$380&lt;&gt;""),ROW()-382)+2)),"")</f>
        <v>Désignation</v>
      </c>
      <c r="C427" s="125" t="str">
        <f>IFERROR(INDEX(DA_SAP!$C:$C,(_xlfn.AGGREGATE(15,6,(ROW(DA_SAP!$F$3:$F$423)-2)/(DA_SAP!$F$3:$F$423=$A$380)*($A$380&lt;&gt;""),ROW()-382)+2)),"")</f>
        <v>Quantité totale</v>
      </c>
      <c r="D427" s="125" t="str">
        <f>IFERROR(INDEX(DA_SAP!$D:$D,(_xlfn.AGGREGATE(15,6,(ROW(DA_SAP!$F$3:$F$423)-2)/(DA_SAP!$F$3:$F$423=$A$380)*($A$380&lt;&gt;""),ROW()-382)+2)),"")</f>
        <v>Unité</v>
      </c>
      <c r="E427" s="125" t="str">
        <f>IFERROR(INDEX(DA_SAP!$E:$E,(_xlfn.AGGREGATE(15,6,(ROW(DA_SAP!$F$3:$F$423)-2)/(DA_SAP!$F$3:$F$423=$A$380)*($A$380&lt;&gt;""),ROW()-382)+2)),"")</f>
        <v>Date de livraison</v>
      </c>
    </row>
    <row r="428" spans="1:5" x14ac:dyDescent="0.25">
      <c r="A428" s="125" t="str">
        <f>IFERROR(INDEX(DA_SAP!$A:$A,(_xlfn.AGGREGATE(15,6,(ROW(DA_SAP!$F$3:$F$423)-2)/(DA_SAP!$F$3:$F$423=$A$380)*($A$380&lt;&gt;""),ROW()-382)+2)),"")</f>
        <v>Code article</v>
      </c>
      <c r="B428" s="125" t="str">
        <f>IFERROR(INDEX(DA_SAP!$B:$B,(_xlfn.AGGREGATE(15,6,(ROW(DA_SAP!$F$3:$F$423)-2)/(DA_SAP!$F$3:$F$423=$A$380)*($A$380&lt;&gt;""),ROW()-382)+2)),"")</f>
        <v>Désignation</v>
      </c>
      <c r="C428" s="125" t="str">
        <f>IFERROR(INDEX(DA_SAP!$C:$C,(_xlfn.AGGREGATE(15,6,(ROW(DA_SAP!$F$3:$F$423)-2)/(DA_SAP!$F$3:$F$423=$A$380)*($A$380&lt;&gt;""),ROW()-382)+2)),"")</f>
        <v>Quantité totale</v>
      </c>
      <c r="D428" s="125" t="str">
        <f>IFERROR(INDEX(DA_SAP!$D:$D,(_xlfn.AGGREGATE(15,6,(ROW(DA_SAP!$F$3:$F$423)-2)/(DA_SAP!$F$3:$F$423=$A$380)*($A$380&lt;&gt;""),ROW()-382)+2)),"")</f>
        <v>Unité</v>
      </c>
      <c r="E428" s="125" t="str">
        <f>IFERROR(INDEX(DA_SAP!$E:$E,(_xlfn.AGGREGATE(15,6,(ROW(DA_SAP!$F$3:$F$423)-2)/(DA_SAP!$F$3:$F$423=$A$380)*($A$380&lt;&gt;""),ROW()-382)+2)),"")</f>
        <v>Date de livraison</v>
      </c>
    </row>
    <row r="429" spans="1:5" x14ac:dyDescent="0.25">
      <c r="A429" s="125" t="str">
        <f>IFERROR(INDEX(DA_SAP!$A:$A,(_xlfn.AGGREGATE(15,6,(ROW(DA_SAP!$F$3:$F$423)-2)/(DA_SAP!$F$3:$F$423=$A$380)*($A$380&lt;&gt;""),ROW()-382)+2)),"")</f>
        <v>Code article</v>
      </c>
      <c r="B429" s="125" t="str">
        <f>IFERROR(INDEX(DA_SAP!$B:$B,(_xlfn.AGGREGATE(15,6,(ROW(DA_SAP!$F$3:$F$423)-2)/(DA_SAP!$F$3:$F$423=$A$380)*($A$380&lt;&gt;""),ROW()-382)+2)),"")</f>
        <v>Désignation</v>
      </c>
      <c r="C429" s="125" t="str">
        <f>IFERROR(INDEX(DA_SAP!$C:$C,(_xlfn.AGGREGATE(15,6,(ROW(DA_SAP!$F$3:$F$423)-2)/(DA_SAP!$F$3:$F$423=$A$380)*($A$380&lt;&gt;""),ROW()-382)+2)),"")</f>
        <v>Quantité totale</v>
      </c>
      <c r="D429" s="125" t="str">
        <f>IFERROR(INDEX(DA_SAP!$D:$D,(_xlfn.AGGREGATE(15,6,(ROW(DA_SAP!$F$3:$F$423)-2)/(DA_SAP!$F$3:$F$423=$A$380)*($A$380&lt;&gt;""),ROW()-382)+2)),"")</f>
        <v>Unité</v>
      </c>
      <c r="E429" s="125" t="str">
        <f>IFERROR(INDEX(DA_SAP!$E:$E,(_xlfn.AGGREGATE(15,6,(ROW(DA_SAP!$F$3:$F$423)-2)/(DA_SAP!$F$3:$F$423=$A$380)*($A$380&lt;&gt;""),ROW()-382)+2)),"")</f>
        <v>Date de livraison</v>
      </c>
    </row>
    <row r="430" spans="1:5" x14ac:dyDescent="0.25">
      <c r="A430" s="125" t="str">
        <f>IFERROR(INDEX(DA_SAP!$A:$A,(_xlfn.AGGREGATE(15,6,(ROW(DA_SAP!$F$3:$F$423)-2)/(DA_SAP!$F$3:$F$423=$A$380)*($A$380&lt;&gt;""),ROW()-382)+2)),"")</f>
        <v>Code article</v>
      </c>
      <c r="B430" s="125" t="str">
        <f>IFERROR(INDEX(DA_SAP!$B:$B,(_xlfn.AGGREGATE(15,6,(ROW(DA_SAP!$F$3:$F$423)-2)/(DA_SAP!$F$3:$F$423=$A$380)*($A$380&lt;&gt;""),ROW()-382)+2)),"")</f>
        <v>Désignation</v>
      </c>
      <c r="C430" s="125" t="str">
        <f>IFERROR(INDEX(DA_SAP!$C:$C,(_xlfn.AGGREGATE(15,6,(ROW(DA_SAP!$F$3:$F$423)-2)/(DA_SAP!$F$3:$F$423=$A$380)*($A$380&lt;&gt;""),ROW()-382)+2)),"")</f>
        <v>Quantité totale</v>
      </c>
      <c r="D430" s="125" t="str">
        <f>IFERROR(INDEX(DA_SAP!$D:$D,(_xlfn.AGGREGATE(15,6,(ROW(DA_SAP!$F$3:$F$423)-2)/(DA_SAP!$F$3:$F$423=$A$380)*($A$380&lt;&gt;""),ROW()-382)+2)),"")</f>
        <v>Unité</v>
      </c>
      <c r="E430" s="125" t="str">
        <f>IFERROR(INDEX(DA_SAP!$E:$E,(_xlfn.AGGREGATE(15,6,(ROW(DA_SAP!$F$3:$F$423)-2)/(DA_SAP!$F$3:$F$423=$A$380)*($A$380&lt;&gt;""),ROW()-382)+2)),"")</f>
        <v>Date de livraison</v>
      </c>
    </row>
    <row r="431" spans="1:5" x14ac:dyDescent="0.25">
      <c r="A431" s="125" t="str">
        <f>IFERROR(INDEX(DA_SAP!$A:$A,(_xlfn.AGGREGATE(15,6,(ROW(DA_SAP!$F$3:$F$423)-2)/(DA_SAP!$F$3:$F$423=$A$380)*($A$380&lt;&gt;""),ROW()-382)+2)),"")</f>
        <v>Code article</v>
      </c>
      <c r="B431" s="125" t="str">
        <f>IFERROR(INDEX(DA_SAP!$B:$B,(_xlfn.AGGREGATE(15,6,(ROW(DA_SAP!$F$3:$F$423)-2)/(DA_SAP!$F$3:$F$423=$A$380)*($A$380&lt;&gt;""),ROW()-382)+2)),"")</f>
        <v>Désignation</v>
      </c>
      <c r="C431" s="125" t="str">
        <f>IFERROR(INDEX(DA_SAP!$C:$C,(_xlfn.AGGREGATE(15,6,(ROW(DA_SAP!$F$3:$F$423)-2)/(DA_SAP!$F$3:$F$423=$A$380)*($A$380&lt;&gt;""),ROW()-382)+2)),"")</f>
        <v>Quantité totale</v>
      </c>
      <c r="D431" s="125" t="str">
        <f>IFERROR(INDEX(DA_SAP!$D:$D,(_xlfn.AGGREGATE(15,6,(ROW(DA_SAP!$F$3:$F$423)-2)/(DA_SAP!$F$3:$F$423=$A$380)*($A$380&lt;&gt;""),ROW()-382)+2)),"")</f>
        <v>Unité</v>
      </c>
      <c r="E431" s="125" t="str">
        <f>IFERROR(INDEX(DA_SAP!$E:$E,(_xlfn.AGGREGATE(15,6,(ROW(DA_SAP!$F$3:$F$423)-2)/(DA_SAP!$F$3:$F$423=$A$380)*($A$380&lt;&gt;""),ROW()-382)+2)),"")</f>
        <v>Date de livraison</v>
      </c>
    </row>
    <row r="432" spans="1:5" x14ac:dyDescent="0.25">
      <c r="A432" s="125" t="str">
        <f>IFERROR(INDEX(DA_SAP!$A:$A,(_xlfn.AGGREGATE(15,6,(ROW(DA_SAP!$F$3:$F$423)-2)/(DA_SAP!$F$3:$F$423=$A$380)*($A$380&lt;&gt;""),ROW()-382)+2)),"")</f>
        <v>Code article</v>
      </c>
      <c r="B432" s="125" t="str">
        <f>IFERROR(INDEX(DA_SAP!$B:$B,(_xlfn.AGGREGATE(15,6,(ROW(DA_SAP!$F$3:$F$423)-2)/(DA_SAP!$F$3:$F$423=$A$380)*($A$380&lt;&gt;""),ROW()-382)+2)),"")</f>
        <v>Désignation</v>
      </c>
      <c r="C432" s="125" t="str">
        <f>IFERROR(INDEX(DA_SAP!$C:$C,(_xlfn.AGGREGATE(15,6,(ROW(DA_SAP!$F$3:$F$423)-2)/(DA_SAP!$F$3:$F$423=$A$380)*($A$380&lt;&gt;""),ROW()-382)+2)),"")</f>
        <v>Quantité totale</v>
      </c>
      <c r="D432" s="125" t="str">
        <f>IFERROR(INDEX(DA_SAP!$D:$D,(_xlfn.AGGREGATE(15,6,(ROW(DA_SAP!$F$3:$F$423)-2)/(DA_SAP!$F$3:$F$423=$A$380)*($A$380&lt;&gt;""),ROW()-382)+2)),"")</f>
        <v>Unité</v>
      </c>
      <c r="E432" s="125" t="str">
        <f>IFERROR(INDEX(DA_SAP!$E:$E,(_xlfn.AGGREGATE(15,6,(ROW(DA_SAP!$F$3:$F$423)-2)/(DA_SAP!$F$3:$F$423=$A$380)*($A$380&lt;&gt;""),ROW()-382)+2)),"")</f>
        <v>Date de livraison</v>
      </c>
    </row>
    <row r="433" spans="1:5" x14ac:dyDescent="0.25">
      <c r="A433" s="125" t="str">
        <f>IFERROR(INDEX(DA_SAP!$A:$A,(_xlfn.AGGREGATE(15,6,(ROW(DA_SAP!$F$3:$F$423)-2)/(DA_SAP!$F$3:$F$423=$A$380)*($A$380&lt;&gt;""),ROW()-382)+2)),"")</f>
        <v>Code article</v>
      </c>
      <c r="B433" s="125" t="str">
        <f>IFERROR(INDEX(DA_SAP!$B:$B,(_xlfn.AGGREGATE(15,6,(ROW(DA_SAP!$F$3:$F$423)-2)/(DA_SAP!$F$3:$F$423=$A$380)*($A$380&lt;&gt;""),ROW()-382)+2)),"")</f>
        <v>Désignation</v>
      </c>
      <c r="C433" s="125" t="str">
        <f>IFERROR(INDEX(DA_SAP!$C:$C,(_xlfn.AGGREGATE(15,6,(ROW(DA_SAP!$F$3:$F$423)-2)/(DA_SAP!$F$3:$F$423=$A$380)*($A$380&lt;&gt;""),ROW()-382)+2)),"")</f>
        <v>Quantité totale</v>
      </c>
      <c r="D433" s="125" t="str">
        <f>IFERROR(INDEX(DA_SAP!$D:$D,(_xlfn.AGGREGATE(15,6,(ROW(DA_SAP!$F$3:$F$423)-2)/(DA_SAP!$F$3:$F$423=$A$380)*($A$380&lt;&gt;""),ROW()-382)+2)),"")</f>
        <v>Unité</v>
      </c>
      <c r="E433" s="125" t="str">
        <f>IFERROR(INDEX(DA_SAP!$E:$E,(_xlfn.AGGREGATE(15,6,(ROW(DA_SAP!$F$3:$F$423)-2)/(DA_SAP!$F$3:$F$423=$A$380)*($A$380&lt;&gt;""),ROW()-382)+2)),"")</f>
        <v>Date de livraison</v>
      </c>
    </row>
    <row r="434" spans="1:5" x14ac:dyDescent="0.25">
      <c r="A434" s="125" t="str">
        <f>IFERROR(INDEX(DA_SAP!$A:$A,(_xlfn.AGGREGATE(15,6,(ROW(DA_SAP!$F$3:$F$423)-2)/(DA_SAP!$F$3:$F$423=$A$380)*($A$380&lt;&gt;""),ROW()-382)+2)),"")</f>
        <v>Code article</v>
      </c>
      <c r="B434" s="125" t="str">
        <f>IFERROR(INDEX(DA_SAP!$B:$B,(_xlfn.AGGREGATE(15,6,(ROW(DA_SAP!$F$3:$F$423)-2)/(DA_SAP!$F$3:$F$423=$A$380)*($A$380&lt;&gt;""),ROW()-382)+2)),"")</f>
        <v>Désignation</v>
      </c>
      <c r="C434" s="125" t="str">
        <f>IFERROR(INDEX(DA_SAP!$C:$C,(_xlfn.AGGREGATE(15,6,(ROW(DA_SAP!$F$3:$F$423)-2)/(DA_SAP!$F$3:$F$423=$A$380)*($A$380&lt;&gt;""),ROW()-382)+2)),"")</f>
        <v>Quantité totale</v>
      </c>
      <c r="D434" s="125" t="str">
        <f>IFERROR(INDEX(DA_SAP!$D:$D,(_xlfn.AGGREGATE(15,6,(ROW(DA_SAP!$F$3:$F$423)-2)/(DA_SAP!$F$3:$F$423=$A$380)*($A$380&lt;&gt;""),ROW()-382)+2)),"")</f>
        <v>Unité</v>
      </c>
      <c r="E434" s="125" t="str">
        <f>IFERROR(INDEX(DA_SAP!$E:$E,(_xlfn.AGGREGATE(15,6,(ROW(DA_SAP!$F$3:$F$423)-2)/(DA_SAP!$F$3:$F$423=$A$380)*($A$380&lt;&gt;""),ROW()-382)+2)),"")</f>
        <v>Date de livraison</v>
      </c>
    </row>
    <row r="435" spans="1:5" x14ac:dyDescent="0.25">
      <c r="A435" s="125" t="str">
        <f>IFERROR(INDEX(DA_SAP!$A:$A,(_xlfn.AGGREGATE(15,6,(ROW(DA_SAP!$F$3:$F$423)-2)/(DA_SAP!$F$3:$F$423=$A$380)*($A$380&lt;&gt;""),ROW()-382)+2)),"")</f>
        <v>Code article</v>
      </c>
      <c r="B435" s="125" t="str">
        <f>IFERROR(INDEX(DA_SAP!$B:$B,(_xlfn.AGGREGATE(15,6,(ROW(DA_SAP!$F$3:$F$423)-2)/(DA_SAP!$F$3:$F$423=$A$380)*($A$380&lt;&gt;""),ROW()-382)+2)),"")</f>
        <v>Désignation</v>
      </c>
      <c r="C435" s="125" t="str">
        <f>IFERROR(INDEX(DA_SAP!$C:$C,(_xlfn.AGGREGATE(15,6,(ROW(DA_SAP!$F$3:$F$423)-2)/(DA_SAP!$F$3:$F$423=$A$380)*($A$380&lt;&gt;""),ROW()-382)+2)),"")</f>
        <v>Quantité totale</v>
      </c>
      <c r="D435" s="125" t="str">
        <f>IFERROR(INDEX(DA_SAP!$D:$D,(_xlfn.AGGREGATE(15,6,(ROW(DA_SAP!$F$3:$F$423)-2)/(DA_SAP!$F$3:$F$423=$A$380)*($A$380&lt;&gt;""),ROW()-382)+2)),"")</f>
        <v>Unité</v>
      </c>
      <c r="E435" s="125" t="str">
        <f>IFERROR(INDEX(DA_SAP!$E:$E,(_xlfn.AGGREGATE(15,6,(ROW(DA_SAP!$F$3:$F$423)-2)/(DA_SAP!$F$3:$F$423=$A$380)*($A$380&lt;&gt;""),ROW()-382)+2)),"")</f>
        <v>Date de livraison</v>
      </c>
    </row>
    <row r="436" spans="1:5" x14ac:dyDescent="0.25">
      <c r="A436" s="125" t="str">
        <f>IFERROR(INDEX(DA_SAP!$A:$A,(_xlfn.AGGREGATE(15,6,(ROW(DA_SAP!$F$3:$F$423)-2)/(DA_SAP!$F$3:$F$423=$A$380)*($A$380&lt;&gt;""),ROW()-382)+2)),"")</f>
        <v>Code article</v>
      </c>
      <c r="B436" s="125" t="str">
        <f>IFERROR(INDEX(DA_SAP!$B:$B,(_xlfn.AGGREGATE(15,6,(ROW(DA_SAP!$F$3:$F$423)-2)/(DA_SAP!$F$3:$F$423=$A$380)*($A$380&lt;&gt;""),ROW()-382)+2)),"")</f>
        <v>Désignation</v>
      </c>
      <c r="C436" s="125" t="str">
        <f>IFERROR(INDEX(DA_SAP!$C:$C,(_xlfn.AGGREGATE(15,6,(ROW(DA_SAP!$F$3:$F$423)-2)/(DA_SAP!$F$3:$F$423=$A$380)*($A$380&lt;&gt;""),ROW()-382)+2)),"")</f>
        <v>Quantité totale</v>
      </c>
      <c r="D436" s="125" t="str">
        <f>IFERROR(INDEX(DA_SAP!$D:$D,(_xlfn.AGGREGATE(15,6,(ROW(DA_SAP!$F$3:$F$423)-2)/(DA_SAP!$F$3:$F$423=$A$380)*($A$380&lt;&gt;""),ROW()-382)+2)),"")</f>
        <v>Unité</v>
      </c>
      <c r="E436" s="125" t="str">
        <f>IFERROR(INDEX(DA_SAP!$E:$E,(_xlfn.AGGREGATE(15,6,(ROW(DA_SAP!$F$3:$F$423)-2)/(DA_SAP!$F$3:$F$423=$A$380)*($A$380&lt;&gt;""),ROW()-382)+2)),"")</f>
        <v>Date de livraison</v>
      </c>
    </row>
    <row r="437" spans="1:5" x14ac:dyDescent="0.25">
      <c r="A437" s="125" t="str">
        <f>IFERROR(INDEX(DA_SAP!$A:$A,(_xlfn.AGGREGATE(15,6,(ROW(DA_SAP!$F$3:$F$423)-2)/(DA_SAP!$F$3:$F$423=$A$380)*($A$380&lt;&gt;""),ROW()-382)+2)),"")</f>
        <v>Code article</v>
      </c>
      <c r="B437" s="125" t="str">
        <f>IFERROR(INDEX(DA_SAP!$B:$B,(_xlfn.AGGREGATE(15,6,(ROW(DA_SAP!$F$3:$F$423)-2)/(DA_SAP!$F$3:$F$423=$A$380)*($A$380&lt;&gt;""),ROW()-382)+2)),"")</f>
        <v>Désignation</v>
      </c>
      <c r="C437" s="125" t="str">
        <f>IFERROR(INDEX(DA_SAP!$C:$C,(_xlfn.AGGREGATE(15,6,(ROW(DA_SAP!$F$3:$F$423)-2)/(DA_SAP!$F$3:$F$423=$A$380)*($A$380&lt;&gt;""),ROW()-382)+2)),"")</f>
        <v>Quantité totale</v>
      </c>
      <c r="D437" s="125" t="str">
        <f>IFERROR(INDEX(DA_SAP!$D:$D,(_xlfn.AGGREGATE(15,6,(ROW(DA_SAP!$F$3:$F$423)-2)/(DA_SAP!$F$3:$F$423=$A$380)*($A$380&lt;&gt;""),ROW()-382)+2)),"")</f>
        <v>Unité</v>
      </c>
      <c r="E437" s="125" t="str">
        <f>IFERROR(INDEX(DA_SAP!$E:$E,(_xlfn.AGGREGATE(15,6,(ROW(DA_SAP!$F$3:$F$423)-2)/(DA_SAP!$F$3:$F$423=$A$380)*($A$380&lt;&gt;""),ROW()-382)+2)),"")</f>
        <v>Date de livraison</v>
      </c>
    </row>
    <row r="438" spans="1:5" x14ac:dyDescent="0.25">
      <c r="A438" s="125" t="str">
        <f>IFERROR(INDEX(DA_SAP!$A:$A,(_xlfn.AGGREGATE(15,6,(ROW(DA_SAP!$F$3:$F$423)-2)/(DA_SAP!$F$3:$F$423=$A$380)*($A$380&lt;&gt;""),ROW()-382)+2)),"")</f>
        <v>Code article</v>
      </c>
      <c r="B438" s="125" t="str">
        <f>IFERROR(INDEX(DA_SAP!$B:$B,(_xlfn.AGGREGATE(15,6,(ROW(DA_SAP!$F$3:$F$423)-2)/(DA_SAP!$F$3:$F$423=$A$380)*($A$380&lt;&gt;""),ROW()-382)+2)),"")</f>
        <v>Désignation</v>
      </c>
      <c r="C438" s="125" t="str">
        <f>IFERROR(INDEX(DA_SAP!$C:$C,(_xlfn.AGGREGATE(15,6,(ROW(DA_SAP!$F$3:$F$423)-2)/(DA_SAP!$F$3:$F$423=$A$380)*($A$380&lt;&gt;""),ROW()-382)+2)),"")</f>
        <v>Quantité totale</v>
      </c>
      <c r="D438" s="125" t="str">
        <f>IFERROR(INDEX(DA_SAP!$D:$D,(_xlfn.AGGREGATE(15,6,(ROW(DA_SAP!$F$3:$F$423)-2)/(DA_SAP!$F$3:$F$423=$A$380)*($A$380&lt;&gt;""),ROW()-382)+2)),"")</f>
        <v>Unité</v>
      </c>
      <c r="E438" s="125" t="str">
        <f>IFERROR(INDEX(DA_SAP!$E:$E,(_xlfn.AGGREGATE(15,6,(ROW(DA_SAP!$F$3:$F$423)-2)/(DA_SAP!$F$3:$F$423=$A$380)*($A$380&lt;&gt;""),ROW()-382)+2)),"")</f>
        <v>Date de livraison</v>
      </c>
    </row>
    <row r="439" spans="1:5" x14ac:dyDescent="0.25">
      <c r="A439" s="125" t="str">
        <f>IFERROR(INDEX(DA_SAP!$A:$A,(_xlfn.AGGREGATE(15,6,(ROW(DA_SAP!$F$3:$F$423)-2)/(DA_SAP!$F$3:$F$423=$A$380)*($A$380&lt;&gt;""),ROW()-382)+2)),"")</f>
        <v>Code article</v>
      </c>
      <c r="B439" s="125" t="str">
        <f>IFERROR(INDEX(DA_SAP!$B:$B,(_xlfn.AGGREGATE(15,6,(ROW(DA_SAP!$F$3:$F$423)-2)/(DA_SAP!$F$3:$F$423=$A$380)*($A$380&lt;&gt;""),ROW()-382)+2)),"")</f>
        <v>Désignation</v>
      </c>
      <c r="C439" s="125" t="str">
        <f>IFERROR(INDEX(DA_SAP!$C:$C,(_xlfn.AGGREGATE(15,6,(ROW(DA_SAP!$F$3:$F$423)-2)/(DA_SAP!$F$3:$F$423=$A$380)*($A$380&lt;&gt;""),ROW()-382)+2)),"")</f>
        <v>Quantité totale</v>
      </c>
      <c r="D439" s="125" t="str">
        <f>IFERROR(INDEX(DA_SAP!$D:$D,(_xlfn.AGGREGATE(15,6,(ROW(DA_SAP!$F$3:$F$423)-2)/(DA_SAP!$F$3:$F$423=$A$380)*($A$380&lt;&gt;""),ROW()-382)+2)),"")</f>
        <v>Unité</v>
      </c>
      <c r="E439" s="125" t="str">
        <f>IFERROR(INDEX(DA_SAP!$E:$E,(_xlfn.AGGREGATE(15,6,(ROW(DA_SAP!$F$3:$F$423)-2)/(DA_SAP!$F$3:$F$423=$A$380)*($A$380&lt;&gt;""),ROW()-382)+2)),"")</f>
        <v>Date de livraison</v>
      </c>
    </row>
    <row r="440" spans="1:5" x14ac:dyDescent="0.25">
      <c r="A440" s="125" t="str">
        <f>IFERROR(INDEX(DA_SAP!$A:$A,(_xlfn.AGGREGATE(15,6,(ROW(DA_SAP!$F$3:$F$423)-2)/(DA_SAP!$F$3:$F$423=$A$380)*($A$380&lt;&gt;""),ROW()-382)+2)),"")</f>
        <v>Code article</v>
      </c>
      <c r="B440" s="125" t="str">
        <f>IFERROR(INDEX(DA_SAP!$B:$B,(_xlfn.AGGREGATE(15,6,(ROW(DA_SAP!$F$3:$F$423)-2)/(DA_SAP!$F$3:$F$423=$A$380)*($A$380&lt;&gt;""),ROW()-382)+2)),"")</f>
        <v>Désignation</v>
      </c>
      <c r="C440" s="125" t="str">
        <f>IFERROR(INDEX(DA_SAP!$C:$C,(_xlfn.AGGREGATE(15,6,(ROW(DA_SAP!$F$3:$F$423)-2)/(DA_SAP!$F$3:$F$423=$A$380)*($A$380&lt;&gt;""),ROW()-382)+2)),"")</f>
        <v>Quantité totale</v>
      </c>
      <c r="D440" s="125" t="str">
        <f>IFERROR(INDEX(DA_SAP!$D:$D,(_xlfn.AGGREGATE(15,6,(ROW(DA_SAP!$F$3:$F$423)-2)/(DA_SAP!$F$3:$F$423=$A$380)*($A$380&lt;&gt;""),ROW()-382)+2)),"")</f>
        <v>Unité</v>
      </c>
      <c r="E440" s="125" t="str">
        <f>IFERROR(INDEX(DA_SAP!$E:$E,(_xlfn.AGGREGATE(15,6,(ROW(DA_SAP!$F$3:$F$423)-2)/(DA_SAP!$F$3:$F$423=$A$380)*($A$380&lt;&gt;""),ROW()-382)+2)),"")</f>
        <v>Date de livraison</v>
      </c>
    </row>
    <row r="441" spans="1:5" x14ac:dyDescent="0.25">
      <c r="A441" s="125" t="str">
        <f>IFERROR(INDEX(DA_SAP!$A:$A,(_xlfn.AGGREGATE(15,6,(ROW(DA_SAP!$F$3:$F$423)-2)/(DA_SAP!$F$3:$F$423=$A$380)*($A$380&lt;&gt;""),ROW()-382)+2)),"")</f>
        <v>Code article</v>
      </c>
      <c r="B441" s="125" t="str">
        <f>IFERROR(INDEX(DA_SAP!$B:$B,(_xlfn.AGGREGATE(15,6,(ROW(DA_SAP!$F$3:$F$423)-2)/(DA_SAP!$F$3:$F$423=$A$380)*($A$380&lt;&gt;""),ROW()-382)+2)),"")</f>
        <v>Désignation</v>
      </c>
      <c r="C441" s="125" t="str">
        <f>IFERROR(INDEX(DA_SAP!$C:$C,(_xlfn.AGGREGATE(15,6,(ROW(DA_SAP!$F$3:$F$423)-2)/(DA_SAP!$F$3:$F$423=$A$380)*($A$380&lt;&gt;""),ROW()-382)+2)),"")</f>
        <v>Quantité totale</v>
      </c>
      <c r="D441" s="125" t="str">
        <f>IFERROR(INDEX(DA_SAP!$D:$D,(_xlfn.AGGREGATE(15,6,(ROW(DA_SAP!$F$3:$F$423)-2)/(DA_SAP!$F$3:$F$423=$A$380)*($A$380&lt;&gt;""),ROW()-382)+2)),"")</f>
        <v>Unité</v>
      </c>
      <c r="E441" s="125" t="str">
        <f>IFERROR(INDEX(DA_SAP!$E:$E,(_xlfn.AGGREGATE(15,6,(ROW(DA_SAP!$F$3:$F$423)-2)/(DA_SAP!$F$3:$F$423=$A$380)*($A$380&lt;&gt;""),ROW()-382)+2)),"")</f>
        <v>Date de livraison</v>
      </c>
    </row>
    <row r="442" spans="1:5" x14ac:dyDescent="0.25">
      <c r="A442" s="125"/>
      <c r="B442" s="125"/>
      <c r="C442" s="125"/>
      <c r="D442" s="125"/>
      <c r="E442" s="125"/>
    </row>
    <row r="443" spans="1:5" ht="15.75" customHeight="1" x14ac:dyDescent="0.25">
      <c r="A443" s="125" t="str">
        <f>IFERROR(INDEX(Catalogue!$K:$K,_xlfn.AGGREGATE(15,6,(ROW(Catalogue!$L$4:$L$454))/(Catalogue!$L$4:$L$454=1),8)),"")</f>
        <v/>
      </c>
      <c r="B443" s="125"/>
      <c r="C443" s="125"/>
      <c r="D443" s="125"/>
      <c r="E443" s="125"/>
    </row>
    <row r="444" spans="1:5" x14ac:dyDescent="0.25">
      <c r="A444" s="125" t="s">
        <v>1026</v>
      </c>
      <c r="B444" s="125" t="s">
        <v>1027</v>
      </c>
      <c r="C444" s="125" t="s">
        <v>1152</v>
      </c>
      <c r="D444" s="125" t="s">
        <v>1029</v>
      </c>
      <c r="E444" s="125" t="s">
        <v>1153</v>
      </c>
    </row>
    <row r="445" spans="1:5" x14ac:dyDescent="0.25">
      <c r="A445" s="125" t="str">
        <f>IFERROR(INDEX(DA_SAP!$A:$A,(_xlfn.AGGREGATE(15,6,(ROW(DA_SAP!$F$3:$F$423)-2)/(DA_SAP!$F$3:$F$423=$A$443)*($A$443&lt;&gt;""),ROW()-445)+2)),"")</f>
        <v/>
      </c>
      <c r="B445" s="125" t="str">
        <f>IFERROR(INDEX(DA_SAP!$B:$B,(_xlfn.AGGREGATE(15,6,(ROW(DA_SAP!$F$3:$F$423)-2)/(DA_SAP!$F$3:$F$423=$A$443)*($A$443&lt;&gt;""),ROW()-445)+2)),"")</f>
        <v/>
      </c>
      <c r="C445" s="125" t="str">
        <f>IFERROR(INDEX(DA_SAP!$C:$C,(_xlfn.AGGREGATE(15,6,(ROW(DA_SAP!$F$3:$F$423)-2)/(DA_SAP!$F$3:$F$423=$A$443)*($A$443&lt;&gt;""),ROW()-445)+2)),"")</f>
        <v/>
      </c>
      <c r="D445" s="125" t="str">
        <f>IFERROR(INDEX(DA_SAP!$D:$D,(_xlfn.AGGREGATE(15,6,(ROW(DA_SAP!$F$3:$F$423)-2)/(DA_SAP!$F$3:$F$423=$A$443)*($A$443&lt;&gt;""),ROW()-445)+2)),"")</f>
        <v/>
      </c>
      <c r="E445" s="125" t="str">
        <f>IFERROR(INDEX(DA_SAP!$E:$E,(_xlfn.AGGREGATE(15,6,(ROW(DA_SAP!$F$3:$F$423)-2)/(DA_SAP!$F$3:$F$423=$A$443)*($A$443&lt;&gt;""),ROW()-445)+2)),"")</f>
        <v/>
      </c>
    </row>
    <row r="446" spans="1:5" x14ac:dyDescent="0.25">
      <c r="A446" s="125" t="str">
        <f>IFERROR(INDEX(DA_SAP!$A:$A,(_xlfn.AGGREGATE(15,6,(ROW(DA_SAP!$F$3:$F$423)-2)/(DA_SAP!$F$3:$F$423=$A$443)*($A$443&lt;&gt;""),ROW()-445)+2)),"")</f>
        <v>Code article</v>
      </c>
      <c r="B446" s="125" t="str">
        <f>IFERROR(INDEX(DA_SAP!$B:$B,(_xlfn.AGGREGATE(15,6,(ROW(DA_SAP!$F$3:$F$423)-2)/(DA_SAP!$F$3:$F$423=$A$443)*($A$443&lt;&gt;""),ROW()-445)+2)),"")</f>
        <v>Désignation</v>
      </c>
      <c r="C446" s="125" t="str">
        <f>IFERROR(INDEX(DA_SAP!$C:$C,(_xlfn.AGGREGATE(15,6,(ROW(DA_SAP!$F$3:$F$423)-2)/(DA_SAP!$F$3:$F$423=$A$443)*($A$443&lt;&gt;""),ROW()-445)+2)),"")</f>
        <v>Quantité totale</v>
      </c>
      <c r="D446" s="125" t="str">
        <f>IFERROR(INDEX(DA_SAP!$D:$D,(_xlfn.AGGREGATE(15,6,(ROW(DA_SAP!$F$3:$F$423)-2)/(DA_SAP!$F$3:$F$423=$A$443)*($A$443&lt;&gt;""),ROW()-445)+2)),"")</f>
        <v>Unité</v>
      </c>
      <c r="E446" s="125" t="str">
        <f>IFERROR(INDEX(DA_SAP!$E:$E,(_xlfn.AGGREGATE(15,6,(ROW(DA_SAP!$F$3:$F$423)-2)/(DA_SAP!$F$3:$F$423=$A$443)*($A$443&lt;&gt;""),ROW()-445)+2)),"")</f>
        <v>Date de livraison</v>
      </c>
    </row>
    <row r="447" spans="1:5" x14ac:dyDescent="0.25">
      <c r="A447" s="125" t="str">
        <f>IFERROR(INDEX(DA_SAP!$A:$A,(_xlfn.AGGREGATE(15,6,(ROW(DA_SAP!$F$3:$F$423)-2)/(DA_SAP!$F$3:$F$423=$A$443)*($A$443&lt;&gt;""),ROW()-445)+2)),"")</f>
        <v>Code article</v>
      </c>
      <c r="B447" s="125" t="str">
        <f>IFERROR(INDEX(DA_SAP!$B:$B,(_xlfn.AGGREGATE(15,6,(ROW(DA_SAP!$F$3:$F$423)-2)/(DA_SAP!$F$3:$F$423=$A$443)*($A$443&lt;&gt;""),ROW()-445)+2)),"")</f>
        <v>Désignation</v>
      </c>
      <c r="C447" s="125" t="str">
        <f>IFERROR(INDEX(DA_SAP!$C:$C,(_xlfn.AGGREGATE(15,6,(ROW(DA_SAP!$F$3:$F$423)-2)/(DA_SAP!$F$3:$F$423=$A$443)*($A$443&lt;&gt;""),ROW()-445)+2)),"")</f>
        <v>Quantité totale</v>
      </c>
      <c r="D447" s="125" t="str">
        <f>IFERROR(INDEX(DA_SAP!$D:$D,(_xlfn.AGGREGATE(15,6,(ROW(DA_SAP!$F$3:$F$423)-2)/(DA_SAP!$F$3:$F$423=$A$443)*($A$443&lt;&gt;""),ROW()-445)+2)),"")</f>
        <v>Unité</v>
      </c>
      <c r="E447" s="125" t="str">
        <f>IFERROR(INDEX(DA_SAP!$E:$E,(_xlfn.AGGREGATE(15,6,(ROW(DA_SAP!$F$3:$F$423)-2)/(DA_SAP!$F$3:$F$423=$A$443)*($A$443&lt;&gt;""),ROW()-445)+2)),"")</f>
        <v>Date de livraison</v>
      </c>
    </row>
    <row r="448" spans="1:5" x14ac:dyDescent="0.25">
      <c r="A448" s="125" t="str">
        <f>IFERROR(INDEX(DA_SAP!$A:$A,(_xlfn.AGGREGATE(15,6,(ROW(DA_SAP!$F$3:$F$423)-2)/(DA_SAP!$F$3:$F$423=$A$443)*($A$443&lt;&gt;""),ROW()-445)+2)),"")</f>
        <v>Code article</v>
      </c>
      <c r="B448" s="125" t="str">
        <f>IFERROR(INDEX(DA_SAP!$B:$B,(_xlfn.AGGREGATE(15,6,(ROW(DA_SAP!$F$3:$F$423)-2)/(DA_SAP!$F$3:$F$423=$A$443)*($A$443&lt;&gt;""),ROW()-445)+2)),"")</f>
        <v>Désignation</v>
      </c>
      <c r="C448" s="125" t="str">
        <f>IFERROR(INDEX(DA_SAP!$C:$C,(_xlfn.AGGREGATE(15,6,(ROW(DA_SAP!$F$3:$F$423)-2)/(DA_SAP!$F$3:$F$423=$A$443)*($A$443&lt;&gt;""),ROW()-445)+2)),"")</f>
        <v>Quantité totale</v>
      </c>
      <c r="D448" s="125" t="str">
        <f>IFERROR(INDEX(DA_SAP!$D:$D,(_xlfn.AGGREGATE(15,6,(ROW(DA_SAP!$F$3:$F$423)-2)/(DA_SAP!$F$3:$F$423=$A$443)*($A$443&lt;&gt;""),ROW()-445)+2)),"")</f>
        <v>Unité</v>
      </c>
      <c r="E448" s="125" t="str">
        <f>IFERROR(INDEX(DA_SAP!$E:$E,(_xlfn.AGGREGATE(15,6,(ROW(DA_SAP!$F$3:$F$423)-2)/(DA_SAP!$F$3:$F$423=$A$443)*($A$443&lt;&gt;""),ROW()-445)+2)),"")</f>
        <v>Date de livraison</v>
      </c>
    </row>
    <row r="449" spans="1:5" x14ac:dyDescent="0.25">
      <c r="A449" s="125" t="str">
        <f>IFERROR(INDEX(DA_SAP!$A:$A,(_xlfn.AGGREGATE(15,6,(ROW(DA_SAP!$F$3:$F$423)-2)/(DA_SAP!$F$3:$F$423=$A$443)*($A$443&lt;&gt;""),ROW()-445)+2)),"")</f>
        <v>Code article</v>
      </c>
      <c r="B449" s="125" t="str">
        <f>IFERROR(INDEX(DA_SAP!$B:$B,(_xlfn.AGGREGATE(15,6,(ROW(DA_SAP!$F$3:$F$423)-2)/(DA_SAP!$F$3:$F$423=$A$443)*($A$443&lt;&gt;""),ROW()-445)+2)),"")</f>
        <v>Désignation</v>
      </c>
      <c r="C449" s="125" t="str">
        <f>IFERROR(INDEX(DA_SAP!$C:$C,(_xlfn.AGGREGATE(15,6,(ROW(DA_SAP!$F$3:$F$423)-2)/(DA_SAP!$F$3:$F$423=$A$443)*($A$443&lt;&gt;""),ROW()-445)+2)),"")</f>
        <v>Quantité totale</v>
      </c>
      <c r="D449" s="125" t="str">
        <f>IFERROR(INDEX(DA_SAP!$D:$D,(_xlfn.AGGREGATE(15,6,(ROW(DA_SAP!$F$3:$F$423)-2)/(DA_SAP!$F$3:$F$423=$A$443)*($A$443&lt;&gt;""),ROW()-445)+2)),"")</f>
        <v>Unité</v>
      </c>
      <c r="E449" s="125" t="str">
        <f>IFERROR(INDEX(DA_SAP!$E:$E,(_xlfn.AGGREGATE(15,6,(ROW(DA_SAP!$F$3:$F$423)-2)/(DA_SAP!$F$3:$F$423=$A$443)*($A$443&lt;&gt;""),ROW()-445)+2)),"")</f>
        <v>Date de livraison</v>
      </c>
    </row>
    <row r="450" spans="1:5" x14ac:dyDescent="0.25">
      <c r="A450" s="125" t="str">
        <f>IFERROR(INDEX(DA_SAP!$A:$A,(_xlfn.AGGREGATE(15,6,(ROW(DA_SAP!$F$3:$F$423)-2)/(DA_SAP!$F$3:$F$423=$A$443)*($A$443&lt;&gt;""),ROW()-445)+2)),"")</f>
        <v>Code article</v>
      </c>
      <c r="B450" s="125" t="str">
        <f>IFERROR(INDEX(DA_SAP!$B:$B,(_xlfn.AGGREGATE(15,6,(ROW(DA_SAP!$F$3:$F$423)-2)/(DA_SAP!$F$3:$F$423=$A$443)*($A$443&lt;&gt;""),ROW()-445)+2)),"")</f>
        <v>Désignation</v>
      </c>
      <c r="C450" s="125" t="str">
        <f>IFERROR(INDEX(DA_SAP!$C:$C,(_xlfn.AGGREGATE(15,6,(ROW(DA_SAP!$F$3:$F$423)-2)/(DA_SAP!$F$3:$F$423=$A$443)*($A$443&lt;&gt;""),ROW()-445)+2)),"")</f>
        <v>Quantité totale</v>
      </c>
      <c r="D450" s="125" t="str">
        <f>IFERROR(INDEX(DA_SAP!$D:$D,(_xlfn.AGGREGATE(15,6,(ROW(DA_SAP!$F$3:$F$423)-2)/(DA_SAP!$F$3:$F$423=$A$443)*($A$443&lt;&gt;""),ROW()-445)+2)),"")</f>
        <v>Unité</v>
      </c>
      <c r="E450" s="125" t="str">
        <f>IFERROR(INDEX(DA_SAP!$E:$E,(_xlfn.AGGREGATE(15,6,(ROW(DA_SAP!$F$3:$F$423)-2)/(DA_SAP!$F$3:$F$423=$A$443)*($A$443&lt;&gt;""),ROW()-445)+2)),"")</f>
        <v>Date de livraison</v>
      </c>
    </row>
    <row r="451" spans="1:5" x14ac:dyDescent="0.25">
      <c r="A451" s="125" t="str">
        <f>IFERROR(INDEX(DA_SAP!$A:$A,(_xlfn.AGGREGATE(15,6,(ROW(DA_SAP!$F$3:$F$423)-2)/(DA_SAP!$F$3:$F$423=$A$443)*($A$443&lt;&gt;""),ROW()-445)+2)),"")</f>
        <v>Code article</v>
      </c>
      <c r="B451" s="125" t="str">
        <f>IFERROR(INDEX(DA_SAP!$B:$B,(_xlfn.AGGREGATE(15,6,(ROW(DA_SAP!$F$3:$F$423)-2)/(DA_SAP!$F$3:$F$423=$A$443)*($A$443&lt;&gt;""),ROW()-445)+2)),"")</f>
        <v>Désignation</v>
      </c>
      <c r="C451" s="125" t="str">
        <f>IFERROR(INDEX(DA_SAP!$C:$C,(_xlfn.AGGREGATE(15,6,(ROW(DA_SAP!$F$3:$F$423)-2)/(DA_SAP!$F$3:$F$423=$A$443)*($A$443&lt;&gt;""),ROW()-445)+2)),"")</f>
        <v>Quantité totale</v>
      </c>
      <c r="D451" s="125" t="str">
        <f>IFERROR(INDEX(DA_SAP!$D:$D,(_xlfn.AGGREGATE(15,6,(ROW(DA_SAP!$F$3:$F$423)-2)/(DA_SAP!$F$3:$F$423=$A$443)*($A$443&lt;&gt;""),ROW()-445)+2)),"")</f>
        <v>Unité</v>
      </c>
      <c r="E451" s="125" t="str">
        <f>IFERROR(INDEX(DA_SAP!$E:$E,(_xlfn.AGGREGATE(15,6,(ROW(DA_SAP!$F$3:$F$423)-2)/(DA_SAP!$F$3:$F$423=$A$443)*($A$443&lt;&gt;""),ROW()-445)+2)),"")</f>
        <v>Date de livraison</v>
      </c>
    </row>
    <row r="452" spans="1:5" x14ac:dyDescent="0.25">
      <c r="A452" s="125" t="str">
        <f>IFERROR(INDEX(DA_SAP!$A:$A,(_xlfn.AGGREGATE(15,6,(ROW(DA_SAP!$F$3:$F$423)-2)/(DA_SAP!$F$3:$F$423=$A$443)*($A$443&lt;&gt;""),ROW()-445)+2)),"")</f>
        <v>Code article</v>
      </c>
      <c r="B452" s="125" t="str">
        <f>IFERROR(INDEX(DA_SAP!$B:$B,(_xlfn.AGGREGATE(15,6,(ROW(DA_SAP!$F$3:$F$423)-2)/(DA_SAP!$F$3:$F$423=$A$443)*($A$443&lt;&gt;""),ROW()-445)+2)),"")</f>
        <v>Désignation</v>
      </c>
      <c r="C452" s="125" t="str">
        <f>IFERROR(INDEX(DA_SAP!$C:$C,(_xlfn.AGGREGATE(15,6,(ROW(DA_SAP!$F$3:$F$423)-2)/(DA_SAP!$F$3:$F$423=$A$443)*($A$443&lt;&gt;""),ROW()-445)+2)),"")</f>
        <v>Quantité totale</v>
      </c>
      <c r="D452" s="125" t="str">
        <f>IFERROR(INDEX(DA_SAP!$D:$D,(_xlfn.AGGREGATE(15,6,(ROW(DA_SAP!$F$3:$F$423)-2)/(DA_SAP!$F$3:$F$423=$A$443)*($A$443&lt;&gt;""),ROW()-445)+2)),"")</f>
        <v>Unité</v>
      </c>
      <c r="E452" s="125" t="str">
        <f>IFERROR(INDEX(DA_SAP!$E:$E,(_xlfn.AGGREGATE(15,6,(ROW(DA_SAP!$F$3:$F$423)-2)/(DA_SAP!$F$3:$F$423=$A$443)*($A$443&lt;&gt;""),ROW()-445)+2)),"")</f>
        <v>Date de livraison</v>
      </c>
    </row>
    <row r="453" spans="1:5" x14ac:dyDescent="0.25">
      <c r="A453" s="125" t="str">
        <f>IFERROR(INDEX(DA_SAP!$A:$A,(_xlfn.AGGREGATE(15,6,(ROW(DA_SAP!$F$3:$F$423)-2)/(DA_SAP!$F$3:$F$423=$A$443)*($A$443&lt;&gt;""),ROW()-445)+2)),"")</f>
        <v>Code article</v>
      </c>
      <c r="B453" s="125" t="str">
        <f>IFERROR(INDEX(DA_SAP!$B:$B,(_xlfn.AGGREGATE(15,6,(ROW(DA_SAP!$F$3:$F$423)-2)/(DA_SAP!$F$3:$F$423=$A$443)*($A$443&lt;&gt;""),ROW()-445)+2)),"")</f>
        <v>Désignation</v>
      </c>
      <c r="C453" s="125" t="str">
        <f>IFERROR(INDEX(DA_SAP!$C:$C,(_xlfn.AGGREGATE(15,6,(ROW(DA_SAP!$F$3:$F$423)-2)/(DA_SAP!$F$3:$F$423=$A$443)*($A$443&lt;&gt;""),ROW()-445)+2)),"")</f>
        <v>Quantité totale</v>
      </c>
      <c r="D453" s="125" t="str">
        <f>IFERROR(INDEX(DA_SAP!$D:$D,(_xlfn.AGGREGATE(15,6,(ROW(DA_SAP!$F$3:$F$423)-2)/(DA_SAP!$F$3:$F$423=$A$443)*($A$443&lt;&gt;""),ROW()-445)+2)),"")</f>
        <v>Unité</v>
      </c>
      <c r="E453" s="125" t="str">
        <f>IFERROR(INDEX(DA_SAP!$E:$E,(_xlfn.AGGREGATE(15,6,(ROW(DA_SAP!$F$3:$F$423)-2)/(DA_SAP!$F$3:$F$423=$A$443)*($A$443&lt;&gt;""),ROW()-445)+2)),"")</f>
        <v>Date de livraison</v>
      </c>
    </row>
    <row r="454" spans="1:5" x14ac:dyDescent="0.25">
      <c r="A454" s="125" t="str">
        <f>IFERROR(INDEX(DA_SAP!$A:$A,(_xlfn.AGGREGATE(15,6,(ROW(DA_SAP!$F$3:$F$423)-2)/(DA_SAP!$F$3:$F$423=$A$443)*($A$443&lt;&gt;""),ROW()-445)+2)),"")</f>
        <v>Code article</v>
      </c>
      <c r="B454" s="125" t="str">
        <f>IFERROR(INDEX(DA_SAP!$B:$B,(_xlfn.AGGREGATE(15,6,(ROW(DA_SAP!$F$3:$F$423)-2)/(DA_SAP!$F$3:$F$423=$A$443)*($A$443&lt;&gt;""),ROW()-445)+2)),"")</f>
        <v>Désignation</v>
      </c>
      <c r="C454" s="125" t="str">
        <f>IFERROR(INDEX(DA_SAP!$C:$C,(_xlfn.AGGREGATE(15,6,(ROW(DA_SAP!$F$3:$F$423)-2)/(DA_SAP!$F$3:$F$423=$A$443)*($A$443&lt;&gt;""),ROW()-445)+2)),"")</f>
        <v>Quantité totale</v>
      </c>
      <c r="D454" s="125" t="str">
        <f>IFERROR(INDEX(DA_SAP!$D:$D,(_xlfn.AGGREGATE(15,6,(ROW(DA_SAP!$F$3:$F$423)-2)/(DA_SAP!$F$3:$F$423=$A$443)*($A$443&lt;&gt;""),ROW()-445)+2)),"")</f>
        <v>Unité</v>
      </c>
      <c r="E454" s="125" t="str">
        <f>IFERROR(INDEX(DA_SAP!$E:$E,(_xlfn.AGGREGATE(15,6,(ROW(DA_SAP!$F$3:$F$423)-2)/(DA_SAP!$F$3:$F$423=$A$443)*($A$443&lt;&gt;""),ROW()-445)+2)),"")</f>
        <v>Date de livraison</v>
      </c>
    </row>
    <row r="455" spans="1:5" x14ac:dyDescent="0.25">
      <c r="A455" s="125" t="str">
        <f>IFERROR(INDEX(DA_SAP!$A:$A,(_xlfn.AGGREGATE(15,6,(ROW(DA_SAP!$F$3:$F$423)-2)/(DA_SAP!$F$3:$F$423=$A$443)*($A$443&lt;&gt;""),ROW()-445)+2)),"")</f>
        <v>Code article</v>
      </c>
      <c r="B455" s="125" t="str">
        <f>IFERROR(INDEX(DA_SAP!$B:$B,(_xlfn.AGGREGATE(15,6,(ROW(DA_SAP!$F$3:$F$423)-2)/(DA_SAP!$F$3:$F$423=$A$443)*($A$443&lt;&gt;""),ROW()-445)+2)),"")</f>
        <v>Désignation</v>
      </c>
      <c r="C455" s="125" t="str">
        <f>IFERROR(INDEX(DA_SAP!$C:$C,(_xlfn.AGGREGATE(15,6,(ROW(DA_SAP!$F$3:$F$423)-2)/(DA_SAP!$F$3:$F$423=$A$443)*($A$443&lt;&gt;""),ROW()-445)+2)),"")</f>
        <v>Quantité totale</v>
      </c>
      <c r="D455" s="125" t="str">
        <f>IFERROR(INDEX(DA_SAP!$D:$D,(_xlfn.AGGREGATE(15,6,(ROW(DA_SAP!$F$3:$F$423)-2)/(DA_SAP!$F$3:$F$423=$A$443)*($A$443&lt;&gt;""),ROW()-445)+2)),"")</f>
        <v>Unité</v>
      </c>
      <c r="E455" s="125" t="str">
        <f>IFERROR(INDEX(DA_SAP!$E:$E,(_xlfn.AGGREGATE(15,6,(ROW(DA_SAP!$F$3:$F$423)-2)/(DA_SAP!$F$3:$F$423=$A$443)*($A$443&lt;&gt;""),ROW()-445)+2)),"")</f>
        <v>Date de livraison</v>
      </c>
    </row>
    <row r="456" spans="1:5" x14ac:dyDescent="0.25">
      <c r="A456" s="125" t="str">
        <f>IFERROR(INDEX(DA_SAP!$A:$A,(_xlfn.AGGREGATE(15,6,(ROW(DA_SAP!$F$3:$F$423)-2)/(DA_SAP!$F$3:$F$423=$A$443)*($A$443&lt;&gt;""),ROW()-445)+2)),"")</f>
        <v>Code article</v>
      </c>
      <c r="B456" s="125" t="str">
        <f>IFERROR(INDEX(DA_SAP!$B:$B,(_xlfn.AGGREGATE(15,6,(ROW(DA_SAP!$F$3:$F$423)-2)/(DA_SAP!$F$3:$F$423=$A$443)*($A$443&lt;&gt;""),ROW()-445)+2)),"")</f>
        <v>Désignation</v>
      </c>
      <c r="C456" s="125" t="str">
        <f>IFERROR(INDEX(DA_SAP!$C:$C,(_xlfn.AGGREGATE(15,6,(ROW(DA_SAP!$F$3:$F$423)-2)/(DA_SAP!$F$3:$F$423=$A$443)*($A$443&lt;&gt;""),ROW()-445)+2)),"")</f>
        <v>Quantité totale</v>
      </c>
      <c r="D456" s="125" t="str">
        <f>IFERROR(INDEX(DA_SAP!$D:$D,(_xlfn.AGGREGATE(15,6,(ROW(DA_SAP!$F$3:$F$423)-2)/(DA_SAP!$F$3:$F$423=$A$443)*($A$443&lt;&gt;""),ROW()-445)+2)),"")</f>
        <v>Unité</v>
      </c>
      <c r="E456" s="125" t="str">
        <f>IFERROR(INDEX(DA_SAP!$E:$E,(_xlfn.AGGREGATE(15,6,(ROW(DA_SAP!$F$3:$F$423)-2)/(DA_SAP!$F$3:$F$423=$A$443)*($A$443&lt;&gt;""),ROW()-445)+2)),"")</f>
        <v>Date de livraison</v>
      </c>
    </row>
    <row r="457" spans="1:5" x14ac:dyDescent="0.25">
      <c r="A457" s="125" t="str">
        <f>IFERROR(INDEX(DA_SAP!$A:$A,(_xlfn.AGGREGATE(15,6,(ROW(DA_SAP!$F$3:$F$423)-2)/(DA_SAP!$F$3:$F$423=$A$443)*($A$443&lt;&gt;""),ROW()-445)+2)),"")</f>
        <v>Code article</v>
      </c>
      <c r="B457" s="125" t="str">
        <f>IFERROR(INDEX(DA_SAP!$B:$B,(_xlfn.AGGREGATE(15,6,(ROW(DA_SAP!$F$3:$F$423)-2)/(DA_SAP!$F$3:$F$423=$A$443)*($A$443&lt;&gt;""),ROW()-445)+2)),"")</f>
        <v>Désignation</v>
      </c>
      <c r="C457" s="125" t="str">
        <f>IFERROR(INDEX(DA_SAP!$C:$C,(_xlfn.AGGREGATE(15,6,(ROW(DA_SAP!$F$3:$F$423)-2)/(DA_SAP!$F$3:$F$423=$A$443)*($A$443&lt;&gt;""),ROW()-445)+2)),"")</f>
        <v>Quantité totale</v>
      </c>
      <c r="D457" s="125" t="str">
        <f>IFERROR(INDEX(DA_SAP!$D:$D,(_xlfn.AGGREGATE(15,6,(ROW(DA_SAP!$F$3:$F$423)-2)/(DA_SAP!$F$3:$F$423=$A$443)*($A$443&lt;&gt;""),ROW()-445)+2)),"")</f>
        <v>Unité</v>
      </c>
      <c r="E457" s="125" t="str">
        <f>IFERROR(INDEX(DA_SAP!$E:$E,(_xlfn.AGGREGATE(15,6,(ROW(DA_SAP!$F$3:$F$423)-2)/(DA_SAP!$F$3:$F$423=$A$443)*($A$443&lt;&gt;""),ROW()-445)+2)),"")</f>
        <v>Date de livraison</v>
      </c>
    </row>
    <row r="458" spans="1:5" x14ac:dyDescent="0.25">
      <c r="A458" s="125" t="str">
        <f>IFERROR(INDEX(DA_SAP!$A:$A,(_xlfn.AGGREGATE(15,6,(ROW(DA_SAP!$F$3:$F$423)-2)/(DA_SAP!$F$3:$F$423=$A$443)*($A$443&lt;&gt;""),ROW()-445)+2)),"")</f>
        <v>Code article</v>
      </c>
      <c r="B458" s="125" t="str">
        <f>IFERROR(INDEX(DA_SAP!$B:$B,(_xlfn.AGGREGATE(15,6,(ROW(DA_SAP!$F$3:$F$423)-2)/(DA_SAP!$F$3:$F$423=$A$443)*($A$443&lt;&gt;""),ROW()-445)+2)),"")</f>
        <v>Désignation</v>
      </c>
      <c r="C458" s="125" t="str">
        <f>IFERROR(INDEX(DA_SAP!$C:$C,(_xlfn.AGGREGATE(15,6,(ROW(DA_SAP!$F$3:$F$423)-2)/(DA_SAP!$F$3:$F$423=$A$443)*($A$443&lt;&gt;""),ROW()-445)+2)),"")</f>
        <v>Quantité totale</v>
      </c>
      <c r="D458" s="125" t="str">
        <f>IFERROR(INDEX(DA_SAP!$D:$D,(_xlfn.AGGREGATE(15,6,(ROW(DA_SAP!$F$3:$F$423)-2)/(DA_SAP!$F$3:$F$423=$A$443)*($A$443&lt;&gt;""),ROW()-445)+2)),"")</f>
        <v>Unité</v>
      </c>
      <c r="E458" s="125" t="str">
        <f>IFERROR(INDEX(DA_SAP!$E:$E,(_xlfn.AGGREGATE(15,6,(ROW(DA_SAP!$F$3:$F$423)-2)/(DA_SAP!$F$3:$F$423=$A$443)*($A$443&lt;&gt;""),ROW()-445)+2)),"")</f>
        <v>Date de livraison</v>
      </c>
    </row>
    <row r="459" spans="1:5" x14ac:dyDescent="0.25">
      <c r="A459" s="125" t="str">
        <f>IFERROR(INDEX(DA_SAP!$A:$A,(_xlfn.AGGREGATE(15,6,(ROW(DA_SAP!$F$3:$F$423)-2)/(DA_SAP!$F$3:$F$423=$A$443)*($A$443&lt;&gt;""),ROW()-445)+2)),"")</f>
        <v>Code article</v>
      </c>
      <c r="B459" s="125" t="str">
        <f>IFERROR(INDEX(DA_SAP!$B:$B,(_xlfn.AGGREGATE(15,6,(ROW(DA_SAP!$F$3:$F$423)-2)/(DA_SAP!$F$3:$F$423=$A$443)*($A$443&lt;&gt;""),ROW()-445)+2)),"")</f>
        <v>Désignation</v>
      </c>
      <c r="C459" s="125" t="str">
        <f>IFERROR(INDEX(DA_SAP!$C:$C,(_xlfn.AGGREGATE(15,6,(ROW(DA_SAP!$F$3:$F$423)-2)/(DA_SAP!$F$3:$F$423=$A$443)*($A$443&lt;&gt;""),ROW()-445)+2)),"")</f>
        <v>Quantité totale</v>
      </c>
      <c r="D459" s="125" t="str">
        <f>IFERROR(INDEX(DA_SAP!$D:$D,(_xlfn.AGGREGATE(15,6,(ROW(DA_SAP!$F$3:$F$423)-2)/(DA_SAP!$F$3:$F$423=$A$443)*($A$443&lt;&gt;""),ROW()-445)+2)),"")</f>
        <v>Unité</v>
      </c>
      <c r="E459" s="125" t="str">
        <f>IFERROR(INDEX(DA_SAP!$E:$E,(_xlfn.AGGREGATE(15,6,(ROW(DA_SAP!$F$3:$F$423)-2)/(DA_SAP!$F$3:$F$423=$A$443)*($A$443&lt;&gt;""),ROW()-445)+2)),"")</f>
        <v>Date de livraison</v>
      </c>
    </row>
    <row r="460" spans="1:5" x14ac:dyDescent="0.25">
      <c r="A460" s="125" t="str">
        <f>IFERROR(INDEX(DA_SAP!$A:$A,(_xlfn.AGGREGATE(15,6,(ROW(DA_SAP!$F$3:$F$423)-2)/(DA_SAP!$F$3:$F$423=$A$443)*($A$443&lt;&gt;""),ROW()-445)+2)),"")</f>
        <v>Code article</v>
      </c>
      <c r="B460" s="125" t="str">
        <f>IFERROR(INDEX(DA_SAP!$B:$B,(_xlfn.AGGREGATE(15,6,(ROW(DA_SAP!$F$3:$F$423)-2)/(DA_SAP!$F$3:$F$423=$A$443)*($A$443&lt;&gt;""),ROW()-445)+2)),"")</f>
        <v>Désignation</v>
      </c>
      <c r="C460" s="125" t="str">
        <f>IFERROR(INDEX(DA_SAP!$C:$C,(_xlfn.AGGREGATE(15,6,(ROW(DA_SAP!$F$3:$F$423)-2)/(DA_SAP!$F$3:$F$423=$A$443)*($A$443&lt;&gt;""),ROW()-445)+2)),"")</f>
        <v>Quantité totale</v>
      </c>
      <c r="D460" s="125" t="str">
        <f>IFERROR(INDEX(DA_SAP!$D:$D,(_xlfn.AGGREGATE(15,6,(ROW(DA_SAP!$F$3:$F$423)-2)/(DA_SAP!$F$3:$F$423=$A$443)*($A$443&lt;&gt;""),ROW()-445)+2)),"")</f>
        <v>Unité</v>
      </c>
      <c r="E460" s="125" t="str">
        <f>IFERROR(INDEX(DA_SAP!$E:$E,(_xlfn.AGGREGATE(15,6,(ROW(DA_SAP!$F$3:$F$423)-2)/(DA_SAP!$F$3:$F$423=$A$443)*($A$443&lt;&gt;""),ROW()-445)+2)),"")</f>
        <v>Date de livraison</v>
      </c>
    </row>
    <row r="461" spans="1:5" x14ac:dyDescent="0.25">
      <c r="A461" s="125" t="str">
        <f>IFERROR(INDEX(DA_SAP!$A:$A,(_xlfn.AGGREGATE(15,6,(ROW(DA_SAP!$F$3:$F$423)-2)/(DA_SAP!$F$3:$F$423=$A$443)*($A$443&lt;&gt;""),ROW()-445)+2)),"")</f>
        <v>Code article</v>
      </c>
      <c r="B461" s="125" t="str">
        <f>IFERROR(INDEX(DA_SAP!$B:$B,(_xlfn.AGGREGATE(15,6,(ROW(DA_SAP!$F$3:$F$423)-2)/(DA_SAP!$F$3:$F$423=$A$443)*($A$443&lt;&gt;""),ROW()-445)+2)),"")</f>
        <v>Désignation</v>
      </c>
      <c r="C461" s="125" t="str">
        <f>IFERROR(INDEX(DA_SAP!$C:$C,(_xlfn.AGGREGATE(15,6,(ROW(DA_SAP!$F$3:$F$423)-2)/(DA_SAP!$F$3:$F$423=$A$443)*($A$443&lt;&gt;""),ROW()-445)+2)),"")</f>
        <v>Quantité totale</v>
      </c>
      <c r="D461" s="125" t="str">
        <f>IFERROR(INDEX(DA_SAP!$D:$D,(_xlfn.AGGREGATE(15,6,(ROW(DA_SAP!$F$3:$F$423)-2)/(DA_SAP!$F$3:$F$423=$A$443)*($A$443&lt;&gt;""),ROW()-445)+2)),"")</f>
        <v>Unité</v>
      </c>
      <c r="E461" s="125" t="str">
        <f>IFERROR(INDEX(DA_SAP!$E:$E,(_xlfn.AGGREGATE(15,6,(ROW(DA_SAP!$F$3:$F$423)-2)/(DA_SAP!$F$3:$F$423=$A$443)*($A$443&lt;&gt;""),ROW()-445)+2)),"")</f>
        <v>Date de livraison</v>
      </c>
    </row>
    <row r="462" spans="1:5" x14ac:dyDescent="0.25">
      <c r="A462" s="125" t="str">
        <f>IFERROR(INDEX(DA_SAP!$A:$A,(_xlfn.AGGREGATE(15,6,(ROW(DA_SAP!$F$3:$F$423)-2)/(DA_SAP!$F$3:$F$423=$A$443)*($A$443&lt;&gt;""),ROW()-445)+2)),"")</f>
        <v>Code article</v>
      </c>
      <c r="B462" s="125" t="str">
        <f>IFERROR(INDEX(DA_SAP!$B:$B,(_xlfn.AGGREGATE(15,6,(ROW(DA_SAP!$F$3:$F$423)-2)/(DA_SAP!$F$3:$F$423=$A$443)*($A$443&lt;&gt;""),ROW()-445)+2)),"")</f>
        <v>Désignation</v>
      </c>
      <c r="C462" s="125" t="str">
        <f>IFERROR(INDEX(DA_SAP!$C:$C,(_xlfn.AGGREGATE(15,6,(ROW(DA_SAP!$F$3:$F$423)-2)/(DA_SAP!$F$3:$F$423=$A$443)*($A$443&lt;&gt;""),ROW()-445)+2)),"")</f>
        <v>Quantité totale</v>
      </c>
      <c r="D462" s="125" t="str">
        <f>IFERROR(INDEX(DA_SAP!$D:$D,(_xlfn.AGGREGATE(15,6,(ROW(DA_SAP!$F$3:$F$423)-2)/(DA_SAP!$F$3:$F$423=$A$443)*($A$443&lt;&gt;""),ROW()-445)+2)),"")</f>
        <v>Unité</v>
      </c>
      <c r="E462" s="125" t="str">
        <f>IFERROR(INDEX(DA_SAP!$E:$E,(_xlfn.AGGREGATE(15,6,(ROW(DA_SAP!$F$3:$F$423)-2)/(DA_SAP!$F$3:$F$423=$A$443)*($A$443&lt;&gt;""),ROW()-445)+2)),"")</f>
        <v>Date de livraison</v>
      </c>
    </row>
    <row r="463" spans="1:5" x14ac:dyDescent="0.25">
      <c r="A463" s="125" t="str">
        <f>IFERROR(INDEX(DA_SAP!$A:$A,(_xlfn.AGGREGATE(15,6,(ROW(DA_SAP!$F$3:$F$423)-2)/(DA_SAP!$F$3:$F$423=$A$443)*($A$443&lt;&gt;""),ROW()-445)+2)),"")</f>
        <v>Code article</v>
      </c>
      <c r="B463" s="125" t="str">
        <f>IFERROR(INDEX(DA_SAP!$B:$B,(_xlfn.AGGREGATE(15,6,(ROW(DA_SAP!$F$3:$F$423)-2)/(DA_SAP!$F$3:$F$423=$A$443)*($A$443&lt;&gt;""),ROW()-445)+2)),"")</f>
        <v>Désignation</v>
      </c>
      <c r="C463" s="125" t="str">
        <f>IFERROR(INDEX(DA_SAP!$C:$C,(_xlfn.AGGREGATE(15,6,(ROW(DA_SAP!$F$3:$F$423)-2)/(DA_SAP!$F$3:$F$423=$A$443)*($A$443&lt;&gt;""),ROW()-445)+2)),"")</f>
        <v>Quantité totale</v>
      </c>
      <c r="D463" s="125" t="str">
        <f>IFERROR(INDEX(DA_SAP!$D:$D,(_xlfn.AGGREGATE(15,6,(ROW(DA_SAP!$F$3:$F$423)-2)/(DA_SAP!$F$3:$F$423=$A$443)*($A$443&lt;&gt;""),ROW()-445)+2)),"")</f>
        <v>Unité</v>
      </c>
      <c r="E463" s="125" t="str">
        <f>IFERROR(INDEX(DA_SAP!$E:$E,(_xlfn.AGGREGATE(15,6,(ROW(DA_SAP!$F$3:$F$423)-2)/(DA_SAP!$F$3:$F$423=$A$443)*($A$443&lt;&gt;""),ROW()-445)+2)),"")</f>
        <v>Date de livraison</v>
      </c>
    </row>
    <row r="464" spans="1:5" x14ac:dyDescent="0.25">
      <c r="A464" s="125" t="str">
        <f>IFERROR(INDEX(DA_SAP!$A:$A,(_xlfn.AGGREGATE(15,6,(ROW(DA_SAP!$F$3:$F$423)-2)/(DA_SAP!$F$3:$F$423=$A$443)*($A$443&lt;&gt;""),ROW()-445)+2)),"")</f>
        <v>Code article</v>
      </c>
      <c r="B464" s="125" t="str">
        <f>IFERROR(INDEX(DA_SAP!$B:$B,(_xlfn.AGGREGATE(15,6,(ROW(DA_SAP!$F$3:$F$423)-2)/(DA_SAP!$F$3:$F$423=$A$443)*($A$443&lt;&gt;""),ROW()-445)+2)),"")</f>
        <v>Désignation</v>
      </c>
      <c r="C464" s="125" t="str">
        <f>IFERROR(INDEX(DA_SAP!$C:$C,(_xlfn.AGGREGATE(15,6,(ROW(DA_SAP!$F$3:$F$423)-2)/(DA_SAP!$F$3:$F$423=$A$443)*($A$443&lt;&gt;""),ROW()-445)+2)),"")</f>
        <v>Quantité totale</v>
      </c>
      <c r="D464" s="125" t="str">
        <f>IFERROR(INDEX(DA_SAP!$D:$D,(_xlfn.AGGREGATE(15,6,(ROW(DA_SAP!$F$3:$F$423)-2)/(DA_SAP!$F$3:$F$423=$A$443)*($A$443&lt;&gt;""),ROW()-445)+2)),"")</f>
        <v>Unité</v>
      </c>
      <c r="E464" s="125" t="str">
        <f>IFERROR(INDEX(DA_SAP!$E:$E,(_xlfn.AGGREGATE(15,6,(ROW(DA_SAP!$F$3:$F$423)-2)/(DA_SAP!$F$3:$F$423=$A$443)*($A$443&lt;&gt;""),ROW()-445)+2)),"")</f>
        <v>Date de livraison</v>
      </c>
    </row>
    <row r="465" spans="1:5" x14ac:dyDescent="0.25">
      <c r="A465" s="125" t="str">
        <f>IFERROR(INDEX(DA_SAP!$A:$A,(_xlfn.AGGREGATE(15,6,(ROW(DA_SAP!$F$3:$F$423)-2)/(DA_SAP!$F$3:$F$423=$A$443)*($A$443&lt;&gt;""),ROW()-445)+2)),"")</f>
        <v>Code article</v>
      </c>
      <c r="B465" s="125" t="str">
        <f>IFERROR(INDEX(DA_SAP!$B:$B,(_xlfn.AGGREGATE(15,6,(ROW(DA_SAP!$F$3:$F$423)-2)/(DA_SAP!$F$3:$F$423=$A$443)*($A$443&lt;&gt;""),ROW()-445)+2)),"")</f>
        <v>Désignation</v>
      </c>
      <c r="C465" s="125" t="str">
        <f>IFERROR(INDEX(DA_SAP!$C:$C,(_xlfn.AGGREGATE(15,6,(ROW(DA_SAP!$F$3:$F$423)-2)/(DA_SAP!$F$3:$F$423=$A$443)*($A$443&lt;&gt;""),ROW()-445)+2)),"")</f>
        <v>Quantité totale</v>
      </c>
      <c r="D465" s="125" t="str">
        <f>IFERROR(INDEX(DA_SAP!$D:$D,(_xlfn.AGGREGATE(15,6,(ROW(DA_SAP!$F$3:$F$423)-2)/(DA_SAP!$F$3:$F$423=$A$443)*($A$443&lt;&gt;""),ROW()-445)+2)),"")</f>
        <v>Unité</v>
      </c>
      <c r="E465" s="125" t="str">
        <f>IFERROR(INDEX(DA_SAP!$E:$E,(_xlfn.AGGREGATE(15,6,(ROW(DA_SAP!$F$3:$F$423)-2)/(DA_SAP!$F$3:$F$423=$A$443)*($A$443&lt;&gt;""),ROW()-445)+2)),"")</f>
        <v>Date de livraison</v>
      </c>
    </row>
    <row r="466" spans="1:5" x14ac:dyDescent="0.25">
      <c r="A466" s="125" t="str">
        <f>IFERROR(INDEX(DA_SAP!$A:$A,(_xlfn.AGGREGATE(15,6,(ROW(DA_SAP!$F$3:$F$423)-2)/(DA_SAP!$F$3:$F$423=$A$443)*($A$443&lt;&gt;""),ROW()-445)+2)),"")</f>
        <v>Code article</v>
      </c>
      <c r="B466" s="125" t="str">
        <f>IFERROR(INDEX(DA_SAP!$B:$B,(_xlfn.AGGREGATE(15,6,(ROW(DA_SAP!$F$3:$F$423)-2)/(DA_SAP!$F$3:$F$423=$A$443)*($A$443&lt;&gt;""),ROW()-445)+2)),"")</f>
        <v>Désignation</v>
      </c>
      <c r="C466" s="125" t="str">
        <f>IFERROR(INDEX(DA_SAP!$C:$C,(_xlfn.AGGREGATE(15,6,(ROW(DA_SAP!$F$3:$F$423)-2)/(DA_SAP!$F$3:$F$423=$A$443)*($A$443&lt;&gt;""),ROW()-445)+2)),"")</f>
        <v>Quantité totale</v>
      </c>
      <c r="D466" s="125" t="str">
        <f>IFERROR(INDEX(DA_SAP!$D:$D,(_xlfn.AGGREGATE(15,6,(ROW(DA_SAP!$F$3:$F$423)-2)/(DA_SAP!$F$3:$F$423=$A$443)*($A$443&lt;&gt;""),ROW()-445)+2)),"")</f>
        <v>Unité</v>
      </c>
      <c r="E466" s="125" t="str">
        <f>IFERROR(INDEX(DA_SAP!$E:$E,(_xlfn.AGGREGATE(15,6,(ROW(DA_SAP!$F$3:$F$423)-2)/(DA_SAP!$F$3:$F$423=$A$443)*($A$443&lt;&gt;""),ROW()-445)+2)),"")</f>
        <v>Date de livraison</v>
      </c>
    </row>
    <row r="467" spans="1:5" x14ac:dyDescent="0.25">
      <c r="A467" s="125" t="str">
        <f>IFERROR(INDEX(DA_SAP!$A:$A,(_xlfn.AGGREGATE(15,6,(ROW(DA_SAP!$F$3:$F$423)-2)/(DA_SAP!$F$3:$F$423=$A$443)*($A$443&lt;&gt;""),ROW()-445)+2)),"")</f>
        <v>Code article</v>
      </c>
      <c r="B467" s="125" t="str">
        <f>IFERROR(INDEX(DA_SAP!$B:$B,(_xlfn.AGGREGATE(15,6,(ROW(DA_SAP!$F$3:$F$423)-2)/(DA_SAP!$F$3:$F$423=$A$443)*($A$443&lt;&gt;""),ROW()-445)+2)),"")</f>
        <v>Désignation</v>
      </c>
      <c r="C467" s="125" t="str">
        <f>IFERROR(INDEX(DA_SAP!$C:$C,(_xlfn.AGGREGATE(15,6,(ROW(DA_SAP!$F$3:$F$423)-2)/(DA_SAP!$F$3:$F$423=$A$443)*($A$443&lt;&gt;""),ROW()-445)+2)),"")</f>
        <v>Quantité totale</v>
      </c>
      <c r="D467" s="125" t="str">
        <f>IFERROR(INDEX(DA_SAP!$D:$D,(_xlfn.AGGREGATE(15,6,(ROW(DA_SAP!$F$3:$F$423)-2)/(DA_SAP!$F$3:$F$423=$A$443)*($A$443&lt;&gt;""),ROW()-445)+2)),"")</f>
        <v>Unité</v>
      </c>
      <c r="E467" s="125" t="str">
        <f>IFERROR(INDEX(DA_SAP!$E:$E,(_xlfn.AGGREGATE(15,6,(ROW(DA_SAP!$F$3:$F$423)-2)/(DA_SAP!$F$3:$F$423=$A$443)*($A$443&lt;&gt;""),ROW()-445)+2)),"")</f>
        <v>Date de livraison</v>
      </c>
    </row>
    <row r="468" spans="1:5" x14ac:dyDescent="0.25">
      <c r="A468" s="125" t="str">
        <f>IFERROR(INDEX(DA_SAP!$A:$A,(_xlfn.AGGREGATE(15,6,(ROW(DA_SAP!$F$3:$F$423)-2)/(DA_SAP!$F$3:$F$423=$A$443)*($A$443&lt;&gt;""),ROW()-445)+2)),"")</f>
        <v>Code article</v>
      </c>
      <c r="B468" s="125" t="str">
        <f>IFERROR(INDEX(DA_SAP!$B:$B,(_xlfn.AGGREGATE(15,6,(ROW(DA_SAP!$F$3:$F$423)-2)/(DA_SAP!$F$3:$F$423=$A$443)*($A$443&lt;&gt;""),ROW()-445)+2)),"")</f>
        <v>Désignation</v>
      </c>
      <c r="C468" s="125" t="str">
        <f>IFERROR(INDEX(DA_SAP!$C:$C,(_xlfn.AGGREGATE(15,6,(ROW(DA_SAP!$F$3:$F$423)-2)/(DA_SAP!$F$3:$F$423=$A$443)*($A$443&lt;&gt;""),ROW()-445)+2)),"")</f>
        <v>Quantité totale</v>
      </c>
      <c r="D468" s="125" t="str">
        <f>IFERROR(INDEX(DA_SAP!$D:$D,(_xlfn.AGGREGATE(15,6,(ROW(DA_SAP!$F$3:$F$423)-2)/(DA_SAP!$F$3:$F$423=$A$443)*($A$443&lt;&gt;""),ROW()-445)+2)),"")</f>
        <v>Unité</v>
      </c>
      <c r="E468" s="125" t="str">
        <f>IFERROR(INDEX(DA_SAP!$E:$E,(_xlfn.AGGREGATE(15,6,(ROW(DA_SAP!$F$3:$F$423)-2)/(DA_SAP!$F$3:$F$423=$A$443)*($A$443&lt;&gt;""),ROW()-445)+2)),"")</f>
        <v>Date de livraison</v>
      </c>
    </row>
    <row r="469" spans="1:5" x14ac:dyDescent="0.25">
      <c r="A469" s="125" t="str">
        <f>IFERROR(INDEX(DA_SAP!$A:$A,(_xlfn.AGGREGATE(15,6,(ROW(DA_SAP!$F$3:$F$423)-2)/(DA_SAP!$F$3:$F$423=$A$443)*($A$443&lt;&gt;""),ROW()-445)+2)),"")</f>
        <v>Code article</v>
      </c>
      <c r="B469" s="125" t="str">
        <f>IFERROR(INDEX(DA_SAP!$B:$B,(_xlfn.AGGREGATE(15,6,(ROW(DA_SAP!$F$3:$F$423)-2)/(DA_SAP!$F$3:$F$423=$A$443)*($A$443&lt;&gt;""),ROW()-445)+2)),"")</f>
        <v>Désignation</v>
      </c>
      <c r="C469" s="125" t="str">
        <f>IFERROR(INDEX(DA_SAP!$C:$C,(_xlfn.AGGREGATE(15,6,(ROW(DA_SAP!$F$3:$F$423)-2)/(DA_SAP!$F$3:$F$423=$A$443)*($A$443&lt;&gt;""),ROW()-445)+2)),"")</f>
        <v>Quantité totale</v>
      </c>
      <c r="D469" s="125" t="str">
        <f>IFERROR(INDEX(DA_SAP!$D:$D,(_xlfn.AGGREGATE(15,6,(ROW(DA_SAP!$F$3:$F$423)-2)/(DA_SAP!$F$3:$F$423=$A$443)*($A$443&lt;&gt;""),ROW()-445)+2)),"")</f>
        <v>Unité</v>
      </c>
      <c r="E469" s="125" t="str">
        <f>IFERROR(INDEX(DA_SAP!$E:$E,(_xlfn.AGGREGATE(15,6,(ROW(DA_SAP!$F$3:$F$423)-2)/(DA_SAP!$F$3:$F$423=$A$443)*($A$443&lt;&gt;""),ROW()-445)+2)),"")</f>
        <v>Date de livraison</v>
      </c>
    </row>
    <row r="470" spans="1:5" x14ac:dyDescent="0.25">
      <c r="A470" s="125" t="str">
        <f>IFERROR(INDEX(DA_SAP!$A:$A,(_xlfn.AGGREGATE(15,6,(ROW(DA_SAP!$F$3:$F$423)-2)/(DA_SAP!$F$3:$F$423=$A$443)*($A$443&lt;&gt;""),ROW()-445)+2)),"")</f>
        <v>Code article</v>
      </c>
      <c r="B470" s="125" t="str">
        <f>IFERROR(INDEX(DA_SAP!$B:$B,(_xlfn.AGGREGATE(15,6,(ROW(DA_SAP!$F$3:$F$423)-2)/(DA_SAP!$F$3:$F$423=$A$443)*($A$443&lt;&gt;""),ROW()-445)+2)),"")</f>
        <v>Désignation</v>
      </c>
      <c r="C470" s="125" t="str">
        <f>IFERROR(INDEX(DA_SAP!$C:$C,(_xlfn.AGGREGATE(15,6,(ROW(DA_SAP!$F$3:$F$423)-2)/(DA_SAP!$F$3:$F$423=$A$443)*($A$443&lt;&gt;""),ROW()-445)+2)),"")</f>
        <v>Quantité totale</v>
      </c>
      <c r="D470" s="125" t="str">
        <f>IFERROR(INDEX(DA_SAP!$D:$D,(_xlfn.AGGREGATE(15,6,(ROW(DA_SAP!$F$3:$F$423)-2)/(DA_SAP!$F$3:$F$423=$A$443)*($A$443&lt;&gt;""),ROW()-445)+2)),"")</f>
        <v>Unité</v>
      </c>
      <c r="E470" s="125" t="str">
        <f>IFERROR(INDEX(DA_SAP!$E:$E,(_xlfn.AGGREGATE(15,6,(ROW(DA_SAP!$F$3:$F$423)-2)/(DA_SAP!$F$3:$F$423=$A$443)*($A$443&lt;&gt;""),ROW()-445)+2)),"")</f>
        <v>Date de livraison</v>
      </c>
    </row>
    <row r="471" spans="1:5" x14ac:dyDescent="0.25">
      <c r="A471" s="125" t="str">
        <f>IFERROR(INDEX(DA_SAP!$A:$A,(_xlfn.AGGREGATE(15,6,(ROW(DA_SAP!$F$3:$F$423)-2)/(DA_SAP!$F$3:$F$423=$A$443)*($A$443&lt;&gt;""),ROW()-445)+2)),"")</f>
        <v>Code article</v>
      </c>
      <c r="B471" s="125" t="str">
        <f>IFERROR(INDEX(DA_SAP!$B:$B,(_xlfn.AGGREGATE(15,6,(ROW(DA_SAP!$F$3:$F$423)-2)/(DA_SAP!$F$3:$F$423=$A$443)*($A$443&lt;&gt;""),ROW()-445)+2)),"")</f>
        <v>Désignation</v>
      </c>
      <c r="C471" s="125" t="str">
        <f>IFERROR(INDEX(DA_SAP!$C:$C,(_xlfn.AGGREGATE(15,6,(ROW(DA_SAP!$F$3:$F$423)-2)/(DA_SAP!$F$3:$F$423=$A$443)*($A$443&lt;&gt;""),ROW()-445)+2)),"")</f>
        <v>Quantité totale</v>
      </c>
      <c r="D471" s="125" t="str">
        <f>IFERROR(INDEX(DA_SAP!$D:$D,(_xlfn.AGGREGATE(15,6,(ROW(DA_SAP!$F$3:$F$423)-2)/(DA_SAP!$F$3:$F$423=$A$443)*($A$443&lt;&gt;""),ROW()-445)+2)),"")</f>
        <v>Unité</v>
      </c>
      <c r="E471" s="125" t="str">
        <f>IFERROR(INDEX(DA_SAP!$E:$E,(_xlfn.AGGREGATE(15,6,(ROW(DA_SAP!$F$3:$F$423)-2)/(DA_SAP!$F$3:$F$423=$A$443)*($A$443&lt;&gt;""),ROW()-445)+2)),"")</f>
        <v>Date de livraison</v>
      </c>
    </row>
    <row r="472" spans="1:5" x14ac:dyDescent="0.25">
      <c r="A472" s="125" t="str">
        <f>IFERROR(INDEX(DA_SAP!$A:$A,(_xlfn.AGGREGATE(15,6,(ROW(DA_SAP!$F$3:$F$423)-2)/(DA_SAP!$F$3:$F$423=$A$443)*($A$443&lt;&gt;""),ROW()-445)+2)),"")</f>
        <v>Code article</v>
      </c>
      <c r="B472" s="125" t="str">
        <f>IFERROR(INDEX(DA_SAP!$B:$B,(_xlfn.AGGREGATE(15,6,(ROW(DA_SAP!$F$3:$F$423)-2)/(DA_SAP!$F$3:$F$423=$A$443)*($A$443&lt;&gt;""),ROW()-445)+2)),"")</f>
        <v>Désignation</v>
      </c>
      <c r="C472" s="125" t="str">
        <f>IFERROR(INDEX(DA_SAP!$C:$C,(_xlfn.AGGREGATE(15,6,(ROW(DA_SAP!$F$3:$F$423)-2)/(DA_SAP!$F$3:$F$423=$A$443)*($A$443&lt;&gt;""),ROW()-445)+2)),"")</f>
        <v>Quantité totale</v>
      </c>
      <c r="D472" s="125" t="str">
        <f>IFERROR(INDEX(DA_SAP!$D:$D,(_xlfn.AGGREGATE(15,6,(ROW(DA_SAP!$F$3:$F$423)-2)/(DA_SAP!$F$3:$F$423=$A$443)*($A$443&lt;&gt;""),ROW()-445)+2)),"")</f>
        <v>Unité</v>
      </c>
      <c r="E472" s="125" t="str">
        <f>IFERROR(INDEX(DA_SAP!$E:$E,(_xlfn.AGGREGATE(15,6,(ROW(DA_SAP!$F$3:$F$423)-2)/(DA_SAP!$F$3:$F$423=$A$443)*($A$443&lt;&gt;""),ROW()-445)+2)),"")</f>
        <v>Date de livraison</v>
      </c>
    </row>
    <row r="473" spans="1:5" x14ac:dyDescent="0.25">
      <c r="A473" s="125" t="str">
        <f>IFERROR(INDEX(DA_SAP!$A:$A,(_xlfn.AGGREGATE(15,6,(ROW(DA_SAP!$F$3:$F$423)-2)/(DA_SAP!$F$3:$F$423=$A$443)*($A$443&lt;&gt;""),ROW()-445)+2)),"")</f>
        <v>Code article</v>
      </c>
      <c r="B473" s="125" t="str">
        <f>IFERROR(INDEX(DA_SAP!$B:$B,(_xlfn.AGGREGATE(15,6,(ROW(DA_SAP!$F$3:$F$423)-2)/(DA_SAP!$F$3:$F$423=$A$443)*($A$443&lt;&gt;""),ROW()-445)+2)),"")</f>
        <v>Désignation</v>
      </c>
      <c r="C473" s="125" t="str">
        <f>IFERROR(INDEX(DA_SAP!$C:$C,(_xlfn.AGGREGATE(15,6,(ROW(DA_SAP!$F$3:$F$423)-2)/(DA_SAP!$F$3:$F$423=$A$443)*($A$443&lt;&gt;""),ROW()-445)+2)),"")</f>
        <v>Quantité totale</v>
      </c>
      <c r="D473" s="125" t="str">
        <f>IFERROR(INDEX(DA_SAP!$D:$D,(_xlfn.AGGREGATE(15,6,(ROW(DA_SAP!$F$3:$F$423)-2)/(DA_SAP!$F$3:$F$423=$A$443)*($A$443&lt;&gt;""),ROW()-445)+2)),"")</f>
        <v>Unité</v>
      </c>
      <c r="E473" s="125" t="str">
        <f>IFERROR(INDEX(DA_SAP!$E:$E,(_xlfn.AGGREGATE(15,6,(ROW(DA_SAP!$F$3:$F$423)-2)/(DA_SAP!$F$3:$F$423=$A$443)*($A$443&lt;&gt;""),ROW()-445)+2)),"")</f>
        <v>Date de livraison</v>
      </c>
    </row>
    <row r="474" spans="1:5" x14ac:dyDescent="0.25">
      <c r="A474" s="125" t="str">
        <f>IFERROR(INDEX(DA_SAP!$A:$A,(_xlfn.AGGREGATE(15,6,(ROW(DA_SAP!$F$3:$F$423)-2)/(DA_SAP!$F$3:$F$423=$A$443)*($A$443&lt;&gt;""),ROW()-445)+2)),"")</f>
        <v>Code article</v>
      </c>
      <c r="B474" s="125" t="str">
        <f>IFERROR(INDEX(DA_SAP!$B:$B,(_xlfn.AGGREGATE(15,6,(ROW(DA_SAP!$F$3:$F$423)-2)/(DA_SAP!$F$3:$F$423=$A$443)*($A$443&lt;&gt;""),ROW()-445)+2)),"")</f>
        <v>Désignation</v>
      </c>
      <c r="C474" s="125" t="str">
        <f>IFERROR(INDEX(DA_SAP!$C:$C,(_xlfn.AGGREGATE(15,6,(ROW(DA_SAP!$F$3:$F$423)-2)/(DA_SAP!$F$3:$F$423=$A$443)*($A$443&lt;&gt;""),ROW()-445)+2)),"")</f>
        <v>Quantité totale</v>
      </c>
      <c r="D474" s="125" t="str">
        <f>IFERROR(INDEX(DA_SAP!$D:$D,(_xlfn.AGGREGATE(15,6,(ROW(DA_SAP!$F$3:$F$423)-2)/(DA_SAP!$F$3:$F$423=$A$443)*($A$443&lt;&gt;""),ROW()-445)+2)),"")</f>
        <v>Unité</v>
      </c>
      <c r="E474" s="125" t="str">
        <f>IFERROR(INDEX(DA_SAP!$E:$E,(_xlfn.AGGREGATE(15,6,(ROW(DA_SAP!$F$3:$F$423)-2)/(DA_SAP!$F$3:$F$423=$A$443)*($A$443&lt;&gt;""),ROW()-445)+2)),"")</f>
        <v>Date de livraison</v>
      </c>
    </row>
    <row r="475" spans="1:5" x14ac:dyDescent="0.25">
      <c r="A475" s="125" t="str">
        <f>IFERROR(INDEX(DA_SAP!$A:$A,(_xlfn.AGGREGATE(15,6,(ROW(DA_SAP!$F$3:$F$423)-2)/(DA_SAP!$F$3:$F$423=$A$443)*($A$443&lt;&gt;""),ROW()-445)+2)),"")</f>
        <v>Code article</v>
      </c>
      <c r="B475" s="125" t="str">
        <f>IFERROR(INDEX(DA_SAP!$B:$B,(_xlfn.AGGREGATE(15,6,(ROW(DA_SAP!$F$3:$F$423)-2)/(DA_SAP!$F$3:$F$423=$A$443)*($A$443&lt;&gt;""),ROW()-445)+2)),"")</f>
        <v>Désignation</v>
      </c>
      <c r="C475" s="125" t="str">
        <f>IFERROR(INDEX(DA_SAP!$C:$C,(_xlfn.AGGREGATE(15,6,(ROW(DA_SAP!$F$3:$F$423)-2)/(DA_SAP!$F$3:$F$423=$A$443)*($A$443&lt;&gt;""),ROW()-445)+2)),"")</f>
        <v>Quantité totale</v>
      </c>
      <c r="D475" s="125" t="str">
        <f>IFERROR(INDEX(DA_SAP!$D:$D,(_xlfn.AGGREGATE(15,6,(ROW(DA_SAP!$F$3:$F$423)-2)/(DA_SAP!$F$3:$F$423=$A$443)*($A$443&lt;&gt;""),ROW()-445)+2)),"")</f>
        <v>Unité</v>
      </c>
      <c r="E475" s="125" t="str">
        <f>IFERROR(INDEX(DA_SAP!$E:$E,(_xlfn.AGGREGATE(15,6,(ROW(DA_SAP!$F$3:$F$423)-2)/(DA_SAP!$F$3:$F$423=$A$443)*($A$443&lt;&gt;""),ROW()-445)+2)),"")</f>
        <v>Date de livraison</v>
      </c>
    </row>
    <row r="476" spans="1:5" x14ac:dyDescent="0.25">
      <c r="A476" s="125" t="str">
        <f>IFERROR(INDEX(DA_SAP!$A:$A,(_xlfn.AGGREGATE(15,6,(ROW(DA_SAP!$F$3:$F$423)-2)/(DA_SAP!$F$3:$F$423=$A$443)*($A$443&lt;&gt;""),ROW()-445)+2)),"")</f>
        <v>Code article</v>
      </c>
      <c r="B476" s="125" t="str">
        <f>IFERROR(INDEX(DA_SAP!$B:$B,(_xlfn.AGGREGATE(15,6,(ROW(DA_SAP!$F$3:$F$423)-2)/(DA_SAP!$F$3:$F$423=$A$443)*($A$443&lt;&gt;""),ROW()-445)+2)),"")</f>
        <v>Désignation</v>
      </c>
      <c r="C476" s="125" t="str">
        <f>IFERROR(INDEX(DA_SAP!$C:$C,(_xlfn.AGGREGATE(15,6,(ROW(DA_SAP!$F$3:$F$423)-2)/(DA_SAP!$F$3:$F$423=$A$443)*($A$443&lt;&gt;""),ROW()-445)+2)),"")</f>
        <v>Quantité totale</v>
      </c>
      <c r="D476" s="125" t="str">
        <f>IFERROR(INDEX(DA_SAP!$D:$D,(_xlfn.AGGREGATE(15,6,(ROW(DA_SAP!$F$3:$F$423)-2)/(DA_SAP!$F$3:$F$423=$A$443)*($A$443&lt;&gt;""),ROW()-445)+2)),"")</f>
        <v>Unité</v>
      </c>
      <c r="E476" s="125" t="str">
        <f>IFERROR(INDEX(DA_SAP!$E:$E,(_xlfn.AGGREGATE(15,6,(ROW(DA_SAP!$F$3:$F$423)-2)/(DA_SAP!$F$3:$F$423=$A$443)*($A$443&lt;&gt;""),ROW()-445)+2)),"")</f>
        <v>Date de livraison</v>
      </c>
    </row>
    <row r="477" spans="1:5" x14ac:dyDescent="0.25">
      <c r="A477" s="125" t="str">
        <f>IFERROR(INDEX(DA_SAP!$A:$A,(_xlfn.AGGREGATE(15,6,(ROW(DA_SAP!$F$3:$F$423)-2)/(DA_SAP!$F$3:$F$423=$A$443)*($A$443&lt;&gt;""),ROW()-445)+2)),"")</f>
        <v>Code article</v>
      </c>
      <c r="B477" s="125" t="str">
        <f>IFERROR(INDEX(DA_SAP!$B:$B,(_xlfn.AGGREGATE(15,6,(ROW(DA_SAP!$F$3:$F$423)-2)/(DA_SAP!$F$3:$F$423=$A$443)*($A$443&lt;&gt;""),ROW()-445)+2)),"")</f>
        <v>Désignation</v>
      </c>
      <c r="C477" s="125" t="str">
        <f>IFERROR(INDEX(DA_SAP!$C:$C,(_xlfn.AGGREGATE(15,6,(ROW(DA_SAP!$F$3:$F$423)-2)/(DA_SAP!$F$3:$F$423=$A$443)*($A$443&lt;&gt;""),ROW()-445)+2)),"")</f>
        <v>Quantité totale</v>
      </c>
      <c r="D477" s="125" t="str">
        <f>IFERROR(INDEX(DA_SAP!$D:$D,(_xlfn.AGGREGATE(15,6,(ROW(DA_SAP!$F$3:$F$423)-2)/(DA_SAP!$F$3:$F$423=$A$443)*($A$443&lt;&gt;""),ROW()-445)+2)),"")</f>
        <v>Unité</v>
      </c>
      <c r="E477" s="125" t="str">
        <f>IFERROR(INDEX(DA_SAP!$E:$E,(_xlfn.AGGREGATE(15,6,(ROW(DA_SAP!$F$3:$F$423)-2)/(DA_SAP!$F$3:$F$423=$A$443)*($A$443&lt;&gt;""),ROW()-445)+2)),"")</f>
        <v>Date de livraison</v>
      </c>
    </row>
    <row r="478" spans="1:5" x14ac:dyDescent="0.25">
      <c r="A478" s="125" t="str">
        <f>IFERROR(INDEX(DA_SAP!$A:$A,(_xlfn.AGGREGATE(15,6,(ROW(DA_SAP!$F$3:$F$423)-2)/(DA_SAP!$F$3:$F$423=$A$443)*($A$443&lt;&gt;""),ROW()-445)+2)),"")</f>
        <v>Code article</v>
      </c>
      <c r="B478" s="125" t="str">
        <f>IFERROR(INDEX(DA_SAP!$B:$B,(_xlfn.AGGREGATE(15,6,(ROW(DA_SAP!$F$3:$F$423)-2)/(DA_SAP!$F$3:$F$423=$A$443)*($A$443&lt;&gt;""),ROW()-445)+2)),"")</f>
        <v>Désignation</v>
      </c>
      <c r="C478" s="125" t="str">
        <f>IFERROR(INDEX(DA_SAP!$C:$C,(_xlfn.AGGREGATE(15,6,(ROW(DA_SAP!$F$3:$F$423)-2)/(DA_SAP!$F$3:$F$423=$A$443)*($A$443&lt;&gt;""),ROW()-445)+2)),"")</f>
        <v>Quantité totale</v>
      </c>
      <c r="D478" s="125" t="str">
        <f>IFERROR(INDEX(DA_SAP!$D:$D,(_xlfn.AGGREGATE(15,6,(ROW(DA_SAP!$F$3:$F$423)-2)/(DA_SAP!$F$3:$F$423=$A$443)*($A$443&lt;&gt;""),ROW()-445)+2)),"")</f>
        <v>Unité</v>
      </c>
      <c r="E478" s="125" t="str">
        <f>IFERROR(INDEX(DA_SAP!$E:$E,(_xlfn.AGGREGATE(15,6,(ROW(DA_SAP!$F$3:$F$423)-2)/(DA_SAP!$F$3:$F$423=$A$443)*($A$443&lt;&gt;""),ROW()-445)+2)),"")</f>
        <v>Date de livraison</v>
      </c>
    </row>
    <row r="479" spans="1:5" x14ac:dyDescent="0.25">
      <c r="A479" s="125" t="str">
        <f>IFERROR(INDEX(DA_SAP!$A:$A,(_xlfn.AGGREGATE(15,6,(ROW(DA_SAP!$F$3:$F$423)-2)/(DA_SAP!$F$3:$F$423=$A$443)*($A$443&lt;&gt;""),ROW()-445)+2)),"")</f>
        <v>Code article</v>
      </c>
      <c r="B479" s="125" t="str">
        <f>IFERROR(INDEX(DA_SAP!$B:$B,(_xlfn.AGGREGATE(15,6,(ROW(DA_SAP!$F$3:$F$423)-2)/(DA_SAP!$F$3:$F$423=$A$443)*($A$443&lt;&gt;""),ROW()-445)+2)),"")</f>
        <v>Désignation</v>
      </c>
      <c r="C479" s="125" t="str">
        <f>IFERROR(INDEX(DA_SAP!$C:$C,(_xlfn.AGGREGATE(15,6,(ROW(DA_SAP!$F$3:$F$423)-2)/(DA_SAP!$F$3:$F$423=$A$443)*($A$443&lt;&gt;""),ROW()-445)+2)),"")</f>
        <v>Quantité totale</v>
      </c>
      <c r="D479" s="125" t="str">
        <f>IFERROR(INDEX(DA_SAP!$D:$D,(_xlfn.AGGREGATE(15,6,(ROW(DA_SAP!$F$3:$F$423)-2)/(DA_SAP!$F$3:$F$423=$A$443)*($A$443&lt;&gt;""),ROW()-445)+2)),"")</f>
        <v>Unité</v>
      </c>
      <c r="E479" s="125" t="str">
        <f>IFERROR(INDEX(DA_SAP!$E:$E,(_xlfn.AGGREGATE(15,6,(ROW(DA_SAP!$F$3:$F$423)-2)/(DA_SAP!$F$3:$F$423=$A$443)*($A$443&lt;&gt;""),ROW()-445)+2)),"")</f>
        <v>Date de livraison</v>
      </c>
    </row>
    <row r="480" spans="1:5" x14ac:dyDescent="0.25">
      <c r="A480" s="125" t="str">
        <f>IFERROR(INDEX(DA_SAP!$A:$A,(_xlfn.AGGREGATE(15,6,(ROW(DA_SAP!$F$3:$F$423)-2)/(DA_SAP!$F$3:$F$423=$A$443)*($A$443&lt;&gt;""),ROW()-445)+2)),"")</f>
        <v>Code article</v>
      </c>
      <c r="B480" s="125" t="str">
        <f>IFERROR(INDEX(DA_SAP!$B:$B,(_xlfn.AGGREGATE(15,6,(ROW(DA_SAP!$F$3:$F$423)-2)/(DA_SAP!$F$3:$F$423=$A$443)*($A$443&lt;&gt;""),ROW()-445)+2)),"")</f>
        <v>Désignation</v>
      </c>
      <c r="C480" s="125" t="str">
        <f>IFERROR(INDEX(DA_SAP!$C:$C,(_xlfn.AGGREGATE(15,6,(ROW(DA_SAP!$F$3:$F$423)-2)/(DA_SAP!$F$3:$F$423=$A$443)*($A$443&lt;&gt;""),ROW()-445)+2)),"")</f>
        <v>Quantité totale</v>
      </c>
      <c r="D480" s="125" t="str">
        <f>IFERROR(INDEX(DA_SAP!$D:$D,(_xlfn.AGGREGATE(15,6,(ROW(DA_SAP!$F$3:$F$423)-2)/(DA_SAP!$F$3:$F$423=$A$443)*($A$443&lt;&gt;""),ROW()-445)+2)),"")</f>
        <v>Unité</v>
      </c>
      <c r="E480" s="125" t="str">
        <f>IFERROR(INDEX(DA_SAP!$E:$E,(_xlfn.AGGREGATE(15,6,(ROW(DA_SAP!$F$3:$F$423)-2)/(DA_SAP!$F$3:$F$423=$A$443)*($A$443&lt;&gt;""),ROW()-445)+2)),"")</f>
        <v>Date de livraison</v>
      </c>
    </row>
    <row r="481" spans="1:5" x14ac:dyDescent="0.25">
      <c r="A481" s="125" t="str">
        <f>IFERROR(INDEX(DA_SAP!$A:$A,(_xlfn.AGGREGATE(15,6,(ROW(DA_SAP!$F$3:$F$423)-2)/(DA_SAP!$F$3:$F$423=$A$443)*($A$443&lt;&gt;""),ROW()-445)+2)),"")</f>
        <v>Code article</v>
      </c>
      <c r="B481" s="125" t="str">
        <f>IFERROR(INDEX(DA_SAP!$B:$B,(_xlfn.AGGREGATE(15,6,(ROW(DA_SAP!$F$3:$F$423)-2)/(DA_SAP!$F$3:$F$423=$A$443)*($A$443&lt;&gt;""),ROW()-445)+2)),"")</f>
        <v>Désignation</v>
      </c>
      <c r="C481" s="125" t="str">
        <f>IFERROR(INDEX(DA_SAP!$C:$C,(_xlfn.AGGREGATE(15,6,(ROW(DA_SAP!$F$3:$F$423)-2)/(DA_SAP!$F$3:$F$423=$A$443)*($A$443&lt;&gt;""),ROW()-445)+2)),"")</f>
        <v>Quantité totale</v>
      </c>
      <c r="D481" s="125" t="str">
        <f>IFERROR(INDEX(DA_SAP!$D:$D,(_xlfn.AGGREGATE(15,6,(ROW(DA_SAP!$F$3:$F$423)-2)/(DA_SAP!$F$3:$F$423=$A$443)*($A$443&lt;&gt;""),ROW()-445)+2)),"")</f>
        <v>Unité</v>
      </c>
      <c r="E481" s="125" t="str">
        <f>IFERROR(INDEX(DA_SAP!$E:$E,(_xlfn.AGGREGATE(15,6,(ROW(DA_SAP!$F$3:$F$423)-2)/(DA_SAP!$F$3:$F$423=$A$443)*($A$443&lt;&gt;""),ROW()-445)+2)),"")</f>
        <v>Date de livraison</v>
      </c>
    </row>
    <row r="482" spans="1:5" x14ac:dyDescent="0.25">
      <c r="A482" s="125" t="str">
        <f>IFERROR(INDEX(DA_SAP!$A:$A,(_xlfn.AGGREGATE(15,6,(ROW(DA_SAP!$F$3:$F$423)-2)/(DA_SAP!$F$3:$F$423=$A$443)*($A$443&lt;&gt;""),ROW()-445)+2)),"")</f>
        <v>Code article</v>
      </c>
      <c r="B482" s="125" t="str">
        <f>IFERROR(INDEX(DA_SAP!$B:$B,(_xlfn.AGGREGATE(15,6,(ROW(DA_SAP!$F$3:$F$423)-2)/(DA_SAP!$F$3:$F$423=$A$443)*($A$443&lt;&gt;""),ROW()-445)+2)),"")</f>
        <v>Désignation</v>
      </c>
      <c r="C482" s="125" t="str">
        <f>IFERROR(INDEX(DA_SAP!$C:$C,(_xlfn.AGGREGATE(15,6,(ROW(DA_SAP!$F$3:$F$423)-2)/(DA_SAP!$F$3:$F$423=$A$443)*($A$443&lt;&gt;""),ROW()-445)+2)),"")</f>
        <v>Quantité totale</v>
      </c>
      <c r="D482" s="125" t="str">
        <f>IFERROR(INDEX(DA_SAP!$D:$D,(_xlfn.AGGREGATE(15,6,(ROW(DA_SAP!$F$3:$F$423)-2)/(DA_SAP!$F$3:$F$423=$A$443)*($A$443&lt;&gt;""),ROW()-445)+2)),"")</f>
        <v>Unité</v>
      </c>
      <c r="E482" s="125" t="str">
        <f>IFERROR(INDEX(DA_SAP!$E:$E,(_xlfn.AGGREGATE(15,6,(ROW(DA_SAP!$F$3:$F$423)-2)/(DA_SAP!$F$3:$F$423=$A$443)*($A$443&lt;&gt;""),ROW()-445)+2)),"")</f>
        <v>Date de livraison</v>
      </c>
    </row>
    <row r="483" spans="1:5" x14ac:dyDescent="0.25">
      <c r="A483" s="125" t="str">
        <f>IFERROR(INDEX(DA_SAP!$A:$A,(_xlfn.AGGREGATE(15,6,(ROW(DA_SAP!$F$3:$F$423)-2)/(DA_SAP!$F$3:$F$423=$A$443)*($A$443&lt;&gt;""),ROW()-445)+2)),"")</f>
        <v>Code article</v>
      </c>
      <c r="B483" s="125" t="str">
        <f>IFERROR(INDEX(DA_SAP!$B:$B,(_xlfn.AGGREGATE(15,6,(ROW(DA_SAP!$F$3:$F$423)-2)/(DA_SAP!$F$3:$F$423=$A$443)*($A$443&lt;&gt;""),ROW()-445)+2)),"")</f>
        <v>Désignation</v>
      </c>
      <c r="C483" s="125" t="str">
        <f>IFERROR(INDEX(DA_SAP!$C:$C,(_xlfn.AGGREGATE(15,6,(ROW(DA_SAP!$F$3:$F$423)-2)/(DA_SAP!$F$3:$F$423=$A$443)*($A$443&lt;&gt;""),ROW()-445)+2)),"")</f>
        <v>Quantité totale</v>
      </c>
      <c r="D483" s="125" t="str">
        <f>IFERROR(INDEX(DA_SAP!$D:$D,(_xlfn.AGGREGATE(15,6,(ROW(DA_SAP!$F$3:$F$423)-2)/(DA_SAP!$F$3:$F$423=$A$443)*($A$443&lt;&gt;""),ROW()-445)+2)),"")</f>
        <v>Unité</v>
      </c>
      <c r="E483" s="125" t="str">
        <f>IFERROR(INDEX(DA_SAP!$E:$E,(_xlfn.AGGREGATE(15,6,(ROW(DA_SAP!$F$3:$F$423)-2)/(DA_SAP!$F$3:$F$423=$A$443)*($A$443&lt;&gt;""),ROW()-445)+2)),"")</f>
        <v>Date de livraison</v>
      </c>
    </row>
    <row r="484" spans="1:5" x14ac:dyDescent="0.25">
      <c r="A484" s="125" t="str">
        <f>IFERROR(INDEX(DA_SAP!$A:$A,(_xlfn.AGGREGATE(15,6,(ROW(DA_SAP!$F$3:$F$423)-2)/(DA_SAP!$F$3:$F$423=$A$443)*($A$443&lt;&gt;""),ROW()-445)+2)),"")</f>
        <v>Code article</v>
      </c>
      <c r="B484" s="125" t="str">
        <f>IFERROR(INDEX(DA_SAP!$B:$B,(_xlfn.AGGREGATE(15,6,(ROW(DA_SAP!$F$3:$F$423)-2)/(DA_SAP!$F$3:$F$423=$A$443)*($A$443&lt;&gt;""),ROW()-445)+2)),"")</f>
        <v>Désignation</v>
      </c>
      <c r="C484" s="125" t="str">
        <f>IFERROR(INDEX(DA_SAP!$C:$C,(_xlfn.AGGREGATE(15,6,(ROW(DA_SAP!$F$3:$F$423)-2)/(DA_SAP!$F$3:$F$423=$A$443)*($A$443&lt;&gt;""),ROW()-445)+2)),"")</f>
        <v>Quantité totale</v>
      </c>
      <c r="D484" s="125" t="str">
        <f>IFERROR(INDEX(DA_SAP!$D:$D,(_xlfn.AGGREGATE(15,6,(ROW(DA_SAP!$F$3:$F$423)-2)/(DA_SAP!$F$3:$F$423=$A$443)*($A$443&lt;&gt;""),ROW()-445)+2)),"")</f>
        <v>Unité</v>
      </c>
      <c r="E484" s="125" t="str">
        <f>IFERROR(INDEX(DA_SAP!$E:$E,(_xlfn.AGGREGATE(15,6,(ROW(DA_SAP!$F$3:$F$423)-2)/(DA_SAP!$F$3:$F$423=$A$443)*($A$443&lt;&gt;""),ROW()-445)+2)),"")</f>
        <v>Date de livraison</v>
      </c>
    </row>
    <row r="485" spans="1:5" x14ac:dyDescent="0.25">
      <c r="A485" s="125" t="str">
        <f>IFERROR(INDEX(DA_SAP!$A:$A,(_xlfn.AGGREGATE(15,6,(ROW(DA_SAP!$F$3:$F$423)-2)/(DA_SAP!$F$3:$F$423=$A$443)*($A$443&lt;&gt;""),ROW()-445)+2)),"")</f>
        <v>Code article</v>
      </c>
      <c r="B485" s="125" t="str">
        <f>IFERROR(INDEX(DA_SAP!$B:$B,(_xlfn.AGGREGATE(15,6,(ROW(DA_SAP!$F$3:$F$423)-2)/(DA_SAP!$F$3:$F$423=$A$443)*($A$443&lt;&gt;""),ROW()-445)+2)),"")</f>
        <v>Désignation</v>
      </c>
      <c r="C485" s="125" t="str">
        <f>IFERROR(INDEX(DA_SAP!$C:$C,(_xlfn.AGGREGATE(15,6,(ROW(DA_SAP!$F$3:$F$423)-2)/(DA_SAP!$F$3:$F$423=$A$443)*($A$443&lt;&gt;""),ROW()-445)+2)),"")</f>
        <v>Quantité totale</v>
      </c>
      <c r="D485" s="125" t="str">
        <f>IFERROR(INDEX(DA_SAP!$D:$D,(_xlfn.AGGREGATE(15,6,(ROW(DA_SAP!$F$3:$F$423)-2)/(DA_SAP!$F$3:$F$423=$A$443)*($A$443&lt;&gt;""),ROW()-445)+2)),"")</f>
        <v>Unité</v>
      </c>
      <c r="E485" s="125" t="str">
        <f>IFERROR(INDEX(DA_SAP!$E:$E,(_xlfn.AGGREGATE(15,6,(ROW(DA_SAP!$F$3:$F$423)-2)/(DA_SAP!$F$3:$F$423=$A$443)*($A$443&lt;&gt;""),ROW()-445)+2)),"")</f>
        <v>Date de livraison</v>
      </c>
    </row>
    <row r="486" spans="1:5" x14ac:dyDescent="0.25">
      <c r="A486" s="125" t="str">
        <f>IFERROR(INDEX(DA_SAP!$A:$A,(_xlfn.AGGREGATE(15,6,(ROW(DA_SAP!$F$3:$F$423)-2)/(DA_SAP!$F$3:$F$423=$A$443)*($A$443&lt;&gt;""),ROW()-445)+2)),"")</f>
        <v>Code article</v>
      </c>
      <c r="B486" s="125" t="str">
        <f>IFERROR(INDEX(DA_SAP!$B:$B,(_xlfn.AGGREGATE(15,6,(ROW(DA_SAP!$F$3:$F$423)-2)/(DA_SAP!$F$3:$F$423=$A$443)*($A$443&lt;&gt;""),ROW()-445)+2)),"")</f>
        <v>Désignation</v>
      </c>
      <c r="C486" s="125" t="str">
        <f>IFERROR(INDEX(DA_SAP!$C:$C,(_xlfn.AGGREGATE(15,6,(ROW(DA_SAP!$F$3:$F$423)-2)/(DA_SAP!$F$3:$F$423=$A$443)*($A$443&lt;&gt;""),ROW()-445)+2)),"")</f>
        <v>Quantité totale</v>
      </c>
      <c r="D486" s="125" t="str">
        <f>IFERROR(INDEX(DA_SAP!$D:$D,(_xlfn.AGGREGATE(15,6,(ROW(DA_SAP!$F$3:$F$423)-2)/(DA_SAP!$F$3:$F$423=$A$443)*($A$443&lt;&gt;""),ROW()-445)+2)),"")</f>
        <v>Unité</v>
      </c>
      <c r="E486" s="125" t="str">
        <f>IFERROR(INDEX(DA_SAP!$E:$E,(_xlfn.AGGREGATE(15,6,(ROW(DA_SAP!$F$3:$F$423)-2)/(DA_SAP!$F$3:$F$423=$A$443)*($A$443&lt;&gt;""),ROW()-445)+2)),"")</f>
        <v>Date de livraison</v>
      </c>
    </row>
    <row r="487" spans="1:5" x14ac:dyDescent="0.25">
      <c r="A487" s="125" t="str">
        <f>IFERROR(INDEX(DA_SAP!$A:$A,(_xlfn.AGGREGATE(15,6,(ROW(DA_SAP!$F$3:$F$423)-2)/(DA_SAP!$F$3:$F$423=$A$443)*($A$443&lt;&gt;""),ROW()-445)+2)),"")</f>
        <v>Code article</v>
      </c>
      <c r="B487" s="125" t="str">
        <f>IFERROR(INDEX(DA_SAP!$B:$B,(_xlfn.AGGREGATE(15,6,(ROW(DA_SAP!$F$3:$F$423)-2)/(DA_SAP!$F$3:$F$423=$A$443)*($A$443&lt;&gt;""),ROW()-445)+2)),"")</f>
        <v>Désignation</v>
      </c>
      <c r="C487" s="125" t="str">
        <f>IFERROR(INDEX(DA_SAP!$C:$C,(_xlfn.AGGREGATE(15,6,(ROW(DA_SAP!$F$3:$F$423)-2)/(DA_SAP!$F$3:$F$423=$A$443)*($A$443&lt;&gt;""),ROW()-445)+2)),"")</f>
        <v>Quantité totale</v>
      </c>
      <c r="D487" s="125" t="str">
        <f>IFERROR(INDEX(DA_SAP!$D:$D,(_xlfn.AGGREGATE(15,6,(ROW(DA_SAP!$F$3:$F$423)-2)/(DA_SAP!$F$3:$F$423=$A$443)*($A$443&lt;&gt;""),ROW()-445)+2)),"")</f>
        <v>Unité</v>
      </c>
      <c r="E487" s="125" t="str">
        <f>IFERROR(INDEX(DA_SAP!$E:$E,(_xlfn.AGGREGATE(15,6,(ROW(DA_SAP!$F$3:$F$423)-2)/(DA_SAP!$F$3:$F$423=$A$443)*($A$443&lt;&gt;""),ROW()-445)+2)),"")</f>
        <v>Date de livraison</v>
      </c>
    </row>
    <row r="488" spans="1:5" x14ac:dyDescent="0.25">
      <c r="A488" s="125" t="str">
        <f>IFERROR(INDEX(DA_SAP!$A:$A,(_xlfn.AGGREGATE(15,6,(ROW(DA_SAP!$F$3:$F$423)-2)/(DA_SAP!$F$3:$F$423=$A$443)*($A$443&lt;&gt;""),ROW()-445)+2)),"")</f>
        <v>Code article</v>
      </c>
      <c r="B488" s="125" t="str">
        <f>IFERROR(INDEX(DA_SAP!$B:$B,(_xlfn.AGGREGATE(15,6,(ROW(DA_SAP!$F$3:$F$423)-2)/(DA_SAP!$F$3:$F$423=$A$443)*($A$443&lt;&gt;""),ROW()-445)+2)),"")</f>
        <v>Désignation</v>
      </c>
      <c r="C488" s="125" t="str">
        <f>IFERROR(INDEX(DA_SAP!$C:$C,(_xlfn.AGGREGATE(15,6,(ROW(DA_SAP!$F$3:$F$423)-2)/(DA_SAP!$F$3:$F$423=$A$443)*($A$443&lt;&gt;""),ROW()-445)+2)),"")</f>
        <v>Quantité totale</v>
      </c>
      <c r="D488" s="125" t="str">
        <f>IFERROR(INDEX(DA_SAP!$D:$D,(_xlfn.AGGREGATE(15,6,(ROW(DA_SAP!$F$3:$F$423)-2)/(DA_SAP!$F$3:$F$423=$A$443)*($A$443&lt;&gt;""),ROW()-445)+2)),"")</f>
        <v>Unité</v>
      </c>
      <c r="E488" s="125" t="str">
        <f>IFERROR(INDEX(DA_SAP!$E:$E,(_xlfn.AGGREGATE(15,6,(ROW(DA_SAP!$F$3:$F$423)-2)/(DA_SAP!$F$3:$F$423=$A$443)*($A$443&lt;&gt;""),ROW()-445)+2)),"")</f>
        <v>Date de livraison</v>
      </c>
    </row>
    <row r="489" spans="1:5" x14ac:dyDescent="0.25">
      <c r="A489" s="125" t="str">
        <f>IFERROR(INDEX(DA_SAP!$A:$A,(_xlfn.AGGREGATE(15,6,(ROW(DA_SAP!$F$3:$F$423)-2)/(DA_SAP!$F$3:$F$423=$A$443)*($A$443&lt;&gt;""),ROW()-445)+2)),"")</f>
        <v>Code article</v>
      </c>
      <c r="B489" s="125" t="str">
        <f>IFERROR(INDEX(DA_SAP!$B:$B,(_xlfn.AGGREGATE(15,6,(ROW(DA_SAP!$F$3:$F$423)-2)/(DA_SAP!$F$3:$F$423=$A$443)*($A$443&lt;&gt;""),ROW()-445)+2)),"")</f>
        <v>Désignation</v>
      </c>
      <c r="C489" s="125" t="str">
        <f>IFERROR(INDEX(DA_SAP!$C:$C,(_xlfn.AGGREGATE(15,6,(ROW(DA_SAP!$F$3:$F$423)-2)/(DA_SAP!$F$3:$F$423=$A$443)*($A$443&lt;&gt;""),ROW()-445)+2)),"")</f>
        <v>Quantité totale</v>
      </c>
      <c r="D489" s="125" t="str">
        <f>IFERROR(INDEX(DA_SAP!$D:$D,(_xlfn.AGGREGATE(15,6,(ROW(DA_SAP!$F$3:$F$423)-2)/(DA_SAP!$F$3:$F$423=$A$443)*($A$443&lt;&gt;""),ROW()-445)+2)),"")</f>
        <v>Unité</v>
      </c>
      <c r="E489" s="125" t="str">
        <f>IFERROR(INDEX(DA_SAP!$E:$E,(_xlfn.AGGREGATE(15,6,(ROW(DA_SAP!$F$3:$F$423)-2)/(DA_SAP!$F$3:$F$423=$A$443)*($A$443&lt;&gt;""),ROW()-445)+2)),"")</f>
        <v>Date de livraison</v>
      </c>
    </row>
    <row r="490" spans="1:5" x14ac:dyDescent="0.25">
      <c r="A490" s="125" t="str">
        <f>IFERROR(INDEX(DA_SAP!$A:$A,(_xlfn.AGGREGATE(15,6,(ROW(DA_SAP!$F$3:$F$423)-2)/(DA_SAP!$F$3:$F$423=$A$443)*($A$443&lt;&gt;""),ROW()-445)+2)),"")</f>
        <v>Code article</v>
      </c>
      <c r="B490" s="125" t="str">
        <f>IFERROR(INDEX(DA_SAP!$B:$B,(_xlfn.AGGREGATE(15,6,(ROW(DA_SAP!$F$3:$F$423)-2)/(DA_SAP!$F$3:$F$423=$A$443)*($A$443&lt;&gt;""),ROW()-445)+2)),"")</f>
        <v>Désignation</v>
      </c>
      <c r="C490" s="125" t="str">
        <f>IFERROR(INDEX(DA_SAP!$C:$C,(_xlfn.AGGREGATE(15,6,(ROW(DA_SAP!$F$3:$F$423)-2)/(DA_SAP!$F$3:$F$423=$A$443)*($A$443&lt;&gt;""),ROW()-445)+2)),"")</f>
        <v>Quantité totale</v>
      </c>
      <c r="D490" s="125" t="str">
        <f>IFERROR(INDEX(DA_SAP!$D:$D,(_xlfn.AGGREGATE(15,6,(ROW(DA_SAP!$F$3:$F$423)-2)/(DA_SAP!$F$3:$F$423=$A$443)*($A$443&lt;&gt;""),ROW()-445)+2)),"")</f>
        <v>Unité</v>
      </c>
      <c r="E490" s="125" t="str">
        <f>IFERROR(INDEX(DA_SAP!$E:$E,(_xlfn.AGGREGATE(15,6,(ROW(DA_SAP!$F$3:$F$423)-2)/(DA_SAP!$F$3:$F$423=$A$443)*($A$443&lt;&gt;""),ROW()-445)+2)),"")</f>
        <v>Date de livraison</v>
      </c>
    </row>
    <row r="491" spans="1:5" x14ac:dyDescent="0.25">
      <c r="A491" s="125" t="str">
        <f>IFERROR(INDEX(DA_SAP!$A:$A,(_xlfn.AGGREGATE(15,6,(ROW(DA_SAP!$F$3:$F$423)-2)/(DA_SAP!$F$3:$F$423=$A$443)*($A$443&lt;&gt;""),ROW()-445)+2)),"")</f>
        <v>Code article</v>
      </c>
      <c r="B491" s="125" t="str">
        <f>IFERROR(INDEX(DA_SAP!$B:$B,(_xlfn.AGGREGATE(15,6,(ROW(DA_SAP!$F$3:$F$423)-2)/(DA_SAP!$F$3:$F$423=$A$443)*($A$443&lt;&gt;""),ROW()-445)+2)),"")</f>
        <v>Désignation</v>
      </c>
      <c r="C491" s="125" t="str">
        <f>IFERROR(INDEX(DA_SAP!$C:$C,(_xlfn.AGGREGATE(15,6,(ROW(DA_SAP!$F$3:$F$423)-2)/(DA_SAP!$F$3:$F$423=$A$443)*($A$443&lt;&gt;""),ROW()-445)+2)),"")</f>
        <v>Quantité totale</v>
      </c>
      <c r="D491" s="125" t="str">
        <f>IFERROR(INDEX(DA_SAP!$D:$D,(_xlfn.AGGREGATE(15,6,(ROW(DA_SAP!$F$3:$F$423)-2)/(DA_SAP!$F$3:$F$423=$A$443)*($A$443&lt;&gt;""),ROW()-445)+2)),"")</f>
        <v>Unité</v>
      </c>
      <c r="E491" s="125" t="str">
        <f>IFERROR(INDEX(DA_SAP!$E:$E,(_xlfn.AGGREGATE(15,6,(ROW(DA_SAP!$F$3:$F$423)-2)/(DA_SAP!$F$3:$F$423=$A$443)*($A$443&lt;&gt;""),ROW()-445)+2)),"")</f>
        <v>Date de livraison</v>
      </c>
    </row>
    <row r="492" spans="1:5" x14ac:dyDescent="0.25">
      <c r="A492" s="125" t="str">
        <f>IFERROR(INDEX(DA_SAP!$A:$A,(_xlfn.AGGREGATE(15,6,(ROW(DA_SAP!$F$3:$F$423)-2)/(DA_SAP!$F$3:$F$423=$A$443)*($A$443&lt;&gt;""),ROW()-445)+2)),"")</f>
        <v>Code article</v>
      </c>
      <c r="B492" s="125" t="str">
        <f>IFERROR(INDEX(DA_SAP!$B:$B,(_xlfn.AGGREGATE(15,6,(ROW(DA_SAP!$F$3:$F$423)-2)/(DA_SAP!$F$3:$F$423=$A$443)*($A$443&lt;&gt;""),ROW()-445)+2)),"")</f>
        <v>Désignation</v>
      </c>
      <c r="C492" s="125" t="str">
        <f>IFERROR(INDEX(DA_SAP!$C:$C,(_xlfn.AGGREGATE(15,6,(ROW(DA_SAP!$F$3:$F$423)-2)/(DA_SAP!$F$3:$F$423=$A$443)*($A$443&lt;&gt;""),ROW()-445)+2)),"")</f>
        <v>Quantité totale</v>
      </c>
      <c r="D492" s="125" t="str">
        <f>IFERROR(INDEX(DA_SAP!$D:$D,(_xlfn.AGGREGATE(15,6,(ROW(DA_SAP!$F$3:$F$423)-2)/(DA_SAP!$F$3:$F$423=$A$443)*($A$443&lt;&gt;""),ROW()-445)+2)),"")</f>
        <v>Unité</v>
      </c>
      <c r="E492" s="125" t="str">
        <f>IFERROR(INDEX(DA_SAP!$E:$E,(_xlfn.AGGREGATE(15,6,(ROW(DA_SAP!$F$3:$F$423)-2)/(DA_SAP!$F$3:$F$423=$A$443)*($A$443&lt;&gt;""),ROW()-445)+2)),"")</f>
        <v>Date de livraison</v>
      </c>
    </row>
    <row r="493" spans="1:5" x14ac:dyDescent="0.25">
      <c r="A493" s="125" t="str">
        <f>IFERROR(INDEX(DA_SAP!$A:$A,(_xlfn.AGGREGATE(15,6,(ROW(DA_SAP!$F$3:$F$423)-2)/(DA_SAP!$F$3:$F$423=$A$443)*($A$443&lt;&gt;""),ROW()-445)+2)),"")</f>
        <v>Code article</v>
      </c>
      <c r="B493" s="125" t="str">
        <f>IFERROR(INDEX(DA_SAP!$B:$B,(_xlfn.AGGREGATE(15,6,(ROW(DA_SAP!$F$3:$F$423)-2)/(DA_SAP!$F$3:$F$423=$A$443)*($A$443&lt;&gt;""),ROW()-445)+2)),"")</f>
        <v>Désignation</v>
      </c>
      <c r="C493" s="125" t="str">
        <f>IFERROR(INDEX(DA_SAP!$C:$C,(_xlfn.AGGREGATE(15,6,(ROW(DA_SAP!$F$3:$F$423)-2)/(DA_SAP!$F$3:$F$423=$A$443)*($A$443&lt;&gt;""),ROW()-445)+2)),"")</f>
        <v>Quantité totale</v>
      </c>
      <c r="D493" s="125" t="str">
        <f>IFERROR(INDEX(DA_SAP!$D:$D,(_xlfn.AGGREGATE(15,6,(ROW(DA_SAP!$F$3:$F$423)-2)/(DA_SAP!$F$3:$F$423=$A$443)*($A$443&lt;&gt;""),ROW()-445)+2)),"")</f>
        <v>Unité</v>
      </c>
      <c r="E493" s="125" t="str">
        <f>IFERROR(INDEX(DA_SAP!$E:$E,(_xlfn.AGGREGATE(15,6,(ROW(DA_SAP!$F$3:$F$423)-2)/(DA_SAP!$F$3:$F$423=$A$443)*($A$443&lt;&gt;""),ROW()-445)+2)),"")</f>
        <v>Date de livraison</v>
      </c>
    </row>
    <row r="494" spans="1:5" x14ac:dyDescent="0.25">
      <c r="A494" s="125" t="str">
        <f>IFERROR(INDEX(DA_SAP!$A:$A,(_xlfn.AGGREGATE(15,6,(ROW(DA_SAP!$F$3:$F$423)-2)/(DA_SAP!$F$3:$F$423=$A$443)*($A$443&lt;&gt;""),ROW()-445)+2)),"")</f>
        <v>Code article</v>
      </c>
      <c r="B494" s="125" t="str">
        <f>IFERROR(INDEX(DA_SAP!$B:$B,(_xlfn.AGGREGATE(15,6,(ROW(DA_SAP!$F$3:$F$423)-2)/(DA_SAP!$F$3:$F$423=$A$443)*($A$443&lt;&gt;""),ROW()-445)+2)),"")</f>
        <v>Désignation</v>
      </c>
      <c r="C494" s="125" t="str">
        <f>IFERROR(INDEX(DA_SAP!$C:$C,(_xlfn.AGGREGATE(15,6,(ROW(DA_SAP!$F$3:$F$423)-2)/(DA_SAP!$F$3:$F$423=$A$443)*($A$443&lt;&gt;""),ROW()-445)+2)),"")</f>
        <v>Quantité totale</v>
      </c>
      <c r="D494" s="125" t="str">
        <f>IFERROR(INDEX(DA_SAP!$D:$D,(_xlfn.AGGREGATE(15,6,(ROW(DA_SAP!$F$3:$F$423)-2)/(DA_SAP!$F$3:$F$423=$A$443)*($A$443&lt;&gt;""),ROW()-445)+2)),"")</f>
        <v>Unité</v>
      </c>
      <c r="E494" s="125" t="str">
        <f>IFERROR(INDEX(DA_SAP!$E:$E,(_xlfn.AGGREGATE(15,6,(ROW(DA_SAP!$F$3:$F$423)-2)/(DA_SAP!$F$3:$F$423=$A$443)*($A$443&lt;&gt;""),ROW()-445)+2)),"")</f>
        <v>Date de livraison</v>
      </c>
    </row>
    <row r="495" spans="1:5" x14ac:dyDescent="0.25">
      <c r="A495" s="125" t="str">
        <f>IFERROR(INDEX(DA_SAP!$A:$A,(_xlfn.AGGREGATE(15,6,(ROW(DA_SAP!$F$3:$F$423)-2)/(DA_SAP!$F$3:$F$423=$A$443)*($A$443&lt;&gt;""),ROW()-445)+2)),"")</f>
        <v>Code article</v>
      </c>
      <c r="B495" s="125" t="str">
        <f>IFERROR(INDEX(DA_SAP!$B:$B,(_xlfn.AGGREGATE(15,6,(ROW(DA_SAP!$F$3:$F$423)-2)/(DA_SAP!$F$3:$F$423=$A$443)*($A$443&lt;&gt;""),ROW()-445)+2)),"")</f>
        <v>Désignation</v>
      </c>
      <c r="C495" s="125" t="str">
        <f>IFERROR(INDEX(DA_SAP!$C:$C,(_xlfn.AGGREGATE(15,6,(ROW(DA_SAP!$F$3:$F$423)-2)/(DA_SAP!$F$3:$F$423=$A$443)*($A$443&lt;&gt;""),ROW()-445)+2)),"")</f>
        <v>Quantité totale</v>
      </c>
      <c r="D495" s="125" t="str">
        <f>IFERROR(INDEX(DA_SAP!$D:$D,(_xlfn.AGGREGATE(15,6,(ROW(DA_SAP!$F$3:$F$423)-2)/(DA_SAP!$F$3:$F$423=$A$443)*($A$443&lt;&gt;""),ROW()-445)+2)),"")</f>
        <v>Unité</v>
      </c>
      <c r="E495" s="125" t="str">
        <f>IFERROR(INDEX(DA_SAP!$E:$E,(_xlfn.AGGREGATE(15,6,(ROW(DA_SAP!$F$3:$F$423)-2)/(DA_SAP!$F$3:$F$423=$A$443)*($A$443&lt;&gt;""),ROW()-445)+2)),"")</f>
        <v>Date de livraison</v>
      </c>
    </row>
    <row r="496" spans="1:5" x14ac:dyDescent="0.25">
      <c r="A496" s="125" t="str">
        <f>IFERROR(INDEX(DA_SAP!$A:$A,(_xlfn.AGGREGATE(15,6,(ROW(DA_SAP!$F$3:$F$423)-2)/(DA_SAP!$F$3:$F$423=$A$443)*($A$443&lt;&gt;""),ROW()-445)+2)),"")</f>
        <v>Code article</v>
      </c>
      <c r="B496" s="125" t="str">
        <f>IFERROR(INDEX(DA_SAP!$B:$B,(_xlfn.AGGREGATE(15,6,(ROW(DA_SAP!$F$3:$F$423)-2)/(DA_SAP!$F$3:$F$423=$A$443)*($A$443&lt;&gt;""),ROW()-445)+2)),"")</f>
        <v>Désignation</v>
      </c>
      <c r="C496" s="125" t="str">
        <f>IFERROR(INDEX(DA_SAP!$C:$C,(_xlfn.AGGREGATE(15,6,(ROW(DA_SAP!$F$3:$F$423)-2)/(DA_SAP!$F$3:$F$423=$A$443)*($A$443&lt;&gt;""),ROW()-445)+2)),"")</f>
        <v>Quantité totale</v>
      </c>
      <c r="D496" s="125" t="str">
        <f>IFERROR(INDEX(DA_SAP!$D:$D,(_xlfn.AGGREGATE(15,6,(ROW(DA_SAP!$F$3:$F$423)-2)/(DA_SAP!$F$3:$F$423=$A$443)*($A$443&lt;&gt;""),ROW()-445)+2)),"")</f>
        <v>Unité</v>
      </c>
      <c r="E496" s="125" t="str">
        <f>IFERROR(INDEX(DA_SAP!$E:$E,(_xlfn.AGGREGATE(15,6,(ROW(DA_SAP!$F$3:$F$423)-2)/(DA_SAP!$F$3:$F$423=$A$443)*($A$443&lt;&gt;""),ROW()-445)+2)),"")</f>
        <v>Date de livraison</v>
      </c>
    </row>
    <row r="497" spans="1:5" x14ac:dyDescent="0.25">
      <c r="A497" s="125" t="str">
        <f>IFERROR(INDEX(DA_SAP!$A:$A,(_xlfn.AGGREGATE(15,6,(ROW(DA_SAP!$F$3:$F$423)-2)/(DA_SAP!$F$3:$F$423=$A$443)*($A$443&lt;&gt;""),ROW()-445)+2)),"")</f>
        <v>Code article</v>
      </c>
      <c r="B497" s="125" t="str">
        <f>IFERROR(INDEX(DA_SAP!$B:$B,(_xlfn.AGGREGATE(15,6,(ROW(DA_SAP!$F$3:$F$423)-2)/(DA_SAP!$F$3:$F$423=$A$443)*($A$443&lt;&gt;""),ROW()-445)+2)),"")</f>
        <v>Désignation</v>
      </c>
      <c r="C497" s="125" t="str">
        <f>IFERROR(INDEX(DA_SAP!$C:$C,(_xlfn.AGGREGATE(15,6,(ROW(DA_SAP!$F$3:$F$423)-2)/(DA_SAP!$F$3:$F$423=$A$443)*($A$443&lt;&gt;""),ROW()-445)+2)),"")</f>
        <v>Quantité totale</v>
      </c>
      <c r="D497" s="125" t="str">
        <f>IFERROR(INDEX(DA_SAP!$D:$D,(_xlfn.AGGREGATE(15,6,(ROW(DA_SAP!$F$3:$F$423)-2)/(DA_SAP!$F$3:$F$423=$A$443)*($A$443&lt;&gt;""),ROW()-445)+2)),"")</f>
        <v>Unité</v>
      </c>
      <c r="E497" s="125" t="str">
        <f>IFERROR(INDEX(DA_SAP!$E:$E,(_xlfn.AGGREGATE(15,6,(ROW(DA_SAP!$F$3:$F$423)-2)/(DA_SAP!$F$3:$F$423=$A$443)*($A$443&lt;&gt;""),ROW()-445)+2)),"")</f>
        <v>Date de livraison</v>
      </c>
    </row>
    <row r="498" spans="1:5" x14ac:dyDescent="0.25">
      <c r="A498" s="125" t="str">
        <f>IFERROR(INDEX(DA_SAP!$A:$A,(_xlfn.AGGREGATE(15,6,(ROW(DA_SAP!$F$3:$F$423)-2)/(DA_SAP!$F$3:$F$423=$A$443)*($A$443&lt;&gt;""),ROW()-445)+2)),"")</f>
        <v>Code article</v>
      </c>
      <c r="B498" s="125" t="str">
        <f>IFERROR(INDEX(DA_SAP!$B:$B,(_xlfn.AGGREGATE(15,6,(ROW(DA_SAP!$F$3:$F$423)-2)/(DA_SAP!$F$3:$F$423=$A$443)*($A$443&lt;&gt;""),ROW()-445)+2)),"")</f>
        <v>Désignation</v>
      </c>
      <c r="C498" s="125" t="str">
        <f>IFERROR(INDEX(DA_SAP!$C:$C,(_xlfn.AGGREGATE(15,6,(ROW(DA_SAP!$F$3:$F$423)-2)/(DA_SAP!$F$3:$F$423=$A$443)*($A$443&lt;&gt;""),ROW()-445)+2)),"")</f>
        <v>Quantité totale</v>
      </c>
      <c r="D498" s="125" t="str">
        <f>IFERROR(INDEX(DA_SAP!$D:$D,(_xlfn.AGGREGATE(15,6,(ROW(DA_SAP!$F$3:$F$423)-2)/(DA_SAP!$F$3:$F$423=$A$443)*($A$443&lt;&gt;""),ROW()-445)+2)),"")</f>
        <v>Unité</v>
      </c>
      <c r="E498" s="125" t="str">
        <f>IFERROR(INDEX(DA_SAP!$E:$E,(_xlfn.AGGREGATE(15,6,(ROW(DA_SAP!$F$3:$F$423)-2)/(DA_SAP!$F$3:$F$423=$A$443)*($A$443&lt;&gt;""),ROW()-445)+2)),"")</f>
        <v>Date de livraison</v>
      </c>
    </row>
    <row r="499" spans="1:5" x14ac:dyDescent="0.25">
      <c r="A499" s="125" t="str">
        <f>IFERROR(INDEX(DA_SAP!$A:$A,(_xlfn.AGGREGATE(15,6,(ROW(DA_SAP!$F$3:$F$423)-2)/(DA_SAP!$F$3:$F$423=$A$443)*($A$443&lt;&gt;""),ROW()-445)+2)),"")</f>
        <v>Code article</v>
      </c>
      <c r="B499" s="125" t="str">
        <f>IFERROR(INDEX(DA_SAP!$B:$B,(_xlfn.AGGREGATE(15,6,(ROW(DA_SAP!$F$3:$F$423)-2)/(DA_SAP!$F$3:$F$423=$A$443)*($A$443&lt;&gt;""),ROW()-445)+2)),"")</f>
        <v>Désignation</v>
      </c>
      <c r="C499" s="125" t="str">
        <f>IFERROR(INDEX(DA_SAP!$C:$C,(_xlfn.AGGREGATE(15,6,(ROW(DA_SAP!$F$3:$F$423)-2)/(DA_SAP!$F$3:$F$423=$A$443)*($A$443&lt;&gt;""),ROW()-445)+2)),"")</f>
        <v>Quantité totale</v>
      </c>
      <c r="D499" s="125" t="str">
        <f>IFERROR(INDEX(DA_SAP!$D:$D,(_xlfn.AGGREGATE(15,6,(ROW(DA_SAP!$F$3:$F$423)-2)/(DA_SAP!$F$3:$F$423=$A$443)*($A$443&lt;&gt;""),ROW()-445)+2)),"")</f>
        <v>Unité</v>
      </c>
      <c r="E499" s="125" t="str">
        <f>IFERROR(INDEX(DA_SAP!$E:$E,(_xlfn.AGGREGATE(15,6,(ROW(DA_SAP!$F$3:$F$423)-2)/(DA_SAP!$F$3:$F$423=$A$443)*($A$443&lt;&gt;""),ROW()-445)+2)),"")</f>
        <v>Date de livraison</v>
      </c>
    </row>
    <row r="500" spans="1:5" x14ac:dyDescent="0.25">
      <c r="A500" s="125" t="str">
        <f>IFERROR(INDEX(DA_SAP!$A:$A,(_xlfn.AGGREGATE(15,6,(ROW(DA_SAP!$F$3:$F$423)-2)/(DA_SAP!$F$3:$F$423=$A$443)*($A$443&lt;&gt;""),ROW()-445)+2)),"")</f>
        <v>Code article</v>
      </c>
      <c r="B500" s="125" t="str">
        <f>IFERROR(INDEX(DA_SAP!$B:$B,(_xlfn.AGGREGATE(15,6,(ROW(DA_SAP!$F$3:$F$423)-2)/(DA_SAP!$F$3:$F$423=$A$443)*($A$443&lt;&gt;""),ROW()-445)+2)),"")</f>
        <v>Désignation</v>
      </c>
      <c r="C500" s="125" t="str">
        <f>IFERROR(INDEX(DA_SAP!$C:$C,(_xlfn.AGGREGATE(15,6,(ROW(DA_SAP!$F$3:$F$423)-2)/(DA_SAP!$F$3:$F$423=$A$443)*($A$443&lt;&gt;""),ROW()-445)+2)),"")</f>
        <v>Quantité totale</v>
      </c>
      <c r="D500" s="125" t="str">
        <f>IFERROR(INDEX(DA_SAP!$D:$D,(_xlfn.AGGREGATE(15,6,(ROW(DA_SAP!$F$3:$F$423)-2)/(DA_SAP!$F$3:$F$423=$A$443)*($A$443&lt;&gt;""),ROW()-445)+2)),"")</f>
        <v>Unité</v>
      </c>
      <c r="E500" s="125" t="str">
        <f>IFERROR(INDEX(DA_SAP!$E:$E,(_xlfn.AGGREGATE(15,6,(ROW(DA_SAP!$F$3:$F$423)-2)/(DA_SAP!$F$3:$F$423=$A$443)*($A$443&lt;&gt;""),ROW()-445)+2)),"")</f>
        <v>Date de livraison</v>
      </c>
    </row>
    <row r="501" spans="1:5" x14ac:dyDescent="0.25">
      <c r="A501" s="125" t="str">
        <f>IFERROR(INDEX(DA_SAP!$A:$A,(_xlfn.AGGREGATE(15,6,(ROW(DA_SAP!$F$3:$F$423)-2)/(DA_SAP!$F$3:$F$423=$A$443)*($A$443&lt;&gt;""),ROW()-445)+2)),"")</f>
        <v>Code article</v>
      </c>
      <c r="B501" s="125" t="str">
        <f>IFERROR(INDEX(DA_SAP!$B:$B,(_xlfn.AGGREGATE(15,6,(ROW(DA_SAP!$F$3:$F$423)-2)/(DA_SAP!$F$3:$F$423=$A$443)*($A$443&lt;&gt;""),ROW()-445)+2)),"")</f>
        <v>Désignation</v>
      </c>
      <c r="C501" s="125" t="str">
        <f>IFERROR(INDEX(DA_SAP!$C:$C,(_xlfn.AGGREGATE(15,6,(ROW(DA_SAP!$F$3:$F$423)-2)/(DA_SAP!$F$3:$F$423=$A$443)*($A$443&lt;&gt;""),ROW()-445)+2)),"")</f>
        <v>Quantité totale</v>
      </c>
      <c r="D501" s="125" t="str">
        <f>IFERROR(INDEX(DA_SAP!$D:$D,(_xlfn.AGGREGATE(15,6,(ROW(DA_SAP!$F$3:$F$423)-2)/(DA_SAP!$F$3:$F$423=$A$443)*($A$443&lt;&gt;""),ROW()-445)+2)),"")</f>
        <v>Unité</v>
      </c>
      <c r="E501" s="125" t="str">
        <f>IFERROR(INDEX(DA_SAP!$E:$E,(_xlfn.AGGREGATE(15,6,(ROW(DA_SAP!$F$3:$F$423)-2)/(DA_SAP!$F$3:$F$423=$A$443)*($A$443&lt;&gt;""),ROW()-445)+2)),"")</f>
        <v>Date de livraison</v>
      </c>
    </row>
    <row r="502" spans="1:5" x14ac:dyDescent="0.25">
      <c r="A502" s="125" t="str">
        <f>IFERROR(INDEX(DA_SAP!$A:$A,(_xlfn.AGGREGATE(15,6,(ROW(DA_SAP!$F$3:$F$423)-2)/(DA_SAP!$F$3:$F$423=$A$443)*($A$443&lt;&gt;""),ROW()-445)+2)),"")</f>
        <v>Code article</v>
      </c>
      <c r="B502" s="125" t="str">
        <f>IFERROR(INDEX(DA_SAP!$B:$B,(_xlfn.AGGREGATE(15,6,(ROW(DA_SAP!$F$3:$F$423)-2)/(DA_SAP!$F$3:$F$423=$A$443)*($A$443&lt;&gt;""),ROW()-445)+2)),"")</f>
        <v>Désignation</v>
      </c>
      <c r="C502" s="125" t="str">
        <f>IFERROR(INDEX(DA_SAP!$C:$C,(_xlfn.AGGREGATE(15,6,(ROW(DA_SAP!$F$3:$F$423)-2)/(DA_SAP!$F$3:$F$423=$A$443)*($A$443&lt;&gt;""),ROW()-445)+2)),"")</f>
        <v>Quantité totale</v>
      </c>
      <c r="D502" s="125" t="str">
        <f>IFERROR(INDEX(DA_SAP!$D:$D,(_xlfn.AGGREGATE(15,6,(ROW(DA_SAP!$F$3:$F$423)-2)/(DA_SAP!$F$3:$F$423=$A$443)*($A$443&lt;&gt;""),ROW()-445)+2)),"")</f>
        <v>Unité</v>
      </c>
      <c r="E502" s="125" t="str">
        <f>IFERROR(INDEX(DA_SAP!$E:$E,(_xlfn.AGGREGATE(15,6,(ROW(DA_SAP!$F$3:$F$423)-2)/(DA_SAP!$F$3:$F$423=$A$443)*($A$443&lt;&gt;""),ROW()-445)+2)),"")</f>
        <v>Date de livraison</v>
      </c>
    </row>
    <row r="503" spans="1:5" x14ac:dyDescent="0.25">
      <c r="A503" s="125" t="str">
        <f>IFERROR(INDEX(DA_SAP!$A:$A,(_xlfn.AGGREGATE(15,6,(ROW(DA_SAP!$F$3:$F$423)-2)/(DA_SAP!$F$3:$F$423=$A$443)*($A$443&lt;&gt;""),ROW()-445)+2)),"")</f>
        <v>Code article</v>
      </c>
      <c r="B503" s="125" t="str">
        <f>IFERROR(INDEX(DA_SAP!$B:$B,(_xlfn.AGGREGATE(15,6,(ROW(DA_SAP!$F$3:$F$423)-2)/(DA_SAP!$F$3:$F$423=$A$443)*($A$443&lt;&gt;""),ROW()-445)+2)),"")</f>
        <v>Désignation</v>
      </c>
      <c r="C503" s="125" t="str">
        <f>IFERROR(INDEX(DA_SAP!$C:$C,(_xlfn.AGGREGATE(15,6,(ROW(DA_SAP!$F$3:$F$423)-2)/(DA_SAP!$F$3:$F$423=$A$443)*($A$443&lt;&gt;""),ROW()-445)+2)),"")</f>
        <v>Quantité totale</v>
      </c>
      <c r="D503" s="125" t="str">
        <f>IFERROR(INDEX(DA_SAP!$D:$D,(_xlfn.AGGREGATE(15,6,(ROW(DA_SAP!$F$3:$F$423)-2)/(DA_SAP!$F$3:$F$423=$A$443)*($A$443&lt;&gt;""),ROW()-445)+2)),"")</f>
        <v>Unité</v>
      </c>
      <c r="E503" s="125" t="str">
        <f>IFERROR(INDEX(DA_SAP!$E:$E,(_xlfn.AGGREGATE(15,6,(ROW(DA_SAP!$F$3:$F$423)-2)/(DA_SAP!$F$3:$F$423=$A$443)*($A$443&lt;&gt;""),ROW()-445)+2)),"")</f>
        <v>Date de livraison</v>
      </c>
    </row>
    <row r="504" spans="1:5" x14ac:dyDescent="0.25">
      <c r="A504" s="125" t="str">
        <f>IFERROR(INDEX(DA_SAP!$A:$A,(_xlfn.AGGREGATE(15,6,(ROW(DA_SAP!$F$3:$F$423)-2)/(DA_SAP!$F$3:$F$423=$A$443)*($A$443&lt;&gt;""),ROW()-445)+2)),"")</f>
        <v>Code article</v>
      </c>
      <c r="B504" s="125" t="str">
        <f>IFERROR(INDEX(DA_SAP!$B:$B,(_xlfn.AGGREGATE(15,6,(ROW(DA_SAP!$F$3:$F$423)-2)/(DA_SAP!$F$3:$F$423=$A$443)*($A$443&lt;&gt;""),ROW()-445)+2)),"")</f>
        <v>Désignation</v>
      </c>
      <c r="C504" s="125" t="str">
        <f>IFERROR(INDEX(DA_SAP!$C:$C,(_xlfn.AGGREGATE(15,6,(ROW(DA_SAP!$F$3:$F$423)-2)/(DA_SAP!$F$3:$F$423=$A$443)*($A$443&lt;&gt;""),ROW()-445)+2)),"")</f>
        <v>Quantité totale</v>
      </c>
      <c r="D504" s="125" t="str">
        <f>IFERROR(INDEX(DA_SAP!$D:$D,(_xlfn.AGGREGATE(15,6,(ROW(DA_SAP!$F$3:$F$423)-2)/(DA_SAP!$F$3:$F$423=$A$443)*($A$443&lt;&gt;""),ROW()-445)+2)),"")</f>
        <v>Unité</v>
      </c>
      <c r="E504" s="125" t="str">
        <f>IFERROR(INDEX(DA_SAP!$E:$E,(_xlfn.AGGREGATE(15,6,(ROW(DA_SAP!$F$3:$F$423)-2)/(DA_SAP!$F$3:$F$423=$A$443)*($A$443&lt;&gt;""),ROW()-445)+2)),"")</f>
        <v>Date de livraison</v>
      </c>
    </row>
  </sheetData>
  <sheetProtection algorithmName="SHA-512" hashValue="tLmaPQtqgdWUf/X3Xu1qrGcD1E6cDvXtB4aKBa8KpaGebxC4p1FaunTYZxNY0YLWTBEgOSyZVrHMrkums/PpNA==" saltValue="zUd1yhZvpSHo1mGXIeNRcg==" spinCount="100000" sheet="1" objects="1" scenarios="1"/>
  <dataValidations count="1">
    <dataValidation type="list" allowBlank="1" showInputMessage="1" showErrorMessage="1" promptTitle="Unités" prompt="NORMAL = unités affichées. EFFACER = colonne Unité vidée pour ton copier-coller." sqref="H4" xr:uid="{00000000-0002-0000-0800-000000000000}">
      <formula1>"NORMAL,EFFACER"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Catalogue</vt:lpstr>
      <vt:lpstr>Supports</vt:lpstr>
      <vt:lpstr>SPK</vt:lpstr>
      <vt:lpstr>RIA</vt:lpstr>
      <vt:lpstr>Liste_Materiel</vt:lpstr>
      <vt:lpstr>Liste_Materiel_RIA</vt:lpstr>
      <vt:lpstr>Liste_Materiel_Combinee</vt:lpstr>
      <vt:lpstr>DA_SAP</vt:lpstr>
      <vt:lpstr>CMD_DIRECT_SAP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CABANNE</dc:creator>
  <cp:lastModifiedBy>Amaury CABANNE</cp:lastModifiedBy>
  <dcterms:created xsi:type="dcterms:W3CDTF">2026-08-12T13:51:02Z</dcterms:created>
  <dcterms:modified xsi:type="dcterms:W3CDTF">2026-08-12T13:57:38Z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2026-08-11T08:32:15Z</dcterms:created>
  <dc:creator>Amaury CABANNE</dc:creator>
  <dc:description/>
  <dc:language>en-US</dc:language>
  <cp:lastModifiedBy>Amaury CABANNE</cp:lastModifiedBy>
  <dcterms:modified xsi:type="dcterms:W3CDTF">2026-08-12T13:08:54Z</dcterms:modified>
  <cp:revision>0</cp:revision>
  <dc:subject/>
  <dc:title/>
</cp:coreProperties>
</file>